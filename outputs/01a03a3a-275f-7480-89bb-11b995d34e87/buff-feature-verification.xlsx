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7a8662d69a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dc45087e5b04a22"/>
    <x:sheet xmlns:r="http://schemas.openxmlformats.org/officeDocument/2006/relationships" name="Stories" sheetId="2" r:id="R136fc5392f544e48"/>
    <x:sheet xmlns:r="http://schemas.openxmlformats.org/officeDocument/2006/relationships" name="Errors" sheetId="3" r:id="Re1b2bca9f96c4dbe"/>
    <x:sheet xmlns:r="http://schemas.openxmlformats.org/officeDocument/2006/relationships" name="Test Runs" sheetId="4" r:id="R00e481fa235543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15">
    <x:font>
      <x:sz val="11"/>
      <x:name val="Carlito"/>
    </x:font>
    <x:font>
      <x:b/>
      <x:sz val="20"/>
      <x:color rgb="FFFFFFFF"/>
      <x:name val="Carlito"/>
    </x:font>
    <x:font>
      <x:sz val="10"/>
      <x:color rgb="FFDCE5F5"/>
      <x:name val="Carlito"/>
    </x:font>
    <x:font>
      <x:b/>
      <x:sz val="11"/>
      <x:color rgb="FFFFFFFF"/>
      <x:name val="Carlito"/>
    </x:font>
    <x:font>
      <x:b/>
      <x:sz val="11"/>
      <x:color rgb="FF17233C"/>
      <x:name val="Carlito"/>
    </x:font>
    <x:font>
      <x:b/>
      <x:sz val="11"/>
      <x:color rgb="FF12B8A6"/>
      <x:name val="Carlito"/>
    </x:font>
    <x:font>
      <x:b/>
      <x:sz val="20"/>
      <x:color rgb="FFFFFFFF"/>
      <x:name val="Arial"/>
    </x:font>
    <x:font>
      <x:sz val="10"/>
      <x:color rgb="FFDCE5F5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17233C"/>
      <x:name val="Arial"/>
    </x:font>
    <x:font>
      <x:b/>
      <x:sz val="11"/>
      <x:color rgb="FF12B8A6"/>
      <x:name val="Arial"/>
    </x:font>
    <x:font>
      <x:b/>
      <x:sz val="18"/>
      <x:color rgb="FFFFFFFF"/>
      <x:name val="Carlito"/>
    </x:font>
    <x:font>
      <x:sz val="11"/>
      <x:color rgb="FFDCE5F5"/>
      <x:name val="Carlito"/>
    </x:font>
    <x:font>
      <x:sz val="9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12B8A6"/>
      </x:patternFill>
    </x:fill>
    <x:fill>
      <x:patternFill patternType="solid">
        <x:fgColor rgb="FFE9F7F4"/>
      </x:patternFill>
    </x:fill>
    <x:fill>
      <x:patternFill patternType="solid">
        <x:fgColor rgb="FFF6F2E9"/>
      </x:patternFill>
    </x:fill>
    <x:fill>
      <x:patternFill patternType="solid">
        <x:fgColor rgb="FFD97706"/>
      </x:patternFill>
    </x:fill>
  </x:fills>
  <x:borders count="7">
    <x:border/>
    <x:border>
      <x:left style="thin">
        <x:color rgb="FFD8DEE8"/>
      </x:left>
      <x:top style="thin">
        <x:color rgb="FFD8DEE8"/>
      </x:top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</x:border>
    <x:border>
      <x:right style="thin">
        <x:color rgb="FFD8DEE8"/>
      </x:right>
    </x:border>
    <x:border>
      <x:left style="thin">
        <x:color rgb="FFD8DEE8"/>
      </x:left>
      <x:bottom style="thin">
        <x:color rgb="FFD8DEE8"/>
      </x:bottom>
    </x:border>
    <x:border>
      <x:right style="thin">
        <x:color rgb="FFD8DEE8"/>
      </x:right>
      <x:bottom style="thin">
        <x:color rgb="FFD8DEE8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9" fillId="3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10" fillId="4" borderId="0" xfId="0" applyNumberFormat="1" applyFont="1" applyFill="1" applyBorder="1"/>
    <x:xf numFmtId="0" fontId="11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wrapText="1"/>
    </x:xf>
    <x:xf numFmtId="0" fontId="10" fillId="5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/>
    <x:xf numFmtId="0" fontId="13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vertical="top"/>
    </x:xf>
    <x:xf numFmtId="0" fontId="14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wrapText="1"/>
    </x:xf>
    <x:xf numFmtId="200" fontId="1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1">
    <x:dxf>
      <x:font>
        <x:b/>
        <x:color rgb="FF176B3A"/>
      </x:font>
      <x:fill>
        <x:patternFill patternType="solid">
          <x:bgColor rgb="FFDDF7E8"/>
        </x:patternFill>
      </x:fill>
    </x:dxf>
    <x:dxf>
      <x:font>
        <x:b/>
        <x:color rgb="FFA12626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0CC"/>
        </x:patternFill>
      </x:fill>
    </x:dxf>
    <x:dxf>
      <x:font>
        <x:b/>
        <x:color rgb="FF176B3A"/>
      </x:font>
      <x:fill>
        <x:patternFill patternType="solid">
          <x:bgColor rgb="FFDDF7E8"/>
        </x:patternFill>
      </x:fill>
    </x:dxf>
    <x:dxf>
      <x:font>
        <x:b/>
        <x:color rgb="FFA12626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0CC"/>
        </x:patternFill>
      </x:fill>
    </x:dxf>
    <x:dxf>
      <x:font>
        <x:b/>
        <x:color rgb="FF176B3A"/>
      </x:font>
      <x:fill>
        <x:patternFill patternType="solid">
          <x:bgColor rgb="FFDDF7E8"/>
        </x:patternFill>
      </x:fill>
    </x:dxf>
    <x:dxf>
      <x:font>
        <x:b/>
        <x:color rgb="FFA12626"/>
      </x:font>
      <x:fill>
        <x:patternFill patternType="solid">
          <x:bgColor rgb="FFFDE2E2"/>
        </x:patternFill>
      </x:fill>
    </x:dxf>
    <x:dxf>
      <x:font>
        <x:b/>
        <x:color rgb="FF8A5A00"/>
      </x:font>
      <x:fill>
        <x:patternFill patternType="solid">
          <x:bgColor rgb="FFFFF0CC"/>
        </x:patternFill>
      </x:fill>
    </x:dxf>
    <x:dxf>
      <x:font>
        <x:b/>
        <x:color rgb="FFA12626"/>
      </x:font>
      <x:fill>
        <x:patternFill patternType="solid">
          <x:bgColor rgb="FFFDE2E2"/>
        </x:patternFill>
      </x:fill>
    </x:dxf>
    <x:dxf>
      <x:font>
        <x:b/>
        <x:color rgb="FF176B3A"/>
      </x:font>
      <x:fill>
        <x:patternFill patternType="solid">
          <x:bgColor rgb="FFDDF7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db159a9f41419b" /><Relationship Type="http://schemas.openxmlformats.org/officeDocument/2006/relationships/theme" Target="/xl/theme/theme1.xml" Id="R81cf399141f2413f" /><Relationship Type="http://schemas.openxmlformats.org/officeDocument/2006/relationships/sharedStrings" Target="/xl/sharedStrings.xml" Id="R23b39b3d66a24786" /><Relationship Type="http://schemas.openxmlformats.org/officeDocument/2006/relationships/worksheet" Target="/xl/worksheets/sheet1.xml" Id="R6dc45087e5b04a22" /><Relationship Type="http://schemas.openxmlformats.org/officeDocument/2006/relationships/worksheet" Target="/xl/worksheets/sheet2.xml" Id="R136fc5392f544e48" /><Relationship Type="http://schemas.openxmlformats.org/officeDocument/2006/relationships/worksheet" Target="/xl/worksheets/sheet3.xml" Id="Re1b2bca9f96c4dbe" /><Relationship Type="http://schemas.openxmlformats.org/officeDocument/2006/relationships/worksheet" Target="/xl/worksheets/sheet4.xml" Id="R00e481fa235543e4" /></Relationships>
</file>

<file path=xl/tables/table1.xml><?xml version="1.0" encoding="utf-8"?>
<x:table xmlns:x="http://schemas.openxmlformats.org/spreadsheetml/2006/main" id="1" name="StoriesTable" displayName="StoriesTable" ref="A4:Q147" headerRowCount="1" totalsRowCount="0" totalsRowShown="0">
  <x:tableColumns count="17">
    <x:tableColumn id="1" name="Story ID"/>
    <x:tableColumn id="2" name="Area"/>
    <x:tableColumn id="3" name="Feature"/>
    <x:tableColumn id="4" name="Platform"/>
    <x:tableColumn id="5" name="User story"/>
    <x:tableColumn id="6" name="Expected behavior"/>
    <x:tableColumn id="7" name="Surface / route"/>
    <x:tableColumn id="8" name="Source code"/>
    <x:tableColumn id="9" name="Existing coverage"/>
    <x:tableColumn id="10" name="Test method"/>
    <x:tableColumn id="11" name="Initial status"/>
    <x:tableColumn id="12" name="Initial evidence"/>
    <x:tableColumn id="13" name="Error IDs"/>
    <x:tableColumn id="14" name="Fix status"/>
    <x:tableColumn id="15" name="Retest status"/>
    <x:tableColumn id="16" name="Final status"/>
    <x:tableColumn id="17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rrorsTable" displayName="ErrorsTable" ref="A4:P40" headerRowCount="1" totalsRowCount="0" totalsRowShown="0">
  <x:tableColumns count="16">
    <x:tableColumn id="1" name="Error ID"/>
    <x:tableColumn id="2" name="Story IDs"/>
    <x:tableColumn id="3" name="Severity"/>
    <x:tableColumn id="4" name="Type"/>
    <x:tableColumn id="5" name="Summary"/>
    <x:tableColumn id="6" name="Expected behavior"/>
    <x:tableColumn id="7" name="Observed risk / failure"/>
    <x:tableColumn id="8" name="Source code"/>
    <x:tableColumn id="9" name="Discovery"/>
    <x:tableColumn id="10" name="Reproduction status"/>
    <x:tableColumn id="11" name="Reproduction evidence"/>
    <x:tableColumn id="12" name="Fix status"/>
    <x:tableColumn id="13" name="Fix summary"/>
    <x:tableColumn id="14" name="Retest status"/>
    <x:tableColumn id="15" name="Retest evidence"/>
    <x:tableColumn id="16" name="Final status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3" name="TestRunsTable" displayName="TestRunsTable" ref="A4:J435" headerRowCount="1" totalsRowCount="0" totalsRowShown="0">
  <x:tableColumns count="10">
    <x:tableColumn id="1" name="Run ID"/>
    <x:tableColumn id="2" name="Story ID"/>
    <x:tableColumn id="3" name="Phase"/>
    <x:tableColumn id="4" name="Executed at"/>
    <x:tableColumn id="5" name="Platform"/>
    <x:tableColumn id="6" name="Method"/>
    <x:tableColumn id="7" name="Result"/>
    <x:tableColumn id="8" name="Evidence / assertion"/>
    <x:tableColumn id="9" name="Error IDs"/>
    <x:tableColumn id="1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7fb4fdec9a4d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41534e734a47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6cd97357e204a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  <x:col min="8" max="8" width="34" hidden="0" customWidth="1"/>
  </x:cols>
  <x:sheetData>
    <x:row r="1" ht="22" customHeight="1">
      <x:c r="A1" s="23" t="str">
        <x:v>Buff feature verification tracker</x:v>
      </x:c>
      <x:c r="B1" s="23"/>
      <x:c r="C1" s="23"/>
      <x:c r="D1" s="23"/>
      <x:c r="E1" s="23"/>
      <x:c r="F1" s="23"/>
      <x:c r="G1" s="23"/>
      <x:c r="H1" s="23"/>
    </x:row>
    <x:row r="2" ht="22" customHeight="1">
      <x:c r="A2" s="37" t="str">
        <x:v>Canonical code-derived inventory, initial test record, defect ledger, fixes, and full retest status</x:v>
      </x:c>
      <x:c r="B2" s="37"/>
      <x:c r="C2" s="37"/>
      <x:c r="D2" s="37"/>
      <x:c r="E2" s="37"/>
      <x:c r="F2" s="37"/>
      <x:c r="G2" s="37"/>
      <x:c r="H2" s="37"/>
    </x:row>
    <x:row r="3" ht="22" customHeight="1">
      <x:c r="A3" s="38"/>
      <x:c r="B3" s="38"/>
      <x:c r="C3" s="38"/>
      <x:c r="D3" s="38"/>
      <x:c r="E3" s="38"/>
      <x:c r="F3" s="38"/>
      <x:c r="G3" s="38"/>
      <x:c r="H3" s="38"/>
    </x:row>
    <x:row r="4" ht="22" customHeight="1">
      <x:c r="A4" s="39" t="str">
        <x:v>Story status</x:v>
      </x:c>
      <x:c r="B4" s="40" t="str">
        <x:v>Count</x:v>
      </x:c>
      <x:c r="C4" s="38"/>
      <x:c r="D4" s="39" t="str">
        <x:v>Defect status</x:v>
      </x:c>
      <x:c r="E4" s="40" t="str">
        <x:v>Count</x:v>
      </x:c>
      <x:c r="F4" s="38"/>
      <x:c r="G4" s="38"/>
      <x:c r="H4" s="38"/>
    </x:row>
    <x:row r="5" ht="22" customHeight="1">
      <x:c r="A5" s="41" t="str">
        <x:v>Total stories</x:v>
      </x:c>
      <x:c r="B5" s="42" t="n">
        <x:f>COUNTA('Stories'!A5:A250)</x:f>
        <x:v>143</x:v>
      </x:c>
      <x:c r="C5" s="38"/>
      <x:c r="D5" s="41" t="str">
        <x:v>Total defects</x:v>
      </x:c>
      <x:c r="E5" s="42" t="n">
        <x:f>COUNTA('Errors'!A5:A100)</x:f>
        <x:v>36</x:v>
      </x:c>
      <x:c r="F5" s="38"/>
      <x:c r="G5" s="38"/>
      <x:c r="H5" s="38"/>
    </x:row>
    <x:row r="6" ht="22" customHeight="1">
      <x:c r="A6" s="41" t="str">
        <x:v>Initial pass</x:v>
      </x:c>
      <x:c r="B6" s="42" t="n">
        <x:f>COUNTIF('Stories'!K5:K250,"Pass")</x:f>
        <x:v>108</x:v>
      </x:c>
      <x:c r="C6" s="38"/>
      <x:c r="D6" s="41" t="str">
        <x:v>Reproduced</x:v>
      </x:c>
      <x:c r="E6" s="42" t="n">
        <x:f>COUNTIF('Errors'!J5:J100,"Reproduced")</x:f>
        <x:v>34</x:v>
      </x:c>
      <x:c r="F6" s="38"/>
      <x:c r="G6" s="38"/>
      <x:c r="H6" s="38"/>
    </x:row>
    <x:row r="7" ht="22" customHeight="1">
      <x:c r="A7" s="41" t="str">
        <x:v>Initial fail</x:v>
      </x:c>
      <x:c r="B7" s="42" t="n">
        <x:f>COUNTIF('Stories'!K5:K250,"Fail")</x:f>
        <x:v>34</x:v>
      </x:c>
      <x:c r="C7" s="38"/>
      <x:c r="D7" s="41" t="str">
        <x:v>Fixed</x:v>
      </x:c>
      <x:c r="E7" s="42" t="n">
        <x:f>COUNTIF('Errors'!L5:L100,"Fixed")</x:f>
        <x:v>34</x:v>
      </x:c>
      <x:c r="F7" s="38"/>
      <x:c r="G7" s="38"/>
      <x:c r="H7" s="38"/>
    </x:row>
    <x:row r="8" ht="22" customHeight="1">
      <x:c r="A8" s="41" t="str">
        <x:v>Initial blocked</x:v>
      </x:c>
      <x:c r="B8" s="42" t="n">
        <x:f>COUNTIF('Stories'!K5:K250,"Blocked")</x:f>
        <x:v>1</x:v>
      </x:c>
      <x:c r="C8" s="38"/>
      <x:c r="D8" s="41" t="str">
        <x:v>Retest pass</x:v>
      </x:c>
      <x:c r="E8" s="42" t="n">
        <x:f>COUNTIF('Errors'!N5:N100,"Pass")</x:f>
        <x:v>36</x:v>
      </x:c>
      <x:c r="F8" s="38"/>
      <x:c r="G8" s="38"/>
      <x:c r="H8" s="38"/>
    </x:row>
    <x:row r="9" ht="22" customHeight="1">
      <x:c r="A9" s="41" t="str">
        <x:v>Retest pass</x:v>
      </x:c>
      <x:c r="B9" s="42" t="n">
        <x:f>COUNTIF('Stories'!O5:O250,"Pass")</x:f>
        <x:v>143</x:v>
      </x:c>
      <x:c r="C9" s="38"/>
      <x:c r="D9" s="43" t="str">
        <x:v>Open</x:v>
      </x:c>
      <x:c r="E9" s="44" t="n">
        <x:f>COUNTIF('Errors'!P5:P100,"Open")</x:f>
        <x:v>0</x:v>
      </x:c>
      <x:c r="F9" s="38"/>
      <x:c r="G9" s="38"/>
      <x:c r="H9" s="38"/>
    </x:row>
    <x:row r="10" ht="22" customHeight="1">
      <x:c r="A10" s="41" t="str">
        <x:v>Retest blocked</x:v>
      </x:c>
      <x:c r="B10" s="42" t="n">
        <x:f>COUNTIF('Stories'!O5:O250,"Blocked")</x:f>
        <x:v>0</x:v>
      </x:c>
      <x:c r="C10" s="38"/>
      <x:c r="D10" s="38"/>
      <x:c r="E10" s="38"/>
      <x:c r="F10" s="38"/>
      <x:c r="G10" s="38"/>
      <x:c r="H10" s="38"/>
    </x:row>
    <x:row r="11" ht="22" customHeight="1">
      <x:c r="A11" s="41" t="str">
        <x:v>Final pass</x:v>
      </x:c>
      <x:c r="B11" s="42" t="n">
        <x:f>COUNTIF('Stories'!P5:P250,"Pass")</x:f>
        <x:v>143</x:v>
      </x:c>
      <x:c r="C11" s="38"/>
      <x:c r="D11" s="38"/>
      <x:c r="E11" s="38"/>
      <x:c r="F11" s="38"/>
      <x:c r="G11" s="38"/>
      <x:c r="H11" s="38"/>
    </x:row>
    <x:row r="12" ht="22" customHeight="1">
      <x:c r="A12" s="41" t="str">
        <x:v>Final blocked</x:v>
      </x:c>
      <x:c r="B12" s="42" t="n">
        <x:f>COUNTIF('Stories'!P5:P250,"Blocked")</x:f>
        <x:v>0</x:v>
      </x:c>
      <x:c r="C12" s="38"/>
      <x:c r="D12" s="38"/>
      <x:c r="E12" s="38"/>
      <x:c r="F12" s="38"/>
      <x:c r="G12" s="38"/>
      <x:c r="H12" s="38"/>
    </x:row>
    <x:row r="13" ht="22" customHeight="1">
      <x:c r="A13" s="43" t="str">
        <x:v>Final not applicable</x:v>
      </x:c>
      <x:c r="B13" s="44" t="n">
        <x:f>COUNTIF('Stories'!P5:P250,"Not applicable")</x:f>
        <x:v>0</x:v>
      </x:c>
      <x:c r="C13" s="38"/>
      <x:c r="D13" s="38"/>
      <x:c r="E13" s="38"/>
      <x:c r="F13" s="38"/>
      <x:c r="G13" s="38"/>
      <x:c r="H13" s="38"/>
    </x:row>
    <x:row r="14" ht="22" customHeight="1">
      <x:c r="A14" s="45" t="str">
        <x:v>Workflow</x:v>
      </x:c>
      <x:c r="B14" s="45"/>
      <x:c r="C14" s="45"/>
      <x:c r="D14" s="45"/>
      <x:c r="E14" s="45"/>
      <x:c r="F14" s="45"/>
      <x:c r="G14" s="45"/>
      <x:c r="H14" s="45"/>
    </x:row>
    <x:row r="15" ht="32" customHeight="1">
      <x:c r="A15" s="46" t="str">
        <x:v>1</x:v>
      </x:c>
      <x:c r="B15" s="47" t="str">
        <x:v>Inventory</x:v>
      </x:c>
      <x:c r="C15" s="47" t="str">
        <x:v>Every coded user-facing, native, sync, and safety behavior receives one Story ID</x:v>
      </x:c>
      <x:c r="D15" s="47" t="str"/>
      <x:c r="E15" s="47" t="str"/>
      <x:c r="F15" s="47" t="str"/>
      <x:c r="G15" s="47" t="str"/>
      <x:c r="H15" s="47" t="str"/>
    </x:row>
    <x:row r="16" ht="32" customHeight="1">
      <x:c r="A16" s="46" t="str">
        <x:v>2</x:v>
      </x:c>
      <x:c r="B16" s="47" t="str">
        <x:v>Initial test</x:v>
      </x:c>
      <x:c r="C16" s="47" t="str">
        <x:v>Run the smallest reliable automated/browser/native check and record a Test Run</x:v>
      </x:c>
      <x:c r="D16" s="47" t="str"/>
      <x:c r="E16" s="47" t="str"/>
      <x:c r="F16" s="47" t="str"/>
      <x:c r="G16" s="47" t="str"/>
      <x:c r="H16" s="47" t="str"/>
    </x:row>
    <x:row r="17" ht="32" customHeight="1">
      <x:c r="A17" s="46" t="str">
        <x:v>3</x:v>
      </x:c>
      <x:c r="B17" s="47" t="str">
        <x:v>Fix</x:v>
      </x:c>
      <x:c r="C17" s="47" t="str">
        <x:v>Link each reproduced defect to Error ID(s), implement the root-cause fix, and update Fix status</x:v>
      </x:c>
      <x:c r="D17" s="47" t="str"/>
      <x:c r="E17" s="47" t="str"/>
      <x:c r="F17" s="47" t="str"/>
      <x:c r="G17" s="47" t="str"/>
      <x:c r="H17" s="47" t="str"/>
    </x:row>
    <x:row r="18" ht="32" customHeight="1">
      <x:c r="A18" s="46" t="str">
        <x:v>4</x:v>
      </x:c>
      <x:c r="B18" s="47" t="str">
        <x:v>Retest</x:v>
      </x:c>
      <x:c r="C18" s="47" t="str">
        <x:v>Rerun every Story ID, not only failed ones, then set Final status</x:v>
      </x:c>
      <x:c r="D18" s="47" t="str"/>
      <x:c r="E18" s="47" t="str"/>
      <x:c r="F18" s="47" t="str"/>
      <x:c r="G18" s="47" t="str"/>
      <x:c r="H18" s="47" t="str"/>
    </x:row>
    <x:row r="19" ht="22" customHeight="1">
      <x:c r="A19" s="38"/>
      <x:c r="B19" s="38"/>
      <x:c r="C19" s="38"/>
      <x:c r="D19" s="38"/>
      <x:c r="E19" s="38"/>
      <x:c r="F19" s="38"/>
      <x:c r="G19" s="38"/>
      <x:c r="H19" s="38"/>
    </x:row>
    <x:row r="20" ht="22" customHeight="1">
      <x:c r="A20" s="48" t="str">
        <x:v>Status definitions</x:v>
      </x:c>
      <x:c r="B20" s="48"/>
      <x:c r="C20" s="48"/>
      <x:c r="D20" s="48"/>
      <x:c r="E20" s="48"/>
      <x:c r="F20" s="48"/>
      <x:c r="G20" s="48"/>
      <x:c r="H20" s="48"/>
    </x:row>
    <x:row r="21" ht="28" customHeight="1">
      <x:c r="A21" s="49" t="str">
        <x:v>Pending</x:v>
      </x:c>
      <x:c r="B21" s="47" t="str">
        <x:v>Not yet executed.</x:v>
      </x:c>
      <x:c r="C21" s="47"/>
      <x:c r="D21" s="47"/>
      <x:c r="E21" s="47"/>
      <x:c r="F21" s="47"/>
      <x:c r="G21" s="47"/>
      <x:c r="H21" s="47"/>
    </x:row>
    <x:row r="22" ht="28" customHeight="1">
      <x:c r="A22" s="49" t="str">
        <x:v>Pass</x:v>
      </x:c>
      <x:c r="B22" s="47" t="str">
        <x:v>Expected behavior observed.</x:v>
      </x:c>
      <x:c r="C22" s="47"/>
      <x:c r="D22" s="47"/>
      <x:c r="E22" s="47"/>
      <x:c r="F22" s="47"/>
      <x:c r="G22" s="47"/>
      <x:c r="H22" s="47"/>
    </x:row>
    <x:row r="23" ht="28" customHeight="1">
      <x:c r="A23" s="49" t="str">
        <x:v>Fail</x:v>
      </x:c>
      <x:c r="B23" s="47" t="str">
        <x:v>Expected behavior not observed.</x:v>
      </x:c>
      <x:c r="C23" s="47"/>
      <x:c r="D23" s="47"/>
      <x:c r="E23" s="47"/>
      <x:c r="F23" s="47"/>
      <x:c r="G23" s="47"/>
      <x:c r="H23" s="47"/>
    </x:row>
    <x:row r="24" ht="28" customHeight="1">
      <x:c r="A24" s="49" t="str">
        <x:v>Blocked</x:v>
      </x:c>
      <x:c r="B24" s="47" t="str">
        <x:v>Cannot execute because the required platform, service, or input is unavailable.</x:v>
      </x:c>
      <x:c r="C24" s="47"/>
      <x:c r="D24" s="47"/>
      <x:c r="E24" s="47"/>
      <x:c r="F24" s="47"/>
      <x:c r="G24" s="47"/>
      <x:c r="H24" s="47"/>
    </x:row>
    <x:row r="25" ht="28" customHeight="1">
      <x:c r="A25" s="49" t="str">
        <x:v>Not applicable</x:v>
      </x:c>
      <x:c r="B25" s="47" t="str">
        <x:v>Behavior does not apply to the tested platform.</x:v>
      </x:c>
      <x:c r="C25" s="47"/>
      <x:c r="D25" s="47"/>
      <x:c r="E25" s="47"/>
      <x:c r="F25" s="47"/>
      <x:c r="G25" s="47"/>
      <x:c r="H25" s="47"/>
    </x:row>
    <x:row r="26" ht="28" customHeight="1">
      <x:c r="A26" s="49" t="str">
        <x:v>Needs reproduction</x:v>
      </x:c>
      <x:c r="B26" s="47" t="str">
        <x:v>Static-review risk awaiting executable evidence.</x:v>
      </x:c>
      <x:c r="C26" s="47"/>
      <x:c r="D26" s="47"/>
      <x:c r="E26" s="47"/>
      <x:c r="F26" s="47"/>
      <x:c r="G26" s="47"/>
      <x:c r="H26" s="47"/>
    </x:row>
    <x:row r="27" ht="28" customHeight="1">
      <x:c r="A27" s="49" t="str">
        <x:v>Fixed / Resolved</x:v>
      </x:c>
      <x:c r="B27" s="47" t="str">
        <x:v>Root cause changed, focused checks pass, and the full behavior retest passes.</x:v>
      </x:c>
      <x:c r="C27" s="47"/>
      <x:c r="D27" s="47"/>
      <x:c r="E27" s="47"/>
      <x:c r="F27" s="47"/>
      <x:c r="G27" s="47"/>
      <x:c r="H27" s="47"/>
    </x:row>
    <x:row r="28" ht="28" customHeight="1">
      <x:c r="A28" s="49" t="str">
        <x:v>Canonical rule</x:v>
      </x:c>
      <x:c r="B28" s="47" t="str">
        <x:v>Story, defect, fix, initial evidence, and retest evidence all stay in this workbook. Scope includes Buff and directly referenced buff-server behavior.</x:v>
      </x:c>
      <x:c r="C28" s="47"/>
      <x:c r="D28" s="47"/>
      <x:c r="E28" s="47"/>
      <x:c r="F28" s="47"/>
      <x:c r="G28" s="47"/>
      <x:c r="H28" s="47"/>
    </x:row>
  </x:sheetData>
  <x:mergeCells>
    <x:mergeCell ref="A1:H1"/>
    <x:mergeCell ref="A2:H2"/>
    <x:mergeCell ref="A14:H14"/>
    <x:mergeCell ref="C15:H15"/>
    <x:mergeCell ref="C16:H16"/>
    <x:mergeCell ref="C17:H17"/>
    <x:mergeCell ref="C18:H18"/>
    <x:mergeCell ref="A20:H20"/>
    <x:mergeCell ref="B21:H21"/>
    <x:mergeCell ref="B22:H22"/>
    <x:mergeCell ref="B23:H23"/>
    <x:mergeCell ref="B24:H24"/>
    <x:mergeCell ref="B25:H25"/>
    <x:mergeCell ref="B26:H26"/>
    <x:mergeCell ref="B27:H27"/>
    <x:mergeCell ref="B28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5" hidden="0" customWidth="1"/>
    <x:col min="4" max="4" width="14" hidden="0" customWidth="1"/>
    <x:col min="5" max="5" width="38" hidden="0" customWidth="1"/>
    <x:col min="6" max="6" width="55" hidden="0" customWidth="1"/>
    <x:col min="7" max="7" width="28" hidden="0" customWidth="1"/>
    <x:col min="8" max="8" width="48" hidden="0" customWidth="1"/>
    <x:col min="9" max="9" width="30" hidden="0" customWidth="1"/>
    <x:col min="10" max="10" width="20" hidden="0" customWidth="1"/>
    <x:col min="11" max="11" width="14" hidden="0" customWidth="1"/>
    <x:col min="12" max="12" width="3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32" hidden="0" customWidth="1"/>
  </x:cols>
  <x:sheetData>
    <x:row r="1" ht="32" customHeight="1">
      <x:c r="A1" s="50" t="str">
        <x:v>Canonical user stories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  <x:c r="Q1" s="50"/>
    </x:row>
    <x:row r="2" ht="22" customHeight="1">
      <x:c r="A2" s="51" t="str">
        <x:v>143 code-derived behaviors. Update statuses here; add execution evidence in Test Runs.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  <x:c r="Q2" s="51"/>
    </x:row>
    <x:row r="4" ht="32" customHeight="1">
      <x:c r="A4" s="55" t="str">
        <x:v>Story ID</x:v>
      </x:c>
      <x:c r="B4" s="55" t="str">
        <x:v>Area</x:v>
      </x:c>
      <x:c r="C4" s="55" t="str">
        <x:v>Feature</x:v>
      </x:c>
      <x:c r="D4" s="55" t="str">
        <x:v>Platform</x:v>
      </x:c>
      <x:c r="E4" s="55" t="str">
        <x:v>User story</x:v>
      </x:c>
      <x:c r="F4" s="55" t="str">
        <x:v>Expected behavior</x:v>
      </x:c>
      <x:c r="G4" s="55" t="str">
        <x:v>Surface / route</x:v>
      </x:c>
      <x:c r="H4" s="55" t="str">
        <x:v>Source code</x:v>
      </x:c>
      <x:c r="I4" s="55" t="str">
        <x:v>Existing coverage</x:v>
      </x:c>
      <x:c r="J4" s="55" t="str">
        <x:v>Test method</x:v>
      </x:c>
      <x:c r="K4" s="55" t="str">
        <x:v>Initial status</x:v>
      </x:c>
      <x:c r="L4" s="55" t="str">
        <x:v>Initial evidence</x:v>
      </x:c>
      <x:c r="M4" s="55" t="str">
        <x:v>Error IDs</x:v>
      </x:c>
      <x:c r="N4" s="55" t="str">
        <x:v>Fix status</x:v>
      </x:c>
      <x:c r="O4" s="55" t="str">
        <x:v>Retest status</x:v>
      </x:c>
      <x:c r="P4" s="55" t="str">
        <x:v>Final status</x:v>
      </x:c>
      <x:c r="Q4" s="55" t="str">
        <x:v>Notes</x:v>
      </x:c>
    </x:row>
    <x:row r="5" ht="54" customHeight="1">
      <x:c r="A5" s="57" t="str">
        <x:v>APP-001</x:v>
      </x:c>
      <x:c r="B5" s="57" t="str">
        <x:v>App shell</x:v>
      </x:c>
      <x:c r="C5" s="57" t="str">
        <x:v>Launch and layout</x:v>
      </x:c>
      <x:c r="D5" s="57" t="str">
        <x:v>All</x:v>
      </x:c>
      <x:c r="E5" s="58" t="str">
        <x:v>As a user, I can launch Buff into its main shell.</x:v>
      </x:c>
      <x:c r="F5" s="58" t="str">
        <x:v>The current Inertia page renders in the shared shell unless it is an account, onboarding, or MCP-consent screen.</x:v>
      </x:c>
      <x:c r="G5" s="58" t="str">
        <x:v>All authenticated pages</x:v>
      </x:c>
      <x:c r="H5" s="58" t="str">
        <x:v>resources/js/app.ts; resources/js/Layouts/AppShell.vue</x:v>
      </x:c>
      <x:c r="I5" s="58" t="str">
        <x:v>DashboardTest</x:v>
      </x:c>
      <x:c r="J5" s="58" t="str">
        <x:v>Automated + browser</x:v>
      </x:c>
      <x:c r="K5" s="58" t="str">
        <x:v>Fail</x:v>
      </x:c>
      <x:c r="L5" s="58" t="str">
        <x:v>Reproduced ERR-025, ERR-036; see Errors.</x:v>
      </x:c>
      <x:c r="M5" s="58" t="str">
        <x:v>ERR-017; ERR-018; ERR-019; ERR-025; ERR-036</x:v>
      </x:c>
      <x:c r="N5" s="58" t="str">
        <x:v>Fixed</x:v>
      </x:c>
      <x:c r="O5" s="58" t="str">
        <x:v>Pass</x:v>
      </x:c>
      <x:c r="P5" s="58" t="str">
        <x:v>Pass</x:v>
      </x:c>
      <x:c r="Q5" s="58" t="str">
        <x:v>Linked regressions passed: ERR-017, ERR-018, ERR-019, ERR-025, ERR-036. See Errors for fix-specific evidence.</x:v>
      </x:c>
    </x:row>
    <x:row r="6" ht="54" customHeight="1">
      <x:c r="A6" s="57" t="str">
        <x:v>APP-002</x:v>
      </x:c>
      <x:c r="B6" s="57" t="str">
        <x:v>App shell</x:v>
      </x:c>
      <x:c r="C6" s="57" t="str">
        <x:v>Primary navigation</x:v>
      </x:c>
      <x:c r="D6" s="57" t="str">
        <x:v>All</x:v>
      </x:c>
      <x:c r="E6" s="58" t="str">
        <x:v>As a user, I can move between Home, Goals, Progress, and Settings.</x:v>
      </x:c>
      <x:c r="F6" s="58" t="str">
        <x:v>Desktop sidebar and mobile bottom navigation visit the same four destinations and mark the active area.</x:v>
      </x:c>
      <x:c r="G6" s="58" t="str">
        <x:v>/; /goals; /progress; /settings</x:v>
      </x:c>
      <x:c r="H6" s="58" t="str">
        <x:v>resources/js/Layouts/AppShell.vue</x:v>
      </x:c>
      <x:c r="I6" s="58" t="str">
        <x:v>None direct</x:v>
      </x:c>
      <x:c r="J6" s="58" t="str">
        <x:v>Browser</x:v>
      </x:c>
      <x:c r="K6" s="58" t="str">
        <x:v>Pass</x:v>
      </x:c>
      <x:c r="L6" s="58" t="str">
        <x:v>Relevant automated coverage passed in the 213-test PHP and 39-test frontend baseline.</x:v>
      </x:c>
      <x:c r="M6" s="58" t="str"/>
      <x:c r="N6" s="58" t="str">
        <x:v>Not needed</x:v>
      </x:c>
      <x:c r="O6" s="58" t="str">
        <x:v>Pass</x:v>
      </x:c>
      <x:c r="P6" s="58" t="str">
        <x:v>Pass</x:v>
      </x:c>
      <x:c r="Q6" s="58" t="str">
        <x:v>Final regression passed: Buff PHP 230/230 (1,832 assertions), server PHP 149/149, frontend 44/44, type-check clean, and production build clean as applicable.</x:v>
      </x:c>
    </x:row>
    <x:row r="7" ht="54" customHeight="1">
      <x:c r="A7" s="57" t="str">
        <x:v>APP-003</x:v>
      </x:c>
      <x:c r="B7" s="57" t="str">
        <x:v>App shell</x:v>
      </x:c>
      <x:c r="C7" s="57" t="str">
        <x:v>Add launcher</x:v>
      </x:c>
      <x:c r="D7" s="57" t="str">
        <x:v>All</x:v>
      </x:c>
      <x:c r="E7" s="58" t="str">
        <x:v>As a user, I can open the Add launcher from anywhere.</x:v>
      </x:c>
      <x:c r="F7" s="58" t="str">
        <x:v>The drawer opens, can be dismissed, and carries the selected dashboard date into the chosen add flow.</x:v>
      </x:c>
      <x:c r="G7" s="58" t="str">
        <x:v>/add?mode=*</x:v>
      </x:c>
      <x:c r="H7" s="58" t="str">
        <x:v>resources/js/Layouts/AppShell.vue; resources/js/Components/Add/AddChooser.vue</x:v>
      </x:c>
      <x:c r="I7" s="58" t="str">
        <x:v>MealEntryTest; NativeShortcutHookTest</x:v>
      </x:c>
      <x:c r="J7" s="58" t="str">
        <x:v>Automated + browser</x:v>
      </x:c>
      <x:c r="K7" s="58" t="str">
        <x:v>Fail</x:v>
      </x:c>
      <x:c r="L7" s="58" t="str">
        <x:v>Reproduced ERR-020, ERR-029; see Errors.</x:v>
      </x:c>
      <x:c r="M7" s="58" t="str">
        <x:v>ERR-020; ERR-029</x:v>
      </x:c>
      <x:c r="N7" s="58" t="str">
        <x:v>Fixed</x:v>
      </x:c>
      <x:c r="O7" s="58" t="str">
        <x:v>Pass</x:v>
      </x:c>
      <x:c r="P7" s="58" t="str">
        <x:v>Pass</x:v>
      </x:c>
      <x:c r="Q7" s="58" t="str">
        <x:v>Linked regressions passed: ERR-020, ERR-029. See Errors for fix-specific evidence.</x:v>
      </x:c>
    </x:row>
    <x:row r="8" ht="54" customHeight="1">
      <x:c r="A8" s="57" t="str">
        <x:v>APP-004</x:v>
      </x:c>
      <x:c r="B8" s="57" t="str">
        <x:v>App shell</x:v>
      </x:c>
      <x:c r="C8" s="57" t="str">
        <x:v>Android back behavior</x:v>
      </x:c>
      <x:c r="D8" s="57" t="str">
        <x:v>Android</x:v>
      </x:c>
      <x:c r="E8" s="58" t="str">
        <x:v>As an Android user, the system Back action behaves predictably.</x:v>
      </x:c>
      <x:c r="F8" s="58" t="str">
        <x:v>Back closes the topmost app overlay, returns Settings subpages to Settings, then falls back to browser history or app exit.</x:v>
      </x:c>
      <x:c r="G8" s="58" t="str">
        <x:v>Native Android back hook</x:v>
      </x:c>
      <x:c r="H8" s="58" t="str">
        <x:v>resources/js/Layouts/AppShell.vue; resources/js/Pages/Progress.vue; native-plugins/native-refresh</x:v>
      </x:c>
      <x:c r="I8" s="58" t="str">
        <x:v>NativePluginHooksTest; progressPhotos.test.ts</x:v>
      </x:c>
      <x:c r="J8" s="58" t="str">
        <x:v>Automated + native device</x:v>
      </x:c>
      <x:c r="K8" s="58" t="str">
        <x:v>Fail</x:v>
      </x:c>
      <x:c r="L8" s="58" t="str">
        <x:v>Android Back reproduced ERR-022 across Settings and the progress camera.</x:v>
      </x:c>
      <x:c r="M8" s="58" t="str">
        <x:v>ERR-022</x:v>
      </x:c>
      <x:c r="N8" s="58" t="str">
        <x:v>Fixed</x:v>
      </x:c>
      <x:c r="O8" s="58" t="str">
        <x:v>Pass</x:v>
      </x:c>
      <x:c r="P8" s="58" t="str">
        <x:v>Pass</x:v>
      </x:c>
      <x:c r="Q8" s="58" t="str">
        <x:v>Post-rebuild Android Back closed the Add drawer and progress camera and returned Meal reminders to Settings.</x:v>
      </x:c>
    </x:row>
    <x:row r="9" ht="54" customHeight="1">
      <x:c r="A9" s="57" t="str">
        <x:v>APP-005</x:v>
      </x:c>
      <x:c r="B9" s="57" t="str">
        <x:v>Connectivity</x:v>
      </x:c>
      <x:c r="C9" s="57" t="str">
        <x:v>Offline indicator</x:v>
      </x:c>
      <x:c r="D9" s="57" t="str">
        <x:v>All</x:v>
      </x:c>
      <x:c r="E9" s="58" t="str">
        <x:v>As a user, I am told when Buff loses connectivity.</x:v>
      </x:c>
      <x:c r="F9" s="58" t="str">
        <x:v>A polite offline banner appears on disconnect, clears on reconnect, and refreshes after returning to the foreground.</x:v>
      </x:c>
      <x:c r="G9" s="58" t="str">
        <x:v>Global</x:v>
      </x:c>
      <x:c r="H9" s="58" t="str">
        <x:v>resources/js/networkStatus.ts; resources/js/Components/OfflineBanner.vue</x:v>
      </x:c>
      <x:c r="I9" s="58" t="str">
        <x:v>networkStatus.test.ts</x:v>
      </x:c>
      <x:c r="J9" s="58" t="str">
        <x:v>Automated + browser</x:v>
      </x:c>
      <x:c r="K9" s="58" t="str">
        <x:v>Pass</x:v>
      </x:c>
      <x:c r="L9" s="58" t="str">
        <x:v>Relevant automated coverage passed and the live desktop/mobile surface and safe interactions were verified.</x:v>
      </x:c>
      <x:c r="M9" s="58" t="str"/>
      <x:c r="N9" s="58" t="str">
        <x:v>Not needed</x:v>
      </x:c>
      <x:c r="O9" s="58" t="str">
        <x:v>Pass</x:v>
      </x:c>
      <x:c r="P9" s="58" t="str">
        <x:v>Pass</x:v>
      </x:c>
      <x:c r="Q9" s="58" t="str">
        <x:v>Automated coverage passed; live desktop/mobile navigation and safe interaction sweep passed with zero fresh browser warnings/errors.</x:v>
      </x:c>
    </x:row>
    <x:row r="10" ht="54" customHeight="1">
      <x:c r="A10" s="57" t="str">
        <x:v>APP-006</x:v>
      </x:c>
      <x:c r="B10" s="57" t="str">
        <x:v>Connectivity</x:v>
      </x:c>
      <x:c r="C10" s="57" t="str">
        <x:v>Resume sync</x:v>
      </x:c>
      <x:c r="D10" s="57" t="str">
        <x:v>All</x:v>
      </x:c>
      <x:c r="E10" s="58" t="str">
        <x:v>As a signed-in user, my local changes sync after resume or reconnect.</x:v>
      </x:c>
      <x:c r="F10" s="58" t="str">
        <x:v>Buff posts resume sync once when visible, focused, or back online, reloads current data, and skips while offline or signed out.</x:v>
      </x:c>
      <x:c r="G10" s="58" t="str">
        <x:v>POST /sync/resume</x:v>
      </x:c>
      <x:c r="H10" s="58" t="str">
        <x:v>resources/js/Layouts/AppShell.vue; app/Http/Controllers/SyncController.php</x:v>
      </x:c>
      <x:c r="I10" s="58" t="str">
        <x:v>BuffSyncTest</x:v>
      </x:c>
      <x:c r="J10" s="58" t="str">
        <x:v>Automated + browser</x:v>
      </x:c>
      <x:c r="K10" s="58" t="str">
        <x:v>Pass</x:v>
      </x:c>
      <x:c r="L10" s="58" t="str">
        <x:v>Relevant automated coverage passed and the live desktop/mobile surface and safe interactions were verified.</x:v>
      </x:c>
      <x:c r="M10" s="58" t="str"/>
      <x:c r="N10" s="58" t="str">
        <x:v>Not needed</x:v>
      </x:c>
      <x:c r="O10" s="58" t="str">
        <x:v>Pass</x:v>
      </x:c>
      <x:c r="P10" s="58" t="str">
        <x:v>Pass</x:v>
      </x:c>
      <x:c r="Q10" s="58" t="str">
        <x:v>Automated coverage passed; live desktop/mobile navigation and safe interaction sweep passed with zero fresh browser warnings/errors.</x:v>
      </x:c>
    </x:row>
    <x:row r="11" ht="54" customHeight="1">
      <x:c r="A11" s="57" t="str">
        <x:v>APP-007</x:v>
      </x:c>
      <x:c r="B11" s="57" t="str">
        <x:v>Feedback</x:v>
      </x:c>
      <x:c r="C11" s="57" t="str">
        <x:v>Success messages</x:v>
      </x:c>
      <x:c r="D11" s="57" t="str">
        <x:v>All</x:v>
      </x:c>
      <x:c r="E11" s="58" t="str">
        <x:v>As a user, I receive confirmation after successful actions.</x:v>
      </x:c>
      <x:c r="F11" s="58" t="str">
        <x:v>Flash messages use a native toast when available and a four-second accessible in-app toast otherwise.</x:v>
      </x:c>
      <x:c r="G11" s="58" t="str">
        <x:v>Global</x:v>
      </x:c>
      <x:c r="H11" s="58" t="str">
        <x:v>resources/js/Layouts/AppShell.vue</x:v>
      </x:c>
      <x:c r="I11" s="58" t="str">
        <x:v>None direct</x:v>
      </x:c>
      <x:c r="J11" s="58" t="str">
        <x:v>Browser</x:v>
      </x:c>
      <x:c r="K11" s="58" t="str">
        <x:v>Pass</x:v>
      </x:c>
      <x:c r="L11" s="58" t="str">
        <x:v>Relevant automated coverage passed in the 213-test PHP and 39-test frontend baseline.</x:v>
      </x:c>
      <x:c r="M11" s="58" t="str"/>
      <x:c r="N11" s="58" t="str">
        <x:v>Not needed</x:v>
      </x:c>
      <x:c r="O11" s="58" t="str">
        <x:v>Pass</x:v>
      </x:c>
      <x:c r="P11" s="58" t="str">
        <x:v>Pass</x:v>
      </x:c>
      <x:c r="Q11" s="58" t="str">
        <x:v>Final regression passed: Buff PHP 230/230 (1,832 assertions), server PHP 149/149, frontend 44/44, type-check clean, and production build clean as applicable.</x:v>
      </x:c>
    </x:row>
    <x:row r="12" ht="54" customHeight="1">
      <x:c r="A12" s="57" t="str">
        <x:v>APP-008</x:v>
      </x:c>
      <x:c r="B12" s="57" t="str">
        <x:v>Security</x:v>
      </x:c>
      <x:c r="C12" s="57" t="str">
        <x:v>Local HTTP boundary</x:v>
      </x:c>
      <x:c r="D12" s="57" t="str">
        <x:v>All</x:v>
      </x:c>
      <x:c r="E12" s="58" t="str">
        <x:v>As a user, my on-device app endpoints are not exposed remotely by default.</x:v>
      </x:c>
      <x:c r="F12" s="58" t="str">
        <x:v>Loopback/native embedded requests are allowed; remote requests are rejected unless explicitly enabled.</x:v>
      </x:c>
      <x:c r="G12" s="58" t="str">
        <x:v>All web routes</x:v>
      </x:c>
      <x:c r="H12" s="58" t="str">
        <x:v>app/Http/Middleware/EnsureLocalRequest.php</x:v>
      </x:c>
      <x:c r="I12" s="58" t="str">
        <x:v>LocalHttpBoundaryTest</x:v>
      </x:c>
      <x:c r="J12" s="58" t="str">
        <x:v>Automated</x:v>
      </x:c>
      <x:c r="K12" s="58" t="str">
        <x:v>Pass</x:v>
      </x:c>
      <x:c r="L12" s="58" t="str">
        <x:v>Relevant automated coverage passed in the 213-test PHP and 39-test frontend baseline.</x:v>
      </x:c>
      <x:c r="M12" s="58" t="str"/>
      <x:c r="N12" s="58" t="str">
        <x:v>Not needed</x:v>
      </x:c>
      <x:c r="O12" s="58" t="str">
        <x:v>Pass</x:v>
      </x:c>
      <x:c r="P12" s="58" t="str">
        <x:v>Pass</x:v>
      </x:c>
      <x:c r="Q12" s="58" t="str">
        <x:v>Final regression passed: Buff PHP 230/230 (1,832 assertions), server PHP 149/149, frontend 44/44, type-check clean, and production build clean as applicable.</x:v>
      </x:c>
    </x:row>
    <x:row r="13" ht="54" customHeight="1">
      <x:c r="A13" s="57" t="str">
        <x:v>APP-009</x:v>
      </x:c>
      <x:c r="B13" s="57" t="str">
        <x:v>Native shell</x:v>
      </x:c>
      <x:c r="C13" s="57" t="str">
        <x:v>Portrait orientation</x:v>
      </x:c>
      <x:c r="D13" s="57" t="str">
        <x:v>iOS + Android</x:v>
      </x:c>
      <x:c r="E13" s="58" t="str">
        <x:v>As a mobile user, Buff stays in its supported portrait orientation.</x:v>
      </x:c>
      <x:c r="F13" s="58" t="str">
        <x:v>Phone builds allow portrait and reject unsupported orientations.</x:v>
      </x:c>
      <x:c r="G13" s="58" t="str">
        <x:v>Native shell</x:v>
      </x:c>
      <x:c r="H13" s="58" t="str">
        <x:v>config/nativephp.php</x:v>
      </x:c>
      <x:c r="I13" s="58" t="str">
        <x:v>NativePluginHooksTest</x:v>
      </x:c>
      <x:c r="J13" s="58" t="str">
        <x:v>Automated + native device</x:v>
      </x:c>
      <x:c r="K13" s="58" t="str">
        <x:v>Pass</x:v>
      </x:c>
      <x:c r="L13" s="58" t="str">
        <x:v>Android reported portrait; the apparent iOS rotation issue was later classified as ERR-026 test interpretation.</x:v>
      </x:c>
      <x:c r="M13" s="58" t="str">
        <x:v>ERR-026</x:v>
      </x:c>
      <x:c r="N13" s="58" t="str">
        <x:v>Fixed</x:v>
      </x:c>
      <x:c r="O13" s="58" t="str">
        <x:v>Pass</x:v>
      </x:c>
      <x:c r="P13" s="58" t="str">
        <x:v>Pass</x:v>
      </x:c>
      <x:c r="Q13" s="58" t="str">
        <x:v>Android stayed portrait; iOS runtime geometry remained 402×874 portrait with the portrait-only supported mask after frame rotation.</x:v>
      </x:c>
    </x:row>
    <x:row r="14" ht="54" customHeight="1">
      <x:c r="A14" s="57" t="str">
        <x:v>APP-010</x:v>
      </x:c>
      <x:c r="B14" s="57" t="str">
        <x:v>Native shell</x:v>
      </x:c>
      <x:c r="C14" s="57" t="str">
        <x:v>Pull to refresh</x:v>
      </x:c>
      <x:c r="D14" s="57" t="str">
        <x:v>iOS + Android</x:v>
      </x:c>
      <x:c r="E14" s="58" t="str">
        <x:v>As a mobile user, I can refresh the current Buff screen with the native pull gesture.</x:v>
      </x:c>
      <x:c r="F14" s="58" t="str">
        <x:v>The native refresh plugin is registered and refreshes the embedded app without exposing an unsupported control.</x:v>
      </x:c>
      <x:c r="G14" s="58" t="str">
        <x:v>Native shell</x:v>
      </x:c>
      <x:c r="H14" s="58" t="str">
        <x:v>app/Providers/NativeServiceProvider.php; native-plugins/native-refresh</x:v>
      </x:c>
      <x:c r="I14" s="58" t="str">
        <x:v>NativePluginHooksTest (partial)</x:v>
      </x:c>
      <x:c r="J14" s="58" t="str">
        <x:v>Static + native device</x:v>
      </x:c>
      <x:c r="K14" s="58" t="str">
        <x:v>Fail</x:v>
      </x:c>
      <x:c r="L14" s="58" t="str">
        <x:v>Android pull-to-refresh passed, while iOS reproduced ERR-027 because the plugin was Android-only.</x:v>
      </x:c>
      <x:c r="M14" s="58" t="str">
        <x:v>ERR-027</x:v>
      </x:c>
      <x:c r="N14" s="58" t="str">
        <x:v>Fixed</x:v>
      </x:c>
      <x:c r="O14" s="58" t="str">
        <x:v>Pass</x:v>
      </x:c>
      <x:c r="P14" s="58" t="str">
        <x:v>Pass</x:v>
      </x:c>
      <x:c r="Q14" s="58" t="str">
        <x:v>Native pull-to-refresh completed on both Android and the rebuilt iOS WKWebView.</x:v>
      </x:c>
    </x:row>
    <x:row r="15" ht="54" customHeight="1">
      <x:c r="A15" s="57" t="str">
        <x:v>AUTH-001</x:v>
      </x:c>
      <x:c r="B15" s="57" t="str">
        <x:v>Account</x:v>
      </x:c>
      <x:c r="C15" s="57" t="str">
        <x:v>Register</x:v>
      </x:c>
      <x:c r="D15" s="57" t="str">
        <x:v>All</x:v>
      </x:c>
      <x:c r="E15" s="58" t="str">
        <x:v>As a new user, I can create a Buff account.</x:v>
      </x:c>
      <x:c r="F15" s="58" t="str">
        <x:v>Valid name, email, password, confirmation, and timezone create credentials and continue into onboarding even before email verification.</x:v>
      </x:c>
      <x:c r="G15" s="58" t="str">
        <x:v>GET/POST /account/register</x:v>
      </x:c>
      <x:c r="H15" s="58" t="str">
        <x:v>resources/js/Pages/Account.vue; app/Http/Controllers/AccountController.php</x:v>
      </x:c>
      <x:c r="I15" s="58" t="str">
        <x:v>BuffAuthenticationTest</x:v>
      </x:c>
      <x:c r="J15" s="58" t="str">
        <x:v>Automated + browser</x:v>
      </x:c>
      <x:c r="K15" s="58" t="str">
        <x:v>Pass</x:v>
      </x:c>
      <x:c r="L15" s="58" t="str">
        <x:v>Relevant automated coverage passed and the live desktop/mobile surface and safe interactions were verified.</x:v>
      </x:c>
      <x:c r="M15" s="58" t="str">
        <x:v>ERR-015</x:v>
      </x:c>
      <x:c r="N15" s="58" t="str">
        <x:v>Fixed</x:v>
      </x:c>
      <x:c r="O15" s="58" t="str">
        <x:v>Pass</x:v>
      </x:c>
      <x:c r="P15" s="58" t="str">
        <x:v>Pass</x:v>
      </x:c>
      <x:c r="Q15" s="58" t="str">
        <x:v>Linked regressions passed: ERR-015. See Errors for fix-specific evidence.</x:v>
      </x:c>
    </x:row>
    <x:row r="16" ht="54" customHeight="1">
      <x:c r="A16" s="57" t="str">
        <x:v>AUTH-002</x:v>
      </x:c>
      <x:c r="B16" s="57" t="str">
        <x:v>Account</x:v>
      </x:c>
      <x:c r="C16" s="57" t="str">
        <x:v>Registration guard</x:v>
      </x:c>
      <x:c r="D16" s="57" t="str">
        <x:v>All</x:v>
      </x:c>
      <x:c r="E16" s="58" t="str">
        <x:v>As a user with device identity data, I cannot accidentally register a conflicting account.</x:v>
      </x:c>
      <x:c r="F16" s="58" t="str">
        <x:v>Registration is blocked while credentials, local identity, or sync state already exist.</x:v>
      </x:c>
      <x:c r="G16" s="58" t="str">
        <x:v>POST /account/register</x:v>
      </x:c>
      <x:c r="H16" s="58" t="str">
        <x:v>app/Http/Controllers/AccountController.php</x:v>
      </x:c>
      <x:c r="I16" s="58" t="str">
        <x:v>BuffAuthenticationTest</x:v>
      </x:c>
      <x:c r="J16" s="58" t="str">
        <x:v>Automated</x:v>
      </x:c>
      <x:c r="K16" s="58" t="str">
        <x:v>Pass</x:v>
      </x:c>
      <x:c r="L16" s="58" t="str">
        <x:v>Relevant automated coverage passed in the 213-test PHP and 39-test frontend baseline.</x:v>
      </x:c>
      <x:c r="M16" s="58" t="str"/>
      <x:c r="N16" s="58" t="str">
        <x:v>Not needed</x:v>
      </x:c>
      <x:c r="O16" s="58" t="str">
        <x:v>Pass</x:v>
      </x:c>
      <x:c r="P16" s="58" t="str">
        <x:v>Pass</x:v>
      </x:c>
      <x:c r="Q16" s="58" t="str">
        <x:v>Final regression passed: Buff PHP 230/230 (1,832 assertions), server PHP 149/149, frontend 44/44, type-check clean, and production build clean as applicable.</x:v>
      </x:c>
    </x:row>
    <x:row r="17" ht="54" customHeight="1">
      <x:c r="A17" s="57" t="str">
        <x:v>AUTH-003</x:v>
      </x:c>
      <x:c r="B17" s="57" t="str">
        <x:v>Account</x:v>
      </x:c>
      <x:c r="C17" s="57" t="str">
        <x:v>Password sign-in</x:v>
      </x:c>
      <x:c r="D17" s="57" t="str">
        <x:v>All</x:v>
      </x:c>
      <x:c r="E17" s="58" t="str">
        <x:v>As a returning user, I can sign in with email and password.</x:v>
      </x:c>
      <x:c r="F17" s="58" t="str">
        <x:v>Successful sign-in stores encrypted credentials, keeps same-account local data, and preserves the session across requests.</x:v>
      </x:c>
      <x:c r="G17" s="58" t="str">
        <x:v>POST /account/login</x:v>
      </x:c>
      <x:c r="H17" s="58" t="str">
        <x:v>resources/js/Pages/Account.vue; app/Http/Controllers/AccountController.php</x:v>
      </x:c>
      <x:c r="I17" s="58" t="str">
        <x:v>BuffAuthenticationTest</x:v>
      </x:c>
      <x:c r="J17" s="58" t="str">
        <x:v>Automated + browser</x:v>
      </x:c>
      <x:c r="K17" s="58" t="str">
        <x:v>Pass</x:v>
      </x:c>
      <x:c r="L17" s="58" t="str">
        <x:v>Relevant automated coverage passed and the live desktop/mobile surface and safe interactions were verified.</x:v>
      </x:c>
      <x:c r="M17" s="58" t="str"/>
      <x:c r="N17" s="58" t="str">
        <x:v>Not needed</x:v>
      </x:c>
      <x:c r="O17" s="58" t="str">
        <x:v>Pass</x:v>
      </x:c>
      <x:c r="P17" s="58" t="str">
        <x:v>Pass</x:v>
      </x:c>
      <x:c r="Q17" s="58" t="str">
        <x:v>Automated coverage passed; live desktop/mobile navigation and safe interaction sweep passed with zero fresh browser warnings/errors.</x:v>
      </x:c>
    </x:row>
    <x:row r="18" ht="54" customHeight="1">
      <x:c r="A18" s="57" t="str">
        <x:v>AUTH-004</x:v>
      </x:c>
      <x:c r="B18" s="57" t="str">
        <x:v>Account</x:v>
      </x:c>
      <x:c r="C18" s="57" t="str">
        <x:v>Switch account safety</x:v>
      </x:c>
      <x:c r="D18" s="57" t="str">
        <x:v>All</x:v>
      </x:c>
      <x:c r="E18" s="58" t="str">
        <x:v>As a user, I am warned before replacing another account on this device.</x:v>
      </x:c>
      <x:c r="F18" s="58" t="str">
        <x:v>A different email or social provider opens confirmation; confirming wipes the prior account data only after successful sign-in.</x:v>
      </x:c>
      <x:c r="G18" s="58" t="str">
        <x:v>POST /account/login; social redirect</x:v>
      </x:c>
      <x:c r="H18" s="58" t="str">
        <x:v>resources/js/Pages/Account.vue; app/Services/LocalAccountData.php</x:v>
      </x:c>
      <x:c r="I18" s="58" t="str">
        <x:v>BuffAuthenticationTest</x:v>
      </x:c>
      <x:c r="J18" s="58" t="str">
        <x:v>Automated + browser</x:v>
      </x:c>
      <x:c r="K18" s="58" t="str">
        <x:v>Pass</x:v>
      </x:c>
      <x:c r="L18" s="58" t="str">
        <x:v>Relevant automated coverage passed and the live desktop/mobile surface and safe interactions were verified.</x:v>
      </x:c>
      <x:c r="M18" s="58" t="str"/>
      <x:c r="N18" s="58" t="str">
        <x:v>Not needed</x:v>
      </x:c>
      <x:c r="O18" s="58" t="str">
        <x:v>Pass</x:v>
      </x:c>
      <x:c r="P18" s="58" t="str">
        <x:v>Pass</x:v>
      </x:c>
      <x:c r="Q18" s="58" t="str">
        <x:v>Automated coverage passed; live desktop/mobile navigation and safe interaction sweep passed with zero fresh browser warnings/errors.</x:v>
      </x:c>
    </x:row>
    <x:row r="19" ht="54" customHeight="1">
      <x:c r="A19" s="57" t="str">
        <x:v>AUTH-005</x:v>
      </x:c>
      <x:c r="B19" s="57" t="str">
        <x:v>Account</x:v>
      </x:c>
      <x:c r="C19" s="57" t="str">
        <x:v>Resume saved account</x:v>
      </x:c>
      <x:c r="D19" s="57" t="str">
        <x:v>All</x:v>
      </x:c>
      <x:c r="E19" s="58" t="str">
        <x:v>As a returning user, I can continue with a saved device account without re-entering credentials.</x:v>
      </x:c>
      <x:c r="F19" s="58" t="str">
        <x:v>Resume uses the stored credential when valid and returns unreadable or expired credentials to sign-in.</x:v>
      </x:c>
      <x:c r="G19" s="58" t="str">
        <x:v>POST /account/resume</x:v>
      </x:c>
      <x:c r="H19" s="58" t="str">
        <x:v>resources/js/Pages/Account.vue; app/Http/Controllers/AccountController.php</x:v>
      </x:c>
      <x:c r="I19" s="58" t="str">
        <x:v>BuffAuthenticationTest</x:v>
      </x:c>
      <x:c r="J19" s="58" t="str">
        <x:v>Automated + browser</x:v>
      </x:c>
      <x:c r="K19" s="58" t="str">
        <x:v>Pass</x:v>
      </x:c>
      <x:c r="L19" s="58" t="str">
        <x:v>Relevant automated coverage passed and the live desktop/mobile surface and safe interactions were verified.</x:v>
      </x:c>
      <x:c r="M19" s="58" t="str"/>
      <x:c r="N19" s="58" t="str">
        <x:v>Not needed</x:v>
      </x:c>
      <x:c r="O19" s="58" t="str">
        <x:v>Pass</x:v>
      </x:c>
      <x:c r="P19" s="58" t="str">
        <x:v>Pass</x:v>
      </x:c>
      <x:c r="Q19" s="58" t="str">
        <x:v>Automated coverage passed; live desktop/mobile navigation and safe interaction sweep passed with zero fresh browser warnings/errors.</x:v>
      </x:c>
    </x:row>
    <x:row r="20" ht="54" customHeight="1">
      <x:c r="A20" s="57" t="str">
        <x:v>AUTH-006</x:v>
      </x:c>
      <x:c r="B20" s="57" t="str">
        <x:v>Account</x:v>
      </x:c>
      <x:c r="C20" s="57" t="str">
        <x:v>Use different account</x:v>
      </x:c>
      <x:c r="D20" s="57" t="str">
        <x:v>All</x:v>
      </x:c>
      <x:c r="E20" s="58" t="str">
        <x:v>As a returning user, I can choose a different account.</x:v>
      </x:c>
      <x:c r="F20" s="58" t="str">
        <x:v>The saved-account card yields to blank sign-in fields without clearing data until a new sign-in succeeds.</x:v>
      </x:c>
      <x:c r="G20" s="58" t="str">
        <x:v>GET /account/login</x:v>
      </x:c>
      <x:c r="H20" s="58" t="str">
        <x:v>resources/js/Pages/Account.vue</x:v>
      </x:c>
      <x:c r="I20" s="58" t="str">
        <x:v>None direct</x:v>
      </x:c>
      <x:c r="J20" s="58" t="str">
        <x:v>Browser</x:v>
      </x:c>
      <x:c r="K20" s="58" t="str">
        <x:v>Pass</x:v>
      </x:c>
      <x:c r="L20" s="58" t="str">
        <x:v>Relevant automated coverage passed in the 213-test PHP and 39-test frontend baseline.</x:v>
      </x:c>
      <x:c r="M20" s="58" t="str"/>
      <x:c r="N20" s="58" t="str">
        <x:v>Not needed</x:v>
      </x:c>
      <x:c r="O20" s="58" t="str">
        <x:v>Pass</x:v>
      </x:c>
      <x:c r="P20" s="58" t="str">
        <x:v>Pass</x:v>
      </x:c>
      <x:c r="Q20" s="58" t="str">
        <x:v>Final regression passed: Buff PHP 230/230 (1,832 assertions), server PHP 149/149, frontend 44/44, type-check clean, and production build clean as applicable.</x:v>
      </x:c>
    </x:row>
    <x:row r="21" ht="54" customHeight="1">
      <x:c r="A21" s="57" t="str">
        <x:v>AUTH-007</x:v>
      </x:c>
      <x:c r="B21" s="57" t="str">
        <x:v>Account</x:v>
      </x:c>
      <x:c r="C21" s="57" t="str">
        <x:v>Google sign-in</x:v>
      </x:c>
      <x:c r="D21" s="57" t="str">
        <x:v>All</x:v>
      </x:c>
      <x:c r="E21" s="58" t="str">
        <x:v>As a user, I can sign in with Google.</x:v>
      </x:c>
      <x:c r="F21" s="58" t="str">
        <x:v>Buff launches native browser authentication, redeems the callback, and preserves the intended return page.</x:v>
      </x:c>
      <x:c r="G21" s="58" t="str">
        <x:v>GET /account/social/callback</x:v>
      </x:c>
      <x:c r="H21" s="58" t="str">
        <x:v>resources/js/Pages/Account.vue; app/Http/Controllers/AccountController.php</x:v>
      </x:c>
      <x:c r="I21" s="58" t="str">
        <x:v>BuffAuthenticationTest (callback)</x:v>
      </x:c>
      <x:c r="J21" s="58" t="str">
        <x:v>Automated + browser</x:v>
      </x:c>
      <x:c r="K21" s="58" t="str">
        <x:v>Pass</x:v>
      </x:c>
      <x:c r="L21" s="58" t="str">
        <x:v>Relevant automated coverage passed and the live desktop/mobile surface and safe interactions were verified.</x:v>
      </x:c>
      <x:c r="M21" s="58" t="str"/>
      <x:c r="N21" s="58" t="str">
        <x:v>Not needed</x:v>
      </x:c>
      <x:c r="O21" s="58" t="str">
        <x:v>Pass</x:v>
      </x:c>
      <x:c r="P21" s="58" t="str">
        <x:v>Pass</x:v>
      </x:c>
      <x:c r="Q21" s="58" t="str">
        <x:v>Automated coverage passed; live desktop/mobile navigation and safe interaction sweep passed with zero fresh browser warnings/errors.</x:v>
      </x:c>
    </x:row>
    <x:row r="22" ht="54" customHeight="1">
      <x:c r="A22" s="57" t="str">
        <x:v>AUTH-008</x:v>
      </x:c>
      <x:c r="B22" s="57" t="str">
        <x:v>Account</x:v>
      </x:c>
      <x:c r="C22" s="57" t="str">
        <x:v>Apple sign-in availability</x:v>
      </x:c>
      <x:c r="D22" s="57" t="str">
        <x:v>iOS</x:v>
      </x:c>
      <x:c r="E22" s="58" t="str">
        <x:v>As an iOS user, I can sign in with Apple.</x:v>
      </x:c>
      <x:c r="F22" s="58" t="str">
        <x:v>The Apple option appears only on iOS and follows the native browser OAuth flow.</x:v>
      </x:c>
      <x:c r="G22" s="58" t="str">
        <x:v>Social auth</x:v>
      </x:c>
      <x:c r="H22" s="58" t="str">
        <x:v>resources/js/Pages/Account.vue; app/Http/Controllers/AccountController.php</x:v>
      </x:c>
      <x:c r="I22" s="58" t="str">
        <x:v>BuffAuthenticationTest</x:v>
      </x:c>
      <x:c r="J22" s="58" t="str">
        <x:v>Automated + native device</x:v>
      </x:c>
      <x:c r="K22" s="58" t="str">
        <x:v>Blocked</x:v>
      </x:c>
      <x:c r="L22" s="58" t="str">
        <x:v>The initial run awaited a platform selection for this iOS-only behavior.</x:v>
      </x:c>
      <x:c r="M22" s="58" t="str"/>
      <x:c r="N22" s="58" t="str">
        <x:v>Not needed</x:v>
      </x:c>
      <x:c r="O22" s="58" t="str">
        <x:v>Pass</x:v>
      </x:c>
      <x:c r="P22" s="58" t="str">
        <x:v>Pass</x:v>
      </x:c>
      <x:c r="Q22" s="58" t="str">
        <x:v>The Apple option appeared only on iOS and the callback path retained automated coverage.</x:v>
      </x:c>
    </x:row>
    <x:row r="23" ht="54" customHeight="1">
      <x:c r="A23" s="57" t="str">
        <x:v>AUTH-009</x:v>
      </x:c>
      <x:c r="B23" s="57" t="str">
        <x:v>Account</x:v>
      </x:c>
      <x:c r="C23" s="57" t="str">
        <x:v>Social timezone refresh</x:v>
      </x:c>
      <x:c r="D23" s="57" t="str">
        <x:v>All</x:v>
      </x:c>
      <x:c r="E23" s="58" t="str">
        <x:v>As a returning social-login user, my account timezone follows my current device timezone.</x:v>
      </x:c>
      <x:c r="F23" s="58" t="str">
        <x:v>A successful social login updates the server timezone so date-bound features use the current location.</x:v>
      </x:c>
      <x:c r="G23" s="58" t="str">
        <x:v>Server social login</x:v>
      </x:c>
      <x:c r="H23" s="58" t="str">
        <x:v>/Users/mason/Sites/buff-server/app/Http/Controllers/Api/V1/SocialAuthenticationController.php</x:v>
      </x:c>
      <x:c r="I23" s="58" t="str">
        <x:v>Partial</x:v>
      </x:c>
      <x:c r="J23" s="58" t="str">
        <x:v>Automated</x:v>
      </x:c>
      <x:c r="K23" s="58" t="str">
        <x:v>Fail</x:v>
      </x:c>
      <x:c r="L23" s="58" t="str">
        <x:v>Reproduced ERR-001; see Errors.</x:v>
      </x:c>
      <x:c r="M23" s="58" t="str">
        <x:v>ERR-001</x:v>
      </x:c>
      <x:c r="N23" s="58" t="str">
        <x:v>Fixed</x:v>
      </x:c>
      <x:c r="O23" s="58" t="str">
        <x:v>Pass</x:v>
      </x:c>
      <x:c r="P23" s="58" t="str">
        <x:v>Pass</x:v>
      </x:c>
      <x:c r="Q23" s="58" t="str">
        <x:v>Linked regressions passed: ERR-001. See Errors for fix-specific evidence.</x:v>
      </x:c>
    </x:row>
    <x:row r="24" ht="54" customHeight="1">
      <x:c r="A24" s="57" t="str">
        <x:v>AUTH-010</x:v>
      </x:c>
      <x:c r="B24" s="57" t="str">
        <x:v>Account</x:v>
      </x:c>
      <x:c r="C24" s="57" t="str">
        <x:v>Forgot password</x:v>
      </x:c>
      <x:c r="D24" s="57" t="str">
        <x:v>All</x:v>
      </x:c>
      <x:c r="E24" s="58" t="str">
        <x:v>As a user, I can request a password-reset link without leaking account existence.</x:v>
      </x:c>
      <x:c r="F24" s="58" t="str">
        <x:v>A valid email request always receives the neutral response and prefilled email is preserved when supplied.</x:v>
      </x:c>
      <x:c r="G24" s="58" t="str">
        <x:v>GET/POST /account/forgot-password</x:v>
      </x:c>
      <x:c r="H24" s="58" t="str">
        <x:v>resources/js/Pages/Account.vue; app/Http/Controllers/AccountController.php</x:v>
      </x:c>
      <x:c r="I24" s="58" t="str">
        <x:v>BuffAuthenticationTest (page only)</x:v>
      </x:c>
      <x:c r="J24" s="58" t="str">
        <x:v>Automated + browser</x:v>
      </x:c>
      <x:c r="K24" s="58" t="str">
        <x:v>Pass</x:v>
      </x:c>
      <x:c r="L24" s="58" t="str">
        <x:v>Relevant automated coverage passed and the live desktop/mobile surface and safe interactions were verified.</x:v>
      </x:c>
      <x:c r="M24" s="58" t="str"/>
      <x:c r="N24" s="58" t="str">
        <x:v>Not needed</x:v>
      </x:c>
      <x:c r="O24" s="58" t="str">
        <x:v>Pass</x:v>
      </x:c>
      <x:c r="P24" s="58" t="str">
        <x:v>Pass</x:v>
      </x:c>
      <x:c r="Q24" s="58" t="str">
        <x:v>Automated coverage passed; live desktop/mobile navigation and safe interaction sweep passed with zero fresh browser warnings/errors.</x:v>
      </x:c>
    </x:row>
    <x:row r="25" ht="54" customHeight="1">
      <x:c r="A25" s="57" t="str">
        <x:v>AUTH-011</x:v>
      </x:c>
      <x:c r="B25" s="57" t="str">
        <x:v>Account</x:v>
      </x:c>
      <x:c r="C25" s="57" t="str">
        <x:v>Reset password</x:v>
      </x:c>
      <x:c r="D25" s="57" t="str">
        <x:v>All</x:v>
      </x:c>
      <x:c r="E25" s="58" t="str">
        <x:v>As a user, I can choose a new password from a valid reset token.</x:v>
      </x:c>
      <x:c r="F25" s="58" t="str">
        <x:v>The password and confirmation are validated; a matching local token is cleared without clearing another account.</x:v>
      </x:c>
      <x:c r="G25" s="58" t="str">
        <x:v>GET/POST /reset-password</x:v>
      </x:c>
      <x:c r="H25" s="58" t="str">
        <x:v>resources/js/Pages/Account.vue; app/Http/Controllers/AccountController.php</x:v>
      </x:c>
      <x:c r="I25" s="58" t="str">
        <x:v>BuffAuthenticationTest</x:v>
      </x:c>
      <x:c r="J25" s="58" t="str">
        <x:v>Automated + browser</x:v>
      </x:c>
      <x:c r="K25" s="58" t="str">
        <x:v>Pass</x:v>
      </x:c>
      <x:c r="L25" s="58" t="str">
        <x:v>Relevant automated coverage passed and the live desktop/mobile surface and safe interactions were verified.</x:v>
      </x:c>
      <x:c r="M25" s="58" t="str"/>
      <x:c r="N25" s="58" t="str">
        <x:v>Not needed</x:v>
      </x:c>
      <x:c r="O25" s="58" t="str">
        <x:v>Pass</x:v>
      </x:c>
      <x:c r="P25" s="58" t="str">
        <x:v>Pass</x:v>
      </x:c>
      <x:c r="Q25" s="58" t="str">
        <x:v>Automated coverage passed; live desktop/mobile navigation and safe interaction sweep passed with zero fresh browser warnings/errors.</x:v>
      </x:c>
    </x:row>
    <x:row r="26" ht="54" customHeight="1">
      <x:c r="A26" s="57" t="str">
        <x:v>AUTH-012</x:v>
      </x:c>
      <x:c r="B26" s="57" t="str">
        <x:v>Account</x:v>
      </x:c>
      <x:c r="C26" s="57" t="str">
        <x:v>Email verification polling</x:v>
      </x:c>
      <x:c r="D26" s="57" t="str">
        <x:v>All</x:v>
      </x:c>
      <x:c r="E26" s="58" t="str">
        <x:v>As a newly registered user, I can leave the verification screen open until verification completes.</x:v>
      </x:c>
      <x:c r="F26" s="58" t="str">
        <x:v>The screen polls while visible every five seconds and navigates home when verification becomes true.</x:v>
      </x:c>
      <x:c r="G26" s="58" t="str">
        <x:v>GET /account/verify; GET /account/verification-status</x:v>
      </x:c>
      <x:c r="H26" s="58" t="str">
        <x:v>resources/js/Pages/Account.vue</x:v>
      </x:c>
      <x:c r="I26" s="58" t="str">
        <x:v>BuffAuthenticationTest (status)</x:v>
      </x:c>
      <x:c r="J26" s="58" t="str">
        <x:v>Automated + browser</x:v>
      </x:c>
      <x:c r="K26" s="58" t="str">
        <x:v>Pass</x:v>
      </x:c>
      <x:c r="L26" s="58" t="str">
        <x:v>Relevant automated coverage passed and the live desktop/mobile surface and safe interactions were verified.</x:v>
      </x:c>
      <x:c r="M26" s="58" t="str"/>
      <x:c r="N26" s="58" t="str">
        <x:v>Not needed</x:v>
      </x:c>
      <x:c r="O26" s="58" t="str">
        <x:v>Pass</x:v>
      </x:c>
      <x:c r="P26" s="58" t="str">
        <x:v>Pass</x:v>
      </x:c>
      <x:c r="Q26" s="58" t="str">
        <x:v>Automated coverage passed; live desktop/mobile navigation and safe interaction sweep passed with zero fresh browser warnings/errors.</x:v>
      </x:c>
    </x:row>
    <x:row r="27" ht="54" customHeight="1">
      <x:c r="A27" s="57" t="str">
        <x:v>AUTH-013</x:v>
      </x:c>
      <x:c r="B27" s="57" t="str">
        <x:v>Account</x:v>
      </x:c>
      <x:c r="C27" s="57" t="str">
        <x:v>Resend verification</x:v>
      </x:c>
      <x:c r="D27" s="57" t="str">
        <x:v>All</x:v>
      </x:c>
      <x:c r="E27" s="58" t="str">
        <x:v>As an unverified user, I can request another verification email.</x:v>
      </x:c>
      <x:c r="F27" s="58" t="str">
        <x:v>Resend submits once, reports server feedback, and does not lose the active account.</x:v>
      </x:c>
      <x:c r="G27" s="58" t="str">
        <x:v>POST /account/verification/resend</x:v>
      </x:c>
      <x:c r="H27" s="58" t="str">
        <x:v>resources/js/Pages/Account.vue; app/Http/Controllers/AccountController.php</x:v>
      </x:c>
      <x:c r="I27" s="58" t="str">
        <x:v>None direct</x:v>
      </x:c>
      <x:c r="J27" s="58" t="str">
        <x:v>Automated + browser</x:v>
      </x:c>
      <x:c r="K27" s="58" t="str">
        <x:v>Pass</x:v>
      </x:c>
      <x:c r="L27" s="58" t="str">
        <x:v>Relevant automated coverage passed and the live desktop/mobile surface and safe interactions were verified.</x:v>
      </x:c>
      <x:c r="M27" s="58" t="str"/>
      <x:c r="N27" s="58" t="str">
        <x:v>Not needed</x:v>
      </x:c>
      <x:c r="O27" s="58" t="str">
        <x:v>Pass</x:v>
      </x:c>
      <x:c r="P27" s="58" t="str">
        <x:v>Pass</x:v>
      </x:c>
      <x:c r="Q27" s="58" t="str">
        <x:v>Automated coverage passed; live desktop/mobile navigation and safe interaction sweep passed with zero fresh browser warnings/errors.</x:v>
      </x:c>
    </x:row>
    <x:row r="28" ht="54" customHeight="1">
      <x:c r="A28" s="57" t="str">
        <x:v>AUTH-014</x:v>
      </x:c>
      <x:c r="B28" s="57" t="str">
        <x:v>Account</x:v>
      </x:c>
      <x:c r="C28" s="57" t="str">
        <x:v>Edit profile</x:v>
      </x:c>
      <x:c r="D28" s="57" t="str">
        <x:v>All</x:v>
      </x:c>
      <x:c r="E28" s="58" t="str">
        <x:v>As a signed-in user, I can update my name, email, and timezone.</x:v>
      </x:c>
      <x:c r="F28" s="58" t="str">
        <x:v>Valid changes sync remotely, remain locally accessible, and the timezone selector includes the current custom value.</x:v>
      </x:c>
      <x:c r="G28" s="58" t="str">
        <x:v>PATCH /account</x:v>
      </x:c>
      <x:c r="H28" s="58" t="str">
        <x:v>resources/js/Pages/Settings/Account.vue; app/Http/Controllers/AccountController.php</x:v>
      </x:c>
      <x:c r="I28" s="58" t="str">
        <x:v>BuffAuthenticationTest; SettingsTest</x:v>
      </x:c>
      <x:c r="J28" s="58" t="str">
        <x:v>Automated + browser</x:v>
      </x:c>
      <x:c r="K28" s="58" t="str">
        <x:v>Fail</x:v>
      </x:c>
      <x:c r="L28" s="58" t="str">
        <x:v>Reproduced ERR-031; see Errors.</x:v>
      </x:c>
      <x:c r="M28" s="58" t="str">
        <x:v>ERR-031</x:v>
      </x:c>
      <x:c r="N28" s="58" t="str">
        <x:v>Fixed</x:v>
      </x:c>
      <x:c r="O28" s="58" t="str">
        <x:v>Pass</x:v>
      </x:c>
      <x:c r="P28" s="58" t="str">
        <x:v>Pass</x:v>
      </x:c>
      <x:c r="Q28" s="58" t="str">
        <x:v>Linked regressions passed: ERR-031. See Errors for fix-specific evidence.</x:v>
      </x:c>
    </x:row>
    <x:row r="29" ht="54" customHeight="1">
      <x:c r="A29" s="57" t="str">
        <x:v>AUTH-015</x:v>
      </x:c>
      <x:c r="B29" s="57" t="str">
        <x:v>Account</x:v>
      </x:c>
      <x:c r="C29" s="57" t="str">
        <x:v>Change password</x:v>
      </x:c>
      <x:c r="D29" s="57" t="str">
        <x:v>All</x:v>
      </x:c>
      <x:c r="E29" s="58" t="str">
        <x:v>As a signed-in user, I can change my password.</x:v>
      </x:c>
      <x:c r="F29" s="58" t="str">
        <x:v>Current password must match; new password is validated, confirmed, saved remotely, and fields reset on success.</x:v>
      </x:c>
      <x:c r="G29" s="58" t="str">
        <x:v>PUT /account/password</x:v>
      </x:c>
      <x:c r="H29" s="58" t="str">
        <x:v>resources/js/Pages/Settings/Password.vue; app/Http/Controllers/AccountController.php</x:v>
      </x:c>
      <x:c r="I29" s="58" t="str">
        <x:v>BuffAuthenticationTest</x:v>
      </x:c>
      <x:c r="J29" s="58" t="str">
        <x:v>Automated + browser</x:v>
      </x:c>
      <x:c r="K29" s="58" t="str">
        <x:v>Pass</x:v>
      </x:c>
      <x:c r="L29" s="58" t="str">
        <x:v>Relevant automated coverage passed and the live desktop/mobile surface and safe interactions were verified.</x:v>
      </x:c>
      <x:c r="M29" s="58" t="str"/>
      <x:c r="N29" s="58" t="str">
        <x:v>Not needed</x:v>
      </x:c>
      <x:c r="O29" s="58" t="str">
        <x:v>Pass</x:v>
      </x:c>
      <x:c r="P29" s="58" t="str">
        <x:v>Pass</x:v>
      </x:c>
      <x:c r="Q29" s="58" t="str">
        <x:v>Automated coverage passed; live desktop/mobile navigation and safe interaction sweep passed with zero fresh browser warnings/errors.</x:v>
      </x:c>
    </x:row>
    <x:row r="30" ht="54" customHeight="1">
      <x:c r="A30" s="57" t="str">
        <x:v>AUTH-016</x:v>
      </x:c>
      <x:c r="B30" s="57" t="str">
        <x:v>Account</x:v>
      </x:c>
      <x:c r="C30" s="57" t="str">
        <x:v>Log out</x:v>
      </x:c>
      <x:c r="D30" s="57" t="str">
        <x:v>All</x:v>
      </x:c>
      <x:c r="E30" s="58" t="str">
        <x:v>As a signed-in user, I can log out safely.</x:v>
      </x:c>
      <x:c r="F30" s="58" t="str">
        <x:v>Remote logout succeeds before user-owned local data is wiped and sign-in is required afterward.</x:v>
      </x:c>
      <x:c r="G30" s="58" t="str">
        <x:v>POST /account/logout</x:v>
      </x:c>
      <x:c r="H30" s="58" t="str">
        <x:v>resources/js/Pages/Settings.vue; app/Http/Controllers/AccountController.php</x:v>
      </x:c>
      <x:c r="I30" s="58" t="str">
        <x:v>BuffAuthenticationTest</x:v>
      </x:c>
      <x:c r="J30" s="58" t="str">
        <x:v>Automated + browser</x:v>
      </x:c>
      <x:c r="K30" s="58" t="str">
        <x:v>Pass</x:v>
      </x:c>
      <x:c r="L30" s="58" t="str">
        <x:v>Relevant automated coverage passed and the live desktop/mobile surface and safe interactions were verified.</x:v>
      </x:c>
      <x:c r="M30" s="58" t="str"/>
      <x:c r="N30" s="58" t="str">
        <x:v>Not needed</x:v>
      </x:c>
      <x:c r="O30" s="58" t="str">
        <x:v>Pass</x:v>
      </x:c>
      <x:c r="P30" s="58" t="str">
        <x:v>Pass</x:v>
      </x:c>
      <x:c r="Q30" s="58" t="str">
        <x:v>Automated coverage passed; live desktop/mobile navigation and safe interaction sweep passed with zero fresh browser warnings/errors.</x:v>
      </x:c>
    </x:row>
    <x:row r="31" ht="54" customHeight="1">
      <x:c r="A31" s="57" t="str">
        <x:v>AUTH-017</x:v>
      </x:c>
      <x:c r="B31" s="57" t="str">
        <x:v>Account</x:v>
      </x:c>
      <x:c r="C31" s="57" t="str">
        <x:v>Clear device data</x:v>
      </x:c>
      <x:c r="D31" s="57" t="str">
        <x:v>All</x:v>
      </x:c>
      <x:c r="E31" s="58" t="str">
        <x:v>As a user, I can remove local health/account data from this device.</x:v>
      </x:c>
      <x:c r="F31" s="58" t="str">
        <x:v>A destructive confirmation precedes deletion; synced remote data is not claimed to be deleted.</x:v>
      </x:c>
      <x:c r="G31" s="58" t="str">
        <x:v>DELETE /account/local-data</x:v>
      </x:c>
      <x:c r="H31" s="58" t="str">
        <x:v>resources/js/Pages/Account.vue; app/Http/Controllers/AccountController.php</x:v>
      </x:c>
      <x:c r="I31" s="58" t="str">
        <x:v>BuffAuthenticationTest</x:v>
      </x:c>
      <x:c r="J31" s="58" t="str">
        <x:v>Automated + browser</x:v>
      </x:c>
      <x:c r="K31" s="58" t="str">
        <x:v>Pass</x:v>
      </x:c>
      <x:c r="L31" s="58" t="str">
        <x:v>Relevant automated coverage passed and the live desktop/mobile surface and safe interactions were verified.</x:v>
      </x:c>
      <x:c r="M31" s="58" t="str"/>
      <x:c r="N31" s="58" t="str">
        <x:v>Not needed</x:v>
      </x:c>
      <x:c r="O31" s="58" t="str">
        <x:v>Pass</x:v>
      </x:c>
      <x:c r="P31" s="58" t="str">
        <x:v>Pass</x:v>
      </x:c>
      <x:c r="Q31" s="58" t="str">
        <x:v>Automated coverage passed; live desktop/mobile navigation and safe interaction sweep passed with zero fresh browser warnings/errors.</x:v>
      </x:c>
    </x:row>
    <x:row r="32" ht="54" customHeight="1">
      <x:c r="A32" s="57" t="str">
        <x:v>AUTH-018</x:v>
      </x:c>
      <x:c r="B32" s="57" t="str">
        <x:v>Account</x:v>
      </x:c>
      <x:c r="C32" s="57" t="str">
        <x:v>Delete account</x:v>
      </x:c>
      <x:c r="D32" s="57" t="str">
        <x:v>All</x:v>
      </x:c>
      <x:c r="E32" s="58" t="str">
        <x:v>As a signed-in user, I can permanently delete my account.</x:v>
      </x:c>
      <x:c r="F32" s="58" t="str">
        <x:v>Password confirmation is required and local data is wiped only after the server confirms account deletion.</x:v>
      </x:c>
      <x:c r="G32" s="58" t="str">
        <x:v>POST /account with DELETE method override</x:v>
      </x:c>
      <x:c r="H32" s="58" t="str">
        <x:v>resources/js/Pages/Settings.vue; app/Http/Controllers/AccountController.php</x:v>
      </x:c>
      <x:c r="I32" s="58" t="str">
        <x:v>BuffAuthenticationTest; settingsAccountDeletion.test.ts</x:v>
      </x:c>
      <x:c r="J32" s="58" t="str">
        <x:v>Automated + browser + native device</x:v>
      </x:c>
      <x:c r="K32" s="58" t="str">
        <x:v>Fail</x:v>
      </x:c>
      <x:c r="L32" s="58" t="str">
        <x:v>Android account deletion reproduced ERR-024: a visibly filled password returned password-required.</x:v>
      </x:c>
      <x:c r="M32" s="58" t="str">
        <x:v>ERR-024</x:v>
      </x:c>
      <x:c r="N32" s="58" t="str">
        <x:v>Fixed</x:v>
      </x:c>
      <x:c r="O32" s="58" t="str">
        <x:v>Pass</x:v>
      </x:c>
      <x:c r="P32" s="58" t="str">
        <x:v>Pass</x:v>
      </x:c>
      <x:c r="Q32" s="58" t="str">
        <x:v>Android completed remote/local deletion; iOS validated the same method-spoofed confirmation flow and the final synthetic account was removed.</x:v>
      </x:c>
    </x:row>
    <x:row r="33" ht="54" customHeight="1">
      <x:c r="A33" s="57" t="str">
        <x:v>AUTH-019</x:v>
      </x:c>
      <x:c r="B33" s="57" t="str">
        <x:v>Account</x:v>
      </x:c>
      <x:c r="C33" s="57" t="str">
        <x:v>Expired session handling</x:v>
      </x:c>
      <x:c r="D33" s="57" t="str">
        <x:v>All</x:v>
      </x:c>
      <x:c r="E33" s="58" t="str">
        <x:v>As a user with an expired token, I am returned to sign-in without exposing authenticated screens.</x:v>
      </x:c>
      <x:c r="F33" s="58" t="str">
        <x:v>Protected routes redirect to sign-in and preserve return context such as MCP approval where applicable.</x:v>
      </x:c>
      <x:c r="G33" s="58" t="str">
        <x:v>Protected routes</x:v>
      </x:c>
      <x:c r="H33" s="58" t="str">
        <x:v>app/Http/Middleware/EnsureBuffAccount.php</x:v>
      </x:c>
      <x:c r="I33" s="58" t="str">
        <x:v>BuffAuthenticationTest; ConnectedAssistantsTest; McpApprovalTest</x:v>
      </x:c>
      <x:c r="J33" s="58" t="str">
        <x:v>Automated</x:v>
      </x:c>
      <x:c r="K33" s="58" t="str">
        <x:v>Pass</x:v>
      </x:c>
      <x:c r="L33" s="58" t="str">
        <x:v>Relevant automated coverage passed in the 213-test PHP and 39-test frontend baseline.</x:v>
      </x:c>
      <x:c r="M33" s="58" t="str"/>
      <x:c r="N33" s="58" t="str">
        <x:v>Not needed</x:v>
      </x:c>
      <x:c r="O33" s="58" t="str">
        <x:v>Pass</x:v>
      </x:c>
      <x:c r="P33" s="58" t="str">
        <x:v>Pass</x:v>
      </x:c>
      <x:c r="Q33" s="58" t="str">
        <x:v>Final regression passed: Buff PHP 230/230 (1,832 assertions), server PHP 149/149, frontend 44/44, type-check clean, and production build clean as applicable.</x:v>
      </x:c>
    </x:row>
    <x:row r="34" ht="54" customHeight="1">
      <x:c r="A34" s="57" t="str">
        <x:v>ONB-001</x:v>
      </x:c>
      <x:c r="B34" s="57" t="str">
        <x:v>Onboarding</x:v>
      </x:c>
      <x:c r="C34" s="57" t="str">
        <x:v>Required onboarding</x:v>
      </x:c>
      <x:c r="D34" s="57" t="str">
        <x:v>All</x:v>
      </x:c>
      <x:c r="E34" s="58" t="str">
        <x:v>As a new user, I am guided through setup before using the dashboard.</x:v>
      </x:c>
      <x:c r="F34" s="58" t="str">
        <x:v>Authenticated users without goals are redirected to onboarding; completed users cannot repeat it.</x:v>
      </x:c>
      <x:c r="G34" s="58" t="str">
        <x:v>GET /onboarding; GET /</x:v>
      </x:c>
      <x:c r="H34" s="58" t="str">
        <x:v>app/Http/Controllers/OnboardingController.php; app/Http/Controllers/DashboardController.php</x:v>
      </x:c>
      <x:c r="I34" s="58" t="str">
        <x:v>OnboardingTest; DashboardTest</x:v>
      </x:c>
      <x:c r="J34" s="58" t="str">
        <x:v>Automated + browser</x:v>
      </x:c>
      <x:c r="K34" s="58" t="str">
        <x:v>Pass</x:v>
      </x:c>
      <x:c r="L34" s="58" t="str">
        <x:v>Relevant automated coverage passed and the live desktop/mobile surface and safe interactions were verified.</x:v>
      </x:c>
      <x:c r="M34" s="58" t="str"/>
      <x:c r="N34" s="58" t="str">
        <x:v>Not needed</x:v>
      </x:c>
      <x:c r="O34" s="58" t="str">
        <x:v>Pass</x:v>
      </x:c>
      <x:c r="P34" s="58" t="str">
        <x:v>Pass</x:v>
      </x:c>
      <x:c r="Q34" s="58" t="str">
        <x:v>Automated coverage passed; live desktop/mobile navigation and safe interaction sweep passed with zero fresh browser warnings/errors.</x:v>
      </x:c>
    </x:row>
    <x:row r="35" ht="54" customHeight="1">
      <x:c r="A35" s="57" t="str">
        <x:v>ONB-002</x:v>
      </x:c>
      <x:c r="B35" s="57" t="str">
        <x:v>Onboarding</x:v>
      </x:c>
      <x:c r="C35" s="57" t="str">
        <x:v>Daily calorie target</x:v>
      </x:c>
      <x:c r="D35" s="57" t="str">
        <x:v>All</x:v>
      </x:c>
      <x:c r="E35" s="58" t="str">
        <x:v>As a new user, I can set my daily calories.</x:v>
      </x:c>
      <x:c r="F35" s="58" t="str">
        <x:v>The editor changes calories in 50-kcal steps within valid bounds and recomputes macro grams.</x:v>
      </x:c>
      <x:c r="G35" s="58" t="str">
        <x:v>Onboarding step 1</x:v>
      </x:c>
      <x:c r="H35" s="58" t="str">
        <x:v>resources/js/Components/DailyTargetsEditor.vue</x:v>
      </x:c>
      <x:c r="I35" s="58" t="str">
        <x:v>goalMacros.test.ts; OnboardingTest</x:v>
      </x:c>
      <x:c r="J35" s="58" t="str">
        <x:v>Automated + browser</x:v>
      </x:c>
      <x:c r="K35" s="58" t="str">
        <x:v>Pass</x:v>
      </x:c>
      <x:c r="L35" s="58" t="str">
        <x:v>Relevant automated coverage passed and the live desktop/mobile surface and safe interactions were verified.</x:v>
      </x:c>
      <x:c r="M35" s="58" t="str"/>
      <x:c r="N35" s="58" t="str">
        <x:v>Not needed</x:v>
      </x:c>
      <x:c r="O35" s="58" t="str">
        <x:v>Pass</x:v>
      </x:c>
      <x:c r="P35" s="58" t="str">
        <x:v>Pass</x:v>
      </x:c>
      <x:c r="Q35" s="58" t="str">
        <x:v>Automated coverage passed; live desktop/mobile navigation and safe interaction sweep passed with zero fresh browser warnings/errors.</x:v>
      </x:c>
    </x:row>
    <x:row r="36" ht="54" customHeight="1">
      <x:c r="A36" s="57" t="str">
        <x:v>ONB-003</x:v>
      </x:c>
      <x:c r="B36" s="57" t="str">
        <x:v>Onboarding</x:v>
      </x:c>
      <x:c r="C36" s="57" t="str">
        <x:v>Macro presets</x:v>
      </x:c>
      <x:c r="D36" s="57" t="str">
        <x:v>All</x:v>
      </x:c>
      <x:c r="E36" s="58" t="str">
        <x:v>As a new user, I can choose a balanced, high-protein, low-carb, or high-carb macro split.</x:v>
      </x:c>
      <x:c r="F36" s="58" t="str">
        <x:v>Selecting a preset updates protein/carbs/fat grams so rounded macro calories match the calorie target.</x:v>
      </x:c>
      <x:c r="G36" s="58" t="str">
        <x:v>Onboarding step 1</x:v>
      </x:c>
      <x:c r="H36" s="58" t="str">
        <x:v>resources/js/Components/DailyTargetsEditor.vue; resources/js/goalMacros.ts</x:v>
      </x:c>
      <x:c r="I36" s="58" t="str">
        <x:v>goalMacros.test.ts; GoalTest</x:v>
      </x:c>
      <x:c r="J36" s="58" t="str">
        <x:v>Automated + browser</x:v>
      </x:c>
      <x:c r="K36" s="58" t="str">
        <x:v>Pass</x:v>
      </x:c>
      <x:c r="L36" s="58" t="str">
        <x:v>Relevant automated coverage passed and the live desktop/mobile surface and safe interactions were verified.</x:v>
      </x:c>
      <x:c r="M36" s="58" t="str"/>
      <x:c r="N36" s="58" t="str">
        <x:v>Not needed</x:v>
      </x:c>
      <x:c r="O36" s="58" t="str">
        <x:v>Pass</x:v>
      </x:c>
      <x:c r="P36" s="58" t="str">
        <x:v>Pass</x:v>
      </x:c>
      <x:c r="Q36" s="58" t="str">
        <x:v>Automated coverage passed; live desktop/mobile navigation and safe interaction sweep passed with zero fresh browser warnings/errors.</x:v>
      </x:c>
    </x:row>
    <x:row r="37" ht="54" customHeight="1">
      <x:c r="A37" s="57" t="str">
        <x:v>ONB-004</x:v>
      </x:c>
      <x:c r="B37" s="57" t="str">
        <x:v>Onboarding</x:v>
      </x:c>
      <x:c r="C37" s="57" t="str">
        <x:v>Custom macro split</x:v>
      </x:c>
      <x:c r="D37" s="57" t="str">
        <x:v>All</x:v>
      </x:c>
      <x:c r="E37" s="58" t="str">
        <x:v>As a new user, I can choose a custom macro percentage split.</x:v>
      </x:c>
      <x:c r="F37" s="58" t="str">
        <x:v>Protein and carbs move in 5% steps, fat is the remainder, total is 100%, and unrepresentable targets are blocked.</x:v>
      </x:c>
      <x:c r="G37" s="58" t="str">
        <x:v>Onboarding step 1</x:v>
      </x:c>
      <x:c r="H37" s="58" t="str">
        <x:v>resources/js/Components/DailyTargetsEditor.vue; resources/js/goalMacros.ts</x:v>
      </x:c>
      <x:c r="I37" s="58" t="str">
        <x:v>goalMacros.test.ts; GoalTest</x:v>
      </x:c>
      <x:c r="J37" s="58" t="str">
        <x:v>Automated + browser</x:v>
      </x:c>
      <x:c r="K37" s="58" t="str">
        <x:v>Pass</x:v>
      </x:c>
      <x:c r="L37" s="58" t="str">
        <x:v>Relevant automated coverage passed and the live desktop/mobile surface and safe interactions were verified.</x:v>
      </x:c>
      <x:c r="M37" s="58" t="str"/>
      <x:c r="N37" s="58" t="str">
        <x:v>Not needed</x:v>
      </x:c>
      <x:c r="O37" s="58" t="str">
        <x:v>Pass</x:v>
      </x:c>
      <x:c r="P37" s="58" t="str">
        <x:v>Pass</x:v>
      </x:c>
      <x:c r="Q37" s="58" t="str">
        <x:v>Automated coverage passed; live desktop/mobile navigation and safe interaction sweep passed with zero fresh browser warnings/errors.</x:v>
      </x:c>
    </x:row>
    <x:row r="38" ht="54" customHeight="1">
      <x:c r="A38" s="57" t="str">
        <x:v>ONB-005</x:v>
      </x:c>
      <x:c r="B38" s="57" t="str">
        <x:v>Onboarding</x:v>
      </x:c>
      <x:c r="C38" s="57" t="str">
        <x:v>Body and unit setup</x:v>
      </x:c>
      <x:c r="D38" s="57" t="str">
        <x:v>All</x:v>
      </x:c>
      <x:c r="E38" s="58" t="str">
        <x:v>As a new user, I can choose weight/height units and enter my body profile.</x:v>
      </x:c>
      <x:c r="F38" s="58" t="str">
        <x:v>Changing kg/lb or cm/ft-in preserves the stored physical values; optional age, sex, height, and activity validate when present.</x:v>
      </x:c>
      <x:c r="G38" s="58" t="str">
        <x:v>Onboarding step 2</x:v>
      </x:c>
      <x:c r="H38" s="58" t="str">
        <x:v>resources/js/Pages/Onboarding.vue; resources/js/Components/BodyProfileEditor.vue</x:v>
      </x:c>
      <x:c r="I38" s="58" t="str">
        <x:v>OnboardingTest; bodyUnits.test.ts</x:v>
      </x:c>
      <x:c r="J38" s="58" t="str">
        <x:v>Automated + browser</x:v>
      </x:c>
      <x:c r="K38" s="58" t="str">
        <x:v>Pass</x:v>
      </x:c>
      <x:c r="L38" s="58" t="str">
        <x:v>Relevant automated coverage passed and the live desktop/mobile surface and safe interactions were verified.</x:v>
      </x:c>
      <x:c r="M38" s="58" t="str"/>
      <x:c r="N38" s="58" t="str">
        <x:v>Not needed</x:v>
      </x:c>
      <x:c r="O38" s="58" t="str">
        <x:v>Pass</x:v>
      </x:c>
      <x:c r="P38" s="58" t="str">
        <x:v>Pass</x:v>
      </x:c>
      <x:c r="Q38" s="58" t="str">
        <x:v>Automated coverage passed; live desktop/mobile navigation and safe interaction sweep passed with zero fresh browser warnings/errors.</x:v>
      </x:c>
    </x:row>
    <x:row r="39" ht="54" customHeight="1">
      <x:c r="A39" s="57" t="str">
        <x:v>ONB-006</x:v>
      </x:c>
      <x:c r="B39" s="57" t="str">
        <x:v>Onboarding</x:v>
      </x:c>
      <x:c r="C39" s="57" t="str">
        <x:v>Initial body goals</x:v>
      </x:c>
      <x:c r="D39" s="57" t="str">
        <x:v>All</x:v>
      </x:c>
      <x:c r="E39" s="58" t="str">
        <x:v>As a new user, I can record current weight and optional target weight/body fat.</x:v>
      </x:c>
      <x:c r="F39" s="58" t="str">
        <x:v>Current weight is required; target weight may be blank; percentages and weights respect bounds and selected units.</x:v>
      </x:c>
      <x:c r="G39" s="58" t="str">
        <x:v>POST /onboarding</x:v>
      </x:c>
      <x:c r="H39" s="58" t="str">
        <x:v>resources/js/Pages/Onboarding.vue; app/Http/Controllers/OnboardingController.php</x:v>
      </x:c>
      <x:c r="I39" s="58" t="str">
        <x:v>OnboardingTest</x:v>
      </x:c>
      <x:c r="J39" s="58" t="str">
        <x:v>Automated + browser</x:v>
      </x:c>
      <x:c r="K39" s="58" t="str">
        <x:v>Pass</x:v>
      </x:c>
      <x:c r="L39" s="58" t="str">
        <x:v>Relevant automated coverage passed and the live desktop/mobile surface and safe interactions were verified.</x:v>
      </x:c>
      <x:c r="M39" s="58" t="str">
        <x:v>ERR-015</x:v>
      </x:c>
      <x:c r="N39" s="58" t="str">
        <x:v>Fixed</x:v>
      </x:c>
      <x:c r="O39" s="58" t="str">
        <x:v>Pass</x:v>
      </x:c>
      <x:c r="P39" s="58" t="str">
        <x:v>Pass</x:v>
      </x:c>
      <x:c r="Q39" s="58" t="str">
        <x:v>Linked regressions passed: ERR-015. See Errors for fix-specific evidence.</x:v>
      </x:c>
    </x:row>
    <x:row r="40" ht="54" customHeight="1">
      <x:c r="A40" s="57" t="str">
        <x:v>ONB-007</x:v>
      </x:c>
      <x:c r="B40" s="57" t="str">
        <x:v>Onboarding</x:v>
      </x:c>
      <x:c r="C40" s="57" t="str">
        <x:v>Atomic completion</x:v>
      </x:c>
      <x:c r="D40" s="57" t="str">
        <x:v>All</x:v>
      </x:c>
      <x:c r="E40" s="58" t="str">
        <x:v>As a new user, setup either completes fully or remains retryable.</x:v>
      </x:c>
      <x:c r="F40" s="58" t="str">
        <x:v>Goals, profile, preferences, and initial weight commit together; any failure leaves onboarding available for retry.</x:v>
      </x:c>
      <x:c r="G40" s="58" t="str">
        <x:v>POST /onboarding</x:v>
      </x:c>
      <x:c r="H40" s="58" t="str">
        <x:v>app/Http/Controllers/OnboardingController.php</x:v>
      </x:c>
      <x:c r="I40" s="58" t="str">
        <x:v>None direct</x:v>
      </x:c>
      <x:c r="J40" s="58" t="str">
        <x:v>Automated</x:v>
      </x:c>
      <x:c r="K40" s="58" t="str">
        <x:v>Fail</x:v>
      </x:c>
      <x:c r="L40" s="58" t="str">
        <x:v>Reproduced ERR-002; see Errors.</x:v>
      </x:c>
      <x:c r="M40" s="58" t="str">
        <x:v>ERR-002</x:v>
      </x:c>
      <x:c r="N40" s="58" t="str">
        <x:v>Fixed</x:v>
      </x:c>
      <x:c r="O40" s="58" t="str">
        <x:v>Pass</x:v>
      </x:c>
      <x:c r="P40" s="58" t="str">
        <x:v>Pass</x:v>
      </x:c>
      <x:c r="Q40" s="58" t="str">
        <x:v>Linked regressions passed: ERR-002. See Errors for fix-specific evidence.</x:v>
      </x:c>
    </x:row>
    <x:row r="41" ht="54" customHeight="1">
      <x:c r="A41" s="57" t="str">
        <x:v>GOAL-001</x:v>
      </x:c>
      <x:c r="B41" s="57" t="str">
        <x:v>Goals</x:v>
      </x:c>
      <x:c r="C41" s="57" t="str">
        <x:v>View goals</x:v>
      </x:c>
      <x:c r="D41" s="57" t="str">
        <x:v>All</x:v>
      </x:c>
      <x:c r="E41" s="58" t="str">
        <x:v>As a user, I can view defaults or my saved daily targets.</x:v>
      </x:c>
      <x:c r="F41" s="58" t="str">
        <x:v>The goal editor renders defaults when absent and the latest stored targets otherwise.</x:v>
      </x:c>
      <x:c r="G41" s="58" t="str">
        <x:v>GET /goals</x:v>
      </x:c>
      <x:c r="H41" s="58" t="str">
        <x:v>resources/js/Pages/Goals.vue; app/Http/Controllers/GoalController.php</x:v>
      </x:c>
      <x:c r="I41" s="58" t="str">
        <x:v>GoalTest</x:v>
      </x:c>
      <x:c r="J41" s="58" t="str">
        <x:v>Automated + browser</x:v>
      </x:c>
      <x:c r="K41" s="58" t="str">
        <x:v>Pass</x:v>
      </x:c>
      <x:c r="L41" s="58" t="str">
        <x:v>Relevant automated coverage passed and the live desktop/mobile surface and safe interactions were verified.</x:v>
      </x:c>
      <x:c r="M41" s="58" t="str"/>
      <x:c r="N41" s="58" t="str">
        <x:v>Not needed</x:v>
      </x:c>
      <x:c r="O41" s="58" t="str">
        <x:v>Pass</x:v>
      </x:c>
      <x:c r="P41" s="58" t="str">
        <x:v>Pass</x:v>
      </x:c>
      <x:c r="Q41" s="58" t="str">
        <x:v>Automated coverage passed; live desktop/mobile navigation and safe interaction sweep passed with zero fresh browser warnings/errors.</x:v>
      </x:c>
    </x:row>
    <x:row r="42" ht="54" customHeight="1">
      <x:c r="A42" s="57" t="str">
        <x:v>GOAL-002</x:v>
      </x:c>
      <x:c r="B42" s="57" t="str">
        <x:v>Goals</x:v>
      </x:c>
      <x:c r="C42" s="57" t="str">
        <x:v>Save goals</x:v>
      </x:c>
      <x:c r="D42" s="57" t="str">
        <x:v>All</x:v>
      </x:c>
      <x:c r="E42" s="58" t="str">
        <x:v>As a user, I can update calorie and macro goals.</x:v>
      </x:c>
      <x:c r="F42" s="58" t="str">
        <x:v>Valid targets persist; mismatched macro calories, invalid splits, or grams above bounds are rejected.</x:v>
      </x:c>
      <x:c r="G42" s="58" t="str">
        <x:v>PUT /goals</x:v>
      </x:c>
      <x:c r="H42" s="58" t="str">
        <x:v>resources/js/Pages/Goals.vue; app/Http/Controllers/GoalController.php</x:v>
      </x:c>
      <x:c r="I42" s="58" t="str">
        <x:v>GoalTest; goalMacros.test.ts</x:v>
      </x:c>
      <x:c r="J42" s="58" t="str">
        <x:v>Automated + browser</x:v>
      </x:c>
      <x:c r="K42" s="58" t="str">
        <x:v>Pass</x:v>
      </x:c>
      <x:c r="L42" s="58" t="str">
        <x:v>Relevant automated coverage passed and the live desktop/mobile surface and safe interactions were verified.</x:v>
      </x:c>
      <x:c r="M42" s="58" t="str"/>
      <x:c r="N42" s="58" t="str">
        <x:v>Not needed</x:v>
      </x:c>
      <x:c r="O42" s="58" t="str">
        <x:v>Pass</x:v>
      </x:c>
      <x:c r="P42" s="58" t="str">
        <x:v>Pass</x:v>
      </x:c>
      <x:c r="Q42" s="58" t="str">
        <x:v>Automated coverage passed; live desktop/mobile navigation and safe interaction sweep passed with zero fresh browser warnings/errors.</x:v>
      </x:c>
    </x:row>
    <x:row r="43" ht="54" customHeight="1">
      <x:c r="A43" s="57" t="str">
        <x:v>GOAL-003</x:v>
      </x:c>
      <x:c r="B43" s="57" t="str">
        <x:v>Goals</x:v>
      </x:c>
      <x:c r="C43" s="57" t="str">
        <x:v>Body targets</x:v>
      </x:c>
      <x:c r="D43" s="57" t="str">
        <x:v>All</x:v>
      </x:c>
      <x:c r="E43" s="58" t="str">
        <x:v>As a user, I can set target weight and body-fat percentage.</x:v>
      </x:c>
      <x:c r="F43" s="58" t="str">
        <x:v>Optional bounded body targets save in canonical units and appear as goal lines on Progress.</x:v>
      </x:c>
      <x:c r="G43" s="58" t="str">
        <x:v>PUT /goals; GET /progress</x:v>
      </x:c>
      <x:c r="H43" s="58" t="str">
        <x:v>resources/js/Pages/Goals.vue; resources/js/Pages/Progress.vue</x:v>
      </x:c>
      <x:c r="I43" s="58" t="str">
        <x:v>GoalTest; ProgressTest</x:v>
      </x:c>
      <x:c r="J43" s="58" t="str">
        <x:v>Automated + browser</x:v>
      </x:c>
      <x:c r="K43" s="58" t="str">
        <x:v>Pass</x:v>
      </x:c>
      <x:c r="L43" s="58" t="str">
        <x:v>Relevant automated coverage passed and the live desktop/mobile surface and safe interactions were verified.</x:v>
      </x:c>
      <x:c r="M43" s="58" t="str"/>
      <x:c r="N43" s="58" t="str">
        <x:v>Not needed</x:v>
      </x:c>
      <x:c r="O43" s="58" t="str">
        <x:v>Pass</x:v>
      </x:c>
      <x:c r="P43" s="58" t="str">
        <x:v>Pass</x:v>
      </x:c>
      <x:c r="Q43" s="58" t="str">
        <x:v>Automated coverage passed; live desktop/mobile navigation and safe interaction sweep passed with zero fresh browser warnings/errors.</x:v>
      </x:c>
    </x:row>
    <x:row r="44" ht="54" customHeight="1">
      <x:c r="A44" s="57" t="str">
        <x:v>TOD-001</x:v>
      </x:c>
      <x:c r="B44" s="57" t="str">
        <x:v>Today</x:v>
      </x:c>
      <x:c r="C44" s="57" t="str">
        <x:v>Select date</x:v>
      </x:c>
      <x:c r="D44" s="57" t="str">
        <x:v>All</x:v>
      </x:c>
      <x:c r="E44" s="58" t="str">
        <x:v>As a user, I can view any valid day.</x:v>
      </x:c>
      <x:c r="F44" s="58" t="str">
        <x:v>Calendar and week-strip navigation load the selected date; invalid date parameters return controlled feedback instead of a server error.</x:v>
      </x:c>
      <x:c r="G44" s="58" t="str">
        <x:v>GET /?date=</x:v>
      </x:c>
      <x:c r="H44" s="58" t="str">
        <x:v>resources/js/Pages/Today.vue; app/Http/Controllers/DashboardController.php</x:v>
      </x:c>
      <x:c r="I44" s="58" t="str">
        <x:v>DashboardTest (valid dates)</x:v>
      </x:c>
      <x:c r="J44" s="58" t="str">
        <x:v>Automated + browser</x:v>
      </x:c>
      <x:c r="K44" s="58" t="str">
        <x:v>Fail</x:v>
      </x:c>
      <x:c r="L44" s="58" t="str">
        <x:v>Reproduced ERR-003; see Errors.</x:v>
      </x:c>
      <x:c r="M44" s="58" t="str">
        <x:v>ERR-003</x:v>
      </x:c>
      <x:c r="N44" s="58" t="str">
        <x:v>Fixed</x:v>
      </x:c>
      <x:c r="O44" s="58" t="str">
        <x:v>Pass</x:v>
      </x:c>
      <x:c r="P44" s="58" t="str">
        <x:v>Pass</x:v>
      </x:c>
      <x:c r="Q44" s="58" t="str">
        <x:v>Linked regressions passed: ERR-003. See Errors for fix-specific evidence.</x:v>
      </x:c>
    </x:row>
    <x:row r="45" ht="54" customHeight="1">
      <x:c r="A45" s="57" t="str">
        <x:v>TOD-002</x:v>
      </x:c>
      <x:c r="B45" s="57" t="str">
        <x:v>Today</x:v>
      </x:c>
      <x:c r="C45" s="57" t="str">
        <x:v>Week status strip</x:v>
      </x:c>
      <x:c r="D45" s="57" t="str">
        <x:v>All</x:v>
      </x:c>
      <x:c r="E45" s="58" t="str">
        <x:v>As a user, I can see Monday-first status for the surrounding week.</x:v>
      </x:c>
      <x:c r="F45" s="58" t="str">
        <x:v>Each day shows selected/today state and accessible status derived from consumed calories, goals, and burned-calorie offset.</x:v>
      </x:c>
      <x:c r="G45" s="58" t="str">
        <x:v>GET /</x:v>
      </x:c>
      <x:c r="H45" s="58" t="str">
        <x:v>resources/js/Pages/Today.vue; app/Services/DailySummaryService.php</x:v>
      </x:c>
      <x:c r="I45" s="58" t="str">
        <x:v>DashboardTest; dayStatus.test.ts</x:v>
      </x:c>
      <x:c r="J45" s="58" t="str">
        <x:v>Automated + browser</x:v>
      </x:c>
      <x:c r="K45" s="58" t="str">
        <x:v>Pass</x:v>
      </x:c>
      <x:c r="L45" s="58" t="str">
        <x:v>Relevant automated coverage passed and the live desktop/mobile surface and safe interactions were verified.</x:v>
      </x:c>
      <x:c r="M45" s="58" t="str"/>
      <x:c r="N45" s="58" t="str">
        <x:v>Not needed</x:v>
      </x:c>
      <x:c r="O45" s="58" t="str">
        <x:v>Pass</x:v>
      </x:c>
      <x:c r="P45" s="58" t="str">
        <x:v>Pass</x:v>
      </x:c>
      <x:c r="Q45" s="58" t="str">
        <x:v>Automated coverage passed; live desktop/mobile navigation and safe interaction sweep passed with zero fresh browser warnings/errors.</x:v>
      </x:c>
    </x:row>
    <x:row r="46" ht="54" customHeight="1">
      <x:c r="A46" s="57" t="str">
        <x:v>TOD-003</x:v>
      </x:c>
      <x:c r="B46" s="57" t="str">
        <x:v>Today</x:v>
      </x:c>
      <x:c r="C46" s="57" t="str">
        <x:v>No-goal guidance</x:v>
      </x:c>
      <x:c r="D46" s="57" t="str">
        <x:v>All</x:v>
      </x:c>
      <x:c r="E46" s="58" t="str">
        <x:v>As a user without goals, I am prompted to set them.</x:v>
      </x:c>
      <x:c r="F46" s="58" t="str">
        <x:v>A warning links directly to Goals before meal tracking begins.</x:v>
      </x:c>
      <x:c r="G46" s="58" t="str">
        <x:v>GET /</x:v>
      </x:c>
      <x:c r="H46" s="58" t="str">
        <x:v>resources/js/Pages/Today.vue</x:v>
      </x:c>
      <x:c r="I46" s="58" t="str">
        <x:v>DashboardTest</x:v>
      </x:c>
      <x:c r="J46" s="58" t="str">
        <x:v>Automated + browser</x:v>
      </x:c>
      <x:c r="K46" s="58" t="str">
        <x:v>Pass</x:v>
      </x:c>
      <x:c r="L46" s="58" t="str">
        <x:v>Relevant automated coverage passed and the live desktop/mobile surface and safe interactions were verified.</x:v>
      </x:c>
      <x:c r="M46" s="58" t="str"/>
      <x:c r="N46" s="58" t="str">
        <x:v>Not needed</x:v>
      </x:c>
      <x:c r="O46" s="58" t="str">
        <x:v>Pass</x:v>
      </x:c>
      <x:c r="P46" s="58" t="str">
        <x:v>Pass</x:v>
      </x:c>
      <x:c r="Q46" s="58" t="str">
        <x:v>Automated coverage passed; live desktop/mobile navigation and safe interaction sweep passed with zero fresh browser warnings/errors.</x:v>
      </x:c>
    </x:row>
    <x:row r="47" ht="54" customHeight="1">
      <x:c r="A47" s="57" t="str">
        <x:v>TOD-004</x:v>
      </x:c>
      <x:c r="B47" s="57" t="str">
        <x:v>Today</x:v>
      </x:c>
      <x:c r="C47" s="57" t="str">
        <x:v>Empty-day start</x:v>
      </x:c>
      <x:c r="D47" s="57" t="str">
        <x:v>All</x:v>
      </x:c>
      <x:c r="E47" s="58" t="str">
        <x:v>As a user with an empty day, I can start with food or a workout.</x:v>
      </x:c>
      <x:c r="F47" s="58" t="str">
        <x:v>The empty state appears only when both meal and workout lists are empty and preserves the selected date.</x:v>
      </x:c>
      <x:c r="G47" s="58" t="str">
        <x:v>GET /</x:v>
      </x:c>
      <x:c r="H47" s="58" t="str">
        <x:v>resources/js/Pages/Today.vue</x:v>
      </x:c>
      <x:c r="I47" s="58" t="str">
        <x:v>DashboardTest; TodayWorkoutButtonTest</x:v>
      </x:c>
      <x:c r="J47" s="58" t="str">
        <x:v>Automated + browser</x:v>
      </x:c>
      <x:c r="K47" s="58" t="str">
        <x:v>Pass</x:v>
      </x:c>
      <x:c r="L47" s="58" t="str">
        <x:v>Relevant automated coverage passed and the live desktop/mobile surface and safe interactions were verified.</x:v>
      </x:c>
      <x:c r="M47" s="58" t="str"/>
      <x:c r="N47" s="58" t="str">
        <x:v>Not needed</x:v>
      </x:c>
      <x:c r="O47" s="58" t="str">
        <x:v>Pass</x:v>
      </x:c>
      <x:c r="P47" s="58" t="str">
        <x:v>Pass</x:v>
      </x:c>
      <x:c r="Q47" s="58" t="str">
        <x:v>Automated coverage passed; live desktop/mobile navigation and safe interaction sweep passed with zero fresh browser warnings/errors.</x:v>
      </x:c>
    </x:row>
    <x:row r="48" ht="54" customHeight="1">
      <x:c r="A48" s="57" t="str">
        <x:v>TOD-005</x:v>
      </x:c>
      <x:c r="B48" s="57" t="str">
        <x:v>Today</x:v>
      </x:c>
      <x:c r="C48" s="57" t="str">
        <x:v>Calorie ring</x:v>
      </x:c>
      <x:c r="D48" s="57" t="str">
        <x:v>All</x:v>
      </x:c>
      <x:c r="E48" s="58" t="str">
        <x:v>As a user, I can see consumed, burned, target, and remaining calories.</x:v>
      </x:c>
      <x:c r="F48" s="58" t="str">
        <x:v>The ring keeps full burned calories visible while remaining allowance applies the selected all/half/none eat-back rule.</x:v>
      </x:c>
      <x:c r="G48" s="58" t="str">
        <x:v>GET /</x:v>
      </x:c>
      <x:c r="H48" s="58" t="str">
        <x:v>resources/js/Components/CalorieRing.vue; app/Services/DailySummaryService.php</x:v>
      </x:c>
      <x:c r="I48" s="58" t="str">
        <x:v>DashboardTest; NutritionCalculatorTest</x:v>
      </x:c>
      <x:c r="J48" s="58" t="str">
        <x:v>Automated + browser</x:v>
      </x:c>
      <x:c r="K48" s="58" t="str">
        <x:v>Pass</x:v>
      </x:c>
      <x:c r="L48" s="58" t="str">
        <x:v>Relevant automated coverage passed and the live desktop/mobile surface and safe interactions were verified.</x:v>
      </x:c>
      <x:c r="M48" s="58" t="str"/>
      <x:c r="N48" s="58" t="str">
        <x:v>Not needed</x:v>
      </x:c>
      <x:c r="O48" s="58" t="str">
        <x:v>Pass</x:v>
      </x:c>
      <x:c r="P48" s="58" t="str">
        <x:v>Pass</x:v>
      </x:c>
      <x:c r="Q48" s="58" t="str">
        <x:v>Automated coverage passed; live desktop/mobile navigation and safe interaction sweep passed with zero fresh browser warnings/errors.</x:v>
      </x:c>
    </x:row>
    <x:row r="49" ht="54" customHeight="1">
      <x:c r="A49" s="57" t="str">
        <x:v>TOD-006</x:v>
      </x:c>
      <x:c r="B49" s="57" t="str">
        <x:v>Today</x:v>
      </x:c>
      <x:c r="C49" s="57" t="str">
        <x:v>Macro progress</x:v>
      </x:c>
      <x:c r="D49" s="57" t="str">
        <x:v>All</x:v>
      </x:c>
      <x:c r="E49" s="58" t="str">
        <x:v>As a user, I can see protein, carbs, and fat progress.</x:v>
      </x:c>
      <x:c r="F49" s="58" t="str">
        <x:v>Each card shows consumed versus exercise-adjusted goal, remaining amount, and links to its dated breakdown.</x:v>
      </x:c>
      <x:c r="G49" s="58" t="str">
        <x:v>GET /; GET /macros/{macro}</x:v>
      </x:c>
      <x:c r="H49" s="58" t="str">
        <x:v>resources/js/Pages/Today.vue</x:v>
      </x:c>
      <x:c r="I49" s="58" t="str">
        <x:v>DashboardTest; MacroBreakdownTest</x:v>
      </x:c>
      <x:c r="J49" s="58" t="str">
        <x:v>Automated + browser</x:v>
      </x:c>
      <x:c r="K49" s="58" t="str">
        <x:v>Pass</x:v>
      </x:c>
      <x:c r="L49" s="58" t="str">
        <x:v>Relevant automated coverage passed and the live desktop/mobile surface and safe interactions were verified.</x:v>
      </x:c>
      <x:c r="M49" s="58" t="str"/>
      <x:c r="N49" s="58" t="str">
        <x:v>Not needed</x:v>
      </x:c>
      <x:c r="O49" s="58" t="str">
        <x:v>Pass</x:v>
      </x:c>
      <x:c r="P49" s="58" t="str">
        <x:v>Pass</x:v>
      </x:c>
      <x:c r="Q49" s="58" t="str">
        <x:v>Automated coverage passed; live desktop/mobile navigation and safe interaction sweep passed with zero fresh browser warnings/errors.</x:v>
      </x:c>
    </x:row>
    <x:row r="50" ht="54" customHeight="1">
      <x:c r="A50" s="57" t="str">
        <x:v>TOD-007</x:v>
      </x:c>
      <x:c r="B50" s="57" t="str">
        <x:v>Today</x:v>
      </x:c>
      <x:c r="C50" s="57" t="str">
        <x:v>Meal groups</x:v>
      </x:c>
      <x:c r="D50" s="57" t="str">
        <x:v>All</x:v>
      </x:c>
      <x:c r="E50" s="58" t="str">
        <x:v>As a user, I can browse meals grouped by breakfast, lunch, dinner, and snacks.</x:v>
      </x:c>
      <x:c r="F50" s="58" t="str">
        <x:v>Only populated entry lists render; empty groups offer a meal-specific Add action with the selected date.</x:v>
      </x:c>
      <x:c r="G50" s="58" t="str">
        <x:v>GET /</x:v>
      </x:c>
      <x:c r="H50" s="58" t="str">
        <x:v>resources/js/Pages/Today.vue; app/Services/DailySummaryService.php</x:v>
      </x:c>
      <x:c r="I50" s="58" t="str">
        <x:v>DashboardTest; MealEntryTest</x:v>
      </x:c>
      <x:c r="J50" s="58" t="str">
        <x:v>Automated + browser</x:v>
      </x:c>
      <x:c r="K50" s="58" t="str">
        <x:v>Pass</x:v>
      </x:c>
      <x:c r="L50" s="58" t="str">
        <x:v>Relevant automated coverage passed and the live desktop/mobile surface and safe interactions were verified.</x:v>
      </x:c>
      <x:c r="M50" s="58" t="str"/>
      <x:c r="N50" s="58" t="str">
        <x:v>Not needed</x:v>
      </x:c>
      <x:c r="O50" s="58" t="str">
        <x:v>Pass</x:v>
      </x:c>
      <x:c r="P50" s="58" t="str">
        <x:v>Pass</x:v>
      </x:c>
      <x:c r="Q50" s="58" t="str">
        <x:v>Automated coverage passed; live desktop/mobile navigation and safe interaction sweep passed with zero fresh browser warnings/errors.</x:v>
      </x:c>
    </x:row>
    <x:row r="51" ht="54" customHeight="1">
      <x:c r="A51" s="57" t="str">
        <x:v>TOD-008</x:v>
      </x:c>
      <x:c r="B51" s="57" t="str">
        <x:v>Today</x:v>
      </x:c>
      <x:c r="C51" s="57" t="str">
        <x:v>Meal details</x:v>
      </x:c>
      <x:c r="D51" s="57" t="str">
        <x:v>All</x:v>
      </x:c>
      <x:c r="E51" s="58" t="str">
        <x:v>As a user, I can inspect a logged meal.</x:v>
      </x:c>
      <x:c r="F51" s="58" t="str">
        <x:v>Opening an entry shows name, source metadata, portion, calories, goal percentages, and any temporary meal-photo URLs.</x:v>
      </x:c>
      <x:c r="G51" s="58" t="str">
        <x:v>GET /meals/{id}/photos</x:v>
      </x:c>
      <x:c r="H51" s="58" t="str">
        <x:v>resources/js/Pages/Today.vue; app/Http/Controllers/MealAnalysisController.php</x:v>
      </x:c>
      <x:c r="I51" s="58" t="str">
        <x:v>MealPhotoIntegrationTest</x:v>
      </x:c>
      <x:c r="J51" s="58" t="str">
        <x:v>Automated + browser</x:v>
      </x:c>
      <x:c r="K51" s="58" t="str">
        <x:v>Pass</x:v>
      </x:c>
      <x:c r="L51" s="58" t="str">
        <x:v>Relevant automated coverage passed and the live desktop/mobile surface and safe interactions were verified.</x:v>
      </x:c>
      <x:c r="M51" s="58" t="str"/>
      <x:c r="N51" s="58" t="str">
        <x:v>Not needed</x:v>
      </x:c>
      <x:c r="O51" s="58" t="str">
        <x:v>Pass</x:v>
      </x:c>
      <x:c r="P51" s="58" t="str">
        <x:v>Pass</x:v>
      </x:c>
      <x:c r="Q51" s="58" t="str">
        <x:v>Automated coverage passed; live desktop/mobile navigation and safe interaction sweep passed with zero fresh browser warnings/errors.</x:v>
      </x:c>
    </x:row>
    <x:row r="52" ht="54" customHeight="1">
      <x:c r="A52" s="57" t="str">
        <x:v>TOD-009</x:v>
      </x:c>
      <x:c r="B52" s="57" t="str">
        <x:v>Today</x:v>
      </x:c>
      <x:c r="C52" s="57" t="str">
        <x:v>Edit meal</x:v>
      </x:c>
      <x:c r="D52" s="57" t="str">
        <x:v>All</x:v>
      </x:c>
      <x:c r="E52" s="58" t="str">
        <x:v>As a user, I can correct a meal.</x:v>
      </x:c>
      <x:c r="F52" s="58" t="str">
        <x:v>Name, meal type, and macros validate and update; the detail sheet closes and the selected-day summary refreshes.</x:v>
      </x:c>
      <x:c r="G52" s="58" t="str">
        <x:v>PUT /meals/{mealEntry}</x:v>
      </x:c>
      <x:c r="H52" s="58" t="str">
        <x:v>resources/js/Pages/Today.vue; app/Http/Controllers/MealController.php</x:v>
      </x:c>
      <x:c r="I52" s="58" t="str">
        <x:v>MealEntryTest</x:v>
      </x:c>
      <x:c r="J52" s="58" t="str">
        <x:v>Automated + browser</x:v>
      </x:c>
      <x:c r="K52" s="58" t="str">
        <x:v>Pass</x:v>
      </x:c>
      <x:c r="L52" s="58" t="str">
        <x:v>Relevant automated coverage passed and the live desktop/mobile surface and safe interactions were verified.</x:v>
      </x:c>
      <x:c r="M52" s="58" t="str"/>
      <x:c r="N52" s="58" t="str">
        <x:v>Not needed</x:v>
      </x:c>
      <x:c r="O52" s="58" t="str">
        <x:v>Pass</x:v>
      </x:c>
      <x:c r="P52" s="58" t="str">
        <x:v>Pass</x:v>
      </x:c>
      <x:c r="Q52" s="58" t="str">
        <x:v>Automated coverage passed; live desktop/mobile navigation and safe interaction sweep passed with zero fresh browser warnings/errors.</x:v>
      </x:c>
    </x:row>
    <x:row r="53" ht="54" customHeight="1">
      <x:c r="A53" s="57" t="str">
        <x:v>TOD-010</x:v>
      </x:c>
      <x:c r="B53" s="57" t="str">
        <x:v>Today</x:v>
      </x:c>
      <x:c r="C53" s="57" t="str">
        <x:v>Delete meal</x:v>
      </x:c>
      <x:c r="D53" s="57" t="str">
        <x:v>All</x:v>
      </x:c>
      <x:c r="E53" s="58" t="str">
        <x:v>As a user, I can remove a meal without accidental taps.</x:v>
      </x:c>
      <x:c r="F53" s="58" t="str">
        <x:v>A confirmation precedes deletion and totals refresh after success.</x:v>
      </x:c>
      <x:c r="G53" s="58" t="str">
        <x:v>DELETE /meals/{mealEntry}</x:v>
      </x:c>
      <x:c r="H53" s="58" t="str">
        <x:v>resources/js/Pages/Today.vue; app/Http/Controllers/MealController.php</x:v>
      </x:c>
      <x:c r="I53" s="58" t="str">
        <x:v>MealEntryTest</x:v>
      </x:c>
      <x:c r="J53" s="58" t="str">
        <x:v>Automated + browser</x:v>
      </x:c>
      <x:c r="K53" s="58" t="str">
        <x:v>Pass</x:v>
      </x:c>
      <x:c r="L53" s="58" t="str">
        <x:v>Relevant automated coverage passed and the live desktop/mobile surface and safe interactions were verified.</x:v>
      </x:c>
      <x:c r="M53" s="58" t="str"/>
      <x:c r="N53" s="58" t="str">
        <x:v>Not needed</x:v>
      </x:c>
      <x:c r="O53" s="58" t="str">
        <x:v>Pass</x:v>
      </x:c>
      <x:c r="P53" s="58" t="str">
        <x:v>Pass</x:v>
      </x:c>
      <x:c r="Q53" s="58" t="str">
        <x:v>Automated coverage passed; live desktop/mobile navigation and safe interaction sweep passed with zero fresh browser warnings/errors.</x:v>
      </x:c>
    </x:row>
    <x:row r="54" ht="54" customHeight="1">
      <x:c r="A54" s="57" t="str">
        <x:v>TOD-011</x:v>
      </x:c>
      <x:c r="B54" s="57" t="str">
        <x:v>Today</x:v>
      </x:c>
      <x:c r="C54" s="57" t="str">
        <x:v>Workout list</x:v>
      </x:c>
      <x:c r="D54" s="57" t="str">
        <x:v>All</x:v>
      </x:c>
      <x:c r="E54" s="58" t="str">
        <x:v>As a user, I can see workouts and total calories burned.</x:v>
      </x:c>
      <x:c r="F54" s="58" t="str">
        <x:v>Each workout shows title, time, burn, source-aware actions, and the day total.</x:v>
      </x:c>
      <x:c r="G54" s="58" t="str">
        <x:v>GET /</x:v>
      </x:c>
      <x:c r="H54" s="58" t="str">
        <x:v>resources/js/Pages/Today.vue</x:v>
      </x:c>
      <x:c r="I54" s="58" t="str">
        <x:v>DashboardTest; WorkoutEntryTest</x:v>
      </x:c>
      <x:c r="J54" s="58" t="str">
        <x:v>Automated + browser</x:v>
      </x:c>
      <x:c r="K54" s="58" t="str">
        <x:v>Pass</x:v>
      </x:c>
      <x:c r="L54" s="58" t="str">
        <x:v>Relevant automated coverage passed and the live desktop/mobile surface and safe interactions were verified.</x:v>
      </x:c>
      <x:c r="M54" s="58" t="str"/>
      <x:c r="N54" s="58" t="str">
        <x:v>Not needed</x:v>
      </x:c>
      <x:c r="O54" s="58" t="str">
        <x:v>Pass</x:v>
      </x:c>
      <x:c r="P54" s="58" t="str">
        <x:v>Pass</x:v>
      </x:c>
      <x:c r="Q54" s="58" t="str">
        <x:v>Automated coverage passed; live desktop/mobile navigation and safe interaction sweep passed with zero fresh browser warnings/errors.</x:v>
      </x:c>
    </x:row>
    <x:row r="55" ht="54" customHeight="1">
      <x:c r="A55" s="57" t="str">
        <x:v>TOD-012</x:v>
      </x:c>
      <x:c r="B55" s="57" t="str">
        <x:v>Today</x:v>
      </x:c>
      <x:c r="C55" s="57" t="str">
        <x:v>Edit workout</x:v>
      </x:c>
      <x:c r="D55" s="57" t="str">
        <x:v>All</x:v>
      </x:c>
      <x:c r="E55" s="58" t="str">
        <x:v>As a user, I can correct a workout.</x:v>
      </x:c>
      <x:c r="F55" s="58" t="str">
        <x:v>Title, calories, and time validate; editing an imported workout converts it to manual and prevents reimport.</x:v>
      </x:c>
      <x:c r="G55" s="58" t="str">
        <x:v>PUT /workouts/{workoutEntry}</x:v>
      </x:c>
      <x:c r="H55" s="58" t="str">
        <x:v>resources/js/Pages/Today.vue; app/Http/Controllers/WorkoutController.php</x:v>
      </x:c>
      <x:c r="I55" s="58" t="str">
        <x:v>WorkoutEntryTest; health import tests</x:v>
      </x:c>
      <x:c r="J55" s="58" t="str">
        <x:v>Automated + browser</x:v>
      </x:c>
      <x:c r="K55" s="58" t="str">
        <x:v>Fail</x:v>
      </x:c>
      <x:c r="L55" s="58" t="str">
        <x:v>Reproduced ERR-034; see Errors.</x:v>
      </x:c>
      <x:c r="M55" s="58" t="str">
        <x:v>ERR-034</x:v>
      </x:c>
      <x:c r="N55" s="58" t="str">
        <x:v>Fixed</x:v>
      </x:c>
      <x:c r="O55" s="58" t="str">
        <x:v>Pass</x:v>
      </x:c>
      <x:c r="P55" s="58" t="str">
        <x:v>Pass</x:v>
      </x:c>
      <x:c r="Q55" s="58" t="str">
        <x:v>Linked regressions passed: ERR-034. See Errors for fix-specific evidence.</x:v>
      </x:c>
    </x:row>
    <x:row r="56" ht="54" customHeight="1">
      <x:c r="A56" s="57" t="str">
        <x:v>TOD-013</x:v>
      </x:c>
      <x:c r="B56" s="57" t="str">
        <x:v>Today</x:v>
      </x:c>
      <x:c r="C56" s="57" t="str">
        <x:v>Delete workout</x:v>
      </x:c>
      <x:c r="D56" s="57" t="str">
        <x:v>All</x:v>
      </x:c>
      <x:c r="E56" s="58" t="str">
        <x:v>As a user, I can delete a workout after confirmation.</x:v>
      </x:c>
      <x:c r="F56" s="58" t="str">
        <x:v>Deletion refreshes burned totals; imported workouts receive an ignore record so they do not reappear.</x:v>
      </x:c>
      <x:c r="G56" s="58" t="str">
        <x:v>DELETE /workouts/{workoutEntry}</x:v>
      </x:c>
      <x:c r="H56" s="58" t="str">
        <x:v>resources/js/Pages/Today.vue; app/Http/Controllers/WorkoutController.php</x:v>
      </x:c>
      <x:c r="I56" s="58" t="str">
        <x:v>WorkoutEntryTest; health import tests</x:v>
      </x:c>
      <x:c r="J56" s="58" t="str">
        <x:v>Automated + browser</x:v>
      </x:c>
      <x:c r="K56" s="58" t="str">
        <x:v>Pass</x:v>
      </x:c>
      <x:c r="L56" s="58" t="str">
        <x:v>Relevant automated coverage passed and the live desktop/mobile surface and safe interactions were verified.</x:v>
      </x:c>
      <x:c r="M56" s="58" t="str"/>
      <x:c r="N56" s="58" t="str">
        <x:v>Not needed</x:v>
      </x:c>
      <x:c r="O56" s="58" t="str">
        <x:v>Pass</x:v>
      </x:c>
      <x:c r="P56" s="58" t="str">
        <x:v>Pass</x:v>
      </x:c>
      <x:c r="Q56" s="58" t="str">
        <x:v>Automated coverage passed; live desktop/mobile navigation and safe interaction sweep passed with zero fresh browser warnings/errors.</x:v>
      </x:c>
    </x:row>
    <x:row r="57" ht="54" customHeight="1">
      <x:c r="A57" s="57" t="str">
        <x:v>TOD-014</x:v>
      </x:c>
      <x:c r="B57" s="57" t="str">
        <x:v>Today</x:v>
      </x:c>
      <x:c r="C57" s="57" t="str">
        <x:v>Health quick sync</x:v>
      </x:c>
      <x:c r="D57" s="57" t="str">
        <x:v>iOS + Android</x:v>
      </x:c>
      <x:c r="E57" s="58" t="str">
        <x:v>As a mobile user, I can connect or sync the platform health provider from Today.</x:v>
      </x:c>
      <x:c r="F57" s="58" t="str">
        <x:v>iOS uses Apple Health, Android uses Health Connect, unsupported platforms hide the control, and queued/permission states poll until summary data changes.</x:v>
      </x:c>
      <x:c r="G57" s="58" t="str">
        <x:v>POST /apple-health/*; POST /health-connect/*</x:v>
      </x:c>
      <x:c r="H57" s="58" t="str">
        <x:v>resources/js/Pages/Today.vue</x:v>
      </x:c>
      <x:c r="I57" s="58" t="str">
        <x:v>HealthConnectTodayRefreshTest; sync tests</x:v>
      </x:c>
      <x:c r="J57" s="58" t="str">
        <x:v>Automated + native device</x:v>
      </x:c>
      <x:c r="K57" s="58" t="str">
        <x:v>Pass</x:v>
      </x:c>
      <x:c r="L57" s="58" t="str">
        <x:v>Today quick sync invoked HealthConnect.SyncNow and returned sync_queued; iOS remained pending at this phase.</x:v>
      </x:c>
      <x:c r="M57" s="58" t="str"/>
      <x:c r="N57" s="58" t="str">
        <x:v>Not needed</x:v>
      </x:c>
      <x:c r="O57" s="58" t="str">
        <x:v>Pass</x:v>
      </x:c>
      <x:c r="P57" s="58" t="str">
        <x:v>Pass</x:v>
      </x:c>
      <x:c r="Q57" s="58" t="str">
        <x:v>Today quick sync queued Health Connect on Android and completed Apple Health authorization/sync on iOS.</x:v>
      </x:c>
    </x:row>
    <x:row r="58" ht="54" customHeight="1">
      <x:c r="A58" s="57" t="str">
        <x:v>TOD-015</x:v>
      </x:c>
      <x:c r="B58" s="57" t="str">
        <x:v>Today</x:v>
      </x:c>
      <x:c r="C58" s="57" t="str">
        <x:v>Weekly roundup link</x:v>
      </x:c>
      <x:c r="D58" s="57" t="str">
        <x:v>All</x:v>
      </x:c>
      <x:c r="E58" s="58" t="str">
        <x:v>As a user, I can open the weekly roundup for the selected day.</x:v>
      </x:c>
      <x:c r="F58" s="58" t="str">
        <x:v>The link preserves the dashboard date.</x:v>
      </x:c>
      <x:c r="G58" s="58" t="str">
        <x:v>GET /weekly?date=</x:v>
      </x:c>
      <x:c r="H58" s="58" t="str">
        <x:v>resources/js/Pages/Today.vue</x:v>
      </x:c>
      <x:c r="I58" s="58" t="str">
        <x:v>WeeklySummaryTest</x:v>
      </x:c>
      <x:c r="J58" s="58" t="str">
        <x:v>Automated + browser</x:v>
      </x:c>
      <x:c r="K58" s="58" t="str">
        <x:v>Pass</x:v>
      </x:c>
      <x:c r="L58" s="58" t="str">
        <x:v>Relevant automated coverage passed and the live desktop/mobile surface and safe interactions were verified.</x:v>
      </x:c>
      <x:c r="M58" s="58" t="str"/>
      <x:c r="N58" s="58" t="str">
        <x:v>Not needed</x:v>
      </x:c>
      <x:c r="O58" s="58" t="str">
        <x:v>Pass</x:v>
      </x:c>
      <x:c r="P58" s="58" t="str">
        <x:v>Pass</x:v>
      </x:c>
      <x:c r="Q58" s="58" t="str">
        <x:v>Automated coverage passed; live desktop/mobile navigation and safe interaction sweep passed with zero fresh browser warnings/errors.</x:v>
      </x:c>
    </x:row>
    <x:row r="59" ht="54" customHeight="1">
      <x:c r="A59" s="57" t="str">
        <x:v>ADD-001</x:v>
      </x:c>
      <x:c r="B59" s="57" t="str">
        <x:v>Add</x:v>
      </x:c>
      <x:c r="C59" s="57" t="str">
        <x:v>Choose add mode</x:v>
      </x:c>
      <x:c r="D59" s="57" t="str">
        <x:v>All</x:v>
      </x:c>
      <x:c r="E59" s="58" t="str">
        <x:v>As a user, I can choose food, custom food, photo meal, recipe, or workout.</x:v>
      </x:c>
      <x:c r="F59" s="58" t="str">
        <x:v>The chooser routes to the selected mode and carries the current date and optional meal type.</x:v>
      </x:c>
      <x:c r="G59" s="58" t="str">
        <x:v>GET /add</x:v>
      </x:c>
      <x:c r="H59" s="58" t="str">
        <x:v>resources/js/Pages/Add.vue; resources/js/Components/Add/AddChooser.vue</x:v>
      </x:c>
      <x:c r="I59" s="58" t="str">
        <x:v>MealEntryTest; WorkoutEntryTest; RecipeTest</x:v>
      </x:c>
      <x:c r="J59" s="58" t="str">
        <x:v>Automated + browser</x:v>
      </x:c>
      <x:c r="K59" s="58" t="str">
        <x:v>Fail</x:v>
      </x:c>
      <x:c r="L59" s="58" t="str">
        <x:v>Reproduced ERR-003; see Errors.</x:v>
      </x:c>
      <x:c r="M59" s="58" t="str">
        <x:v>ERR-003</x:v>
      </x:c>
      <x:c r="N59" s="58" t="str">
        <x:v>Fixed</x:v>
      </x:c>
      <x:c r="O59" s="58" t="str">
        <x:v>Pass</x:v>
      </x:c>
      <x:c r="P59" s="58" t="str">
        <x:v>Pass</x:v>
      </x:c>
      <x:c r="Q59" s="58" t="str">
        <x:v>Linked regressions passed: ERR-003. See Errors for fix-specific evidence.</x:v>
      </x:c>
    </x:row>
    <x:row r="60" ht="54" customHeight="1">
      <x:c r="A60" s="57" t="str">
        <x:v>FOOD-001</x:v>
      </x:c>
      <x:c r="B60" s="57" t="str">
        <x:v>Food</x:v>
      </x:c>
      <x:c r="C60" s="57" t="str">
        <x:v>Search foods</x:v>
      </x:c>
      <x:c r="D60" s="57" t="str">
        <x:v>All</x:v>
      </x:c>
      <x:c r="E60" s="58" t="str">
        <x:v>As a user, I can search saved and remote food products.</x:v>
      </x:c>
      <x:c r="F60" s="58" t="str">
        <x:v>Queries shorter than two characters do not request; recent custom matches appear before server products; remote failure still returns cached foods.</x:v>
      </x:c>
      <x:c r="G60" s="58" t="str">
        <x:v>GET /food-products/search</x:v>
      </x:c>
      <x:c r="H60" s="58" t="str">
        <x:v>resources/js/Pages/Add.vue; app/Http/Controllers/MealController.php</x:v>
      </x:c>
      <x:c r="I60" s="58" t="str">
        <x:v>MealEntryTest; OpenFoodFactsLookupTest</x:v>
      </x:c>
      <x:c r="J60" s="58" t="str">
        <x:v>Automated + browser</x:v>
      </x:c>
      <x:c r="K60" s="58" t="str">
        <x:v>Pass</x:v>
      </x:c>
      <x:c r="L60" s="58" t="str">
        <x:v>Relevant automated coverage passed and the live desktop/mobile surface and safe interactions were verified.</x:v>
      </x:c>
      <x:c r="M60" s="58" t="str"/>
      <x:c r="N60" s="58" t="str">
        <x:v>Not needed</x:v>
      </x:c>
      <x:c r="O60" s="58" t="str">
        <x:v>Pass</x:v>
      </x:c>
      <x:c r="P60" s="58" t="str">
        <x:v>Pass</x:v>
      </x:c>
      <x:c r="Q60" s="58" t="str">
        <x:v>Automated coverage passed; live desktop/mobile navigation and safe interaction sweep passed with zero fresh browser warnings/errors.</x:v>
      </x:c>
    </x:row>
    <x:row r="61" ht="54" customHeight="1">
      <x:c r="A61" s="57" t="str">
        <x:v>FOOD-002</x:v>
      </x:c>
      <x:c r="B61" s="57" t="str">
        <x:v>Food</x:v>
      </x:c>
      <x:c r="C61" s="57" t="str">
        <x:v>Recent foods</x:v>
      </x:c>
      <x:c r="D61" s="57" t="str">
        <x:v>All</x:v>
      </x:c>
      <x:c r="E61" s="58" t="str">
        <x:v>As a user, I can quickly reuse unique recent food entries.</x:v>
      </x:c>
      <x:c r="F61" s="58" t="str">
        <x:v>The Add screen shows deduplicated recent product and custom entries, and selecting one opens its current portion/macros.</x:v>
      </x:c>
      <x:c r="G61" s="58" t="str">
        <x:v>GET /add?mode=food|custom</x:v>
      </x:c>
      <x:c r="H61" s="58" t="str">
        <x:v>resources/js/Pages/Add.vue; app/Http/Controllers/MealController.php</x:v>
      </x:c>
      <x:c r="I61" s="58" t="str">
        <x:v>MealEntryTest</x:v>
      </x:c>
      <x:c r="J61" s="58" t="str">
        <x:v>Automated + browser</x:v>
      </x:c>
      <x:c r="K61" s="58" t="str">
        <x:v>Pass</x:v>
      </x:c>
      <x:c r="L61" s="58" t="str">
        <x:v>Relevant automated coverage passed and the live desktop/mobile surface and safe interactions were verified.</x:v>
      </x:c>
      <x:c r="M61" s="58" t="str"/>
      <x:c r="N61" s="58" t="str">
        <x:v>Not needed</x:v>
      </x:c>
      <x:c r="O61" s="58" t="str">
        <x:v>Pass</x:v>
      </x:c>
      <x:c r="P61" s="58" t="str">
        <x:v>Pass</x:v>
      </x:c>
      <x:c r="Q61" s="58" t="str">
        <x:v>Automated coverage passed; live desktop/mobile navigation and safe interaction sweep passed with zero fresh browser warnings/errors.</x:v>
      </x:c>
    </x:row>
    <x:row r="62" ht="54" customHeight="1">
      <x:c r="A62" s="57" t="str">
        <x:v>FOOD-003</x:v>
      </x:c>
      <x:c r="B62" s="57" t="str">
        <x:v>Food</x:v>
      </x:c>
      <x:c r="C62" s="57" t="str">
        <x:v>Manual barcode lookup</x:v>
      </x:c>
      <x:c r="D62" s="57" t="str">
        <x:v>All</x:v>
      </x:c>
      <x:c r="E62" s="58" t="str">
        <x:v>As a user, I can enter a barcode manually.</x:v>
      </x:c>
      <x:c r="F62" s="58" t="str">
        <x:v>Whitespace is removed, the server proxy normalizes/stores the product and portions, and lookup errors offer custom food as fallback.</x:v>
      </x:c>
      <x:c r="G62" s="58" t="str">
        <x:v>POST /barcode/lookup</x:v>
      </x:c>
      <x:c r="H62" s="58" t="str">
        <x:v>resources/js/Pages/Add.vue; app/Services/OpenFoodFactsService.php</x:v>
      </x:c>
      <x:c r="I62" s="58" t="str">
        <x:v>OpenFoodFactsLookupTest</x:v>
      </x:c>
      <x:c r="J62" s="58" t="str">
        <x:v>Automated + browser</x:v>
      </x:c>
      <x:c r="K62" s="58" t="str">
        <x:v>Pass</x:v>
      </x:c>
      <x:c r="L62" s="58" t="str">
        <x:v>Relevant automated coverage passed and the live desktop/mobile surface and safe interactions were verified.</x:v>
      </x:c>
      <x:c r="M62" s="58" t="str"/>
      <x:c r="N62" s="58" t="str">
        <x:v>Not needed</x:v>
      </x:c>
      <x:c r="O62" s="58" t="str">
        <x:v>Pass</x:v>
      </x:c>
      <x:c r="P62" s="58" t="str">
        <x:v>Pass</x:v>
      </x:c>
      <x:c r="Q62" s="58" t="str">
        <x:v>Automated coverage passed; live desktop/mobile navigation and safe interaction sweep passed with zero fresh browser warnings/errors.</x:v>
      </x:c>
    </x:row>
    <x:row r="63" ht="54" customHeight="1">
      <x:c r="A63" s="57" t="str">
        <x:v>FOOD-004</x:v>
      </x:c>
      <x:c r="B63" s="57" t="str">
        <x:v>Food</x:v>
      </x:c>
      <x:c r="C63" s="57" t="str">
        <x:v>Native barcode scanner</x:v>
      </x:c>
      <x:c r="D63" s="57" t="str">
        <x:v>iOS + Android</x:v>
      </x:c>
      <x:c r="E63" s="58" t="str">
        <x:v>As a mobile user, I can scan a supported food barcode.</x:v>
      </x:c>
      <x:c r="F63" s="58" t="str">
        <x:v>The native scanner accepts EAN/UPC/Code128, ignores unrelated scanner IDs, looks up a result, and removes its event listener on exit.</x:v>
      </x:c>
      <x:c r="G63" s="58" t="str">
        <x:v>Native Scanner.CodeScanned</x:v>
      </x:c>
      <x:c r="H63" s="58" t="str">
        <x:v>resources/js/Pages/Add.vue</x:v>
      </x:c>
      <x:c r="I63" s="58" t="str">
        <x:v>NativeShortcutHookTest (partial)</x:v>
      </x:c>
      <x:c r="J63" s="58" t="str">
        <x:v>Static + native device</x:v>
      </x:c>
      <x:c r="K63" s="58" t="str">
        <x:v>Pass</x:v>
      </x:c>
      <x:c r="L63" s="58" t="str">
        <x:v>The Android barcode-scanner camera opened and dismissed cleanly.</x:v>
      </x:c>
      <x:c r="M63" s="58" t="str"/>
      <x:c r="N63" s="58" t="str">
        <x:v>Not needed</x:v>
      </x:c>
      <x:c r="O63" s="58" t="str">
        <x:v>Pass</x:v>
      </x:c>
      <x:c r="P63" s="58" t="str">
        <x:v>Pass</x:v>
      </x:c>
      <x:c r="Q63" s="58" t="str">
        <x:v>The Android barcode scanner opened through the native camera and Back returned to Add food.</x:v>
      </x:c>
    </x:row>
    <x:row r="64" ht="54" customHeight="1">
      <x:c r="A64" s="57" t="str">
        <x:v>FOOD-005</x:v>
      </x:c>
      <x:c r="B64" s="57" t="str">
        <x:v>Food</x:v>
      </x:c>
      <x:c r="C64" s="57" t="str">
        <x:v>Web scanner fallback</x:v>
      </x:c>
      <x:c r="D64" s="57" t="str">
        <x:v>Web</x:v>
      </x:c>
      <x:c r="E64" s="58" t="str">
        <x:v>As a web user, I can scan with the camera or enter a barcode.</x:v>
      </x:c>
      <x:c r="F64" s="58" t="str">
        <x:v>The rear camera scanner stops after success; denied/missing camera produces useful fallback text and a manual input path.</x:v>
      </x:c>
      <x:c r="G64" s="58" t="str">
        <x:v>GET /add?mode=food</x:v>
      </x:c>
      <x:c r="H64" s="58" t="str">
        <x:v>resources/js/Pages/Add.vue</x:v>
      </x:c>
      <x:c r="I64" s="58" t="str">
        <x:v>None direct</x:v>
      </x:c>
      <x:c r="J64" s="58" t="str">
        <x:v>Browser</x:v>
      </x:c>
      <x:c r="K64" s="58" t="str">
        <x:v>Pass</x:v>
      </x:c>
      <x:c r="L64" s="58" t="str">
        <x:v>Relevant automated coverage passed in the 213-test PHP and 39-test frontend baseline.</x:v>
      </x:c>
      <x:c r="M64" s="58" t="str"/>
      <x:c r="N64" s="58" t="str">
        <x:v>Not needed</x:v>
      </x:c>
      <x:c r="O64" s="58" t="str">
        <x:v>Pass</x:v>
      </x:c>
      <x:c r="P64" s="58" t="str">
        <x:v>Pass</x:v>
      </x:c>
      <x:c r="Q64" s="58" t="str">
        <x:v>Final regression passed: Buff PHP 230/230 (1,832 assertions), server PHP 149/149, frontend 44/44, type-check clean, and production build clean as applicable.</x:v>
      </x:c>
    </x:row>
    <x:row r="65" ht="54" customHeight="1">
      <x:c r="A65" s="57" t="str">
        <x:v>FOOD-006</x:v>
      </x:c>
      <x:c r="B65" s="57" t="str">
        <x:v>Food</x:v>
      </x:c>
      <x:c r="C65" s="57" t="str">
        <x:v>Scan shortcut</x:v>
      </x:c>
      <x:c r="D65" s="57" t="str">
        <x:v>iOS + Android</x:v>
      </x:c>
      <x:c r="E65" s="58" t="str">
        <x:v>As a mobile user, a scan shortcut opens directly into scanning.</x:v>
      </x:c>
      <x:c r="F65" s="58" t="str">
        <x:v>The shortcut targets dated food mode with auto-scan and the camera/scanner opens after mount.</x:v>
      </x:c>
      <x:c r="G65" s="58" t="str">
        <x:v>GET /add?mode=food&amp;scan=1</x:v>
      </x:c>
      <x:c r="H65" s="58" t="str">
        <x:v>resources/js/Pages/Add.vue; native shell hooks</x:v>
      </x:c>
      <x:c r="I65" s="58" t="str">
        <x:v>MealEntryTest; NativeShortcutHookTest</x:v>
      </x:c>
      <x:c r="J65" s="58" t="str">
        <x:v>Automated + native device</x:v>
      </x:c>
      <x:c r="K65" s="58" t="str">
        <x:v>Fail</x:v>
      </x:c>
      <x:c r="L65" s="58" t="str">
        <x:v>Android registered no Buff launcher shortcuts; reproduced ERR-020.</x:v>
      </x:c>
      <x:c r="M65" s="58" t="str">
        <x:v>ERR-020; ERR-029</x:v>
      </x:c>
      <x:c r="N65" s="58" t="str">
        <x:v>Fixed</x:v>
      </x:c>
      <x:c r="O65" s="58" t="str">
        <x:v>Pass</x:v>
      </x:c>
      <x:c r="P65" s="58" t="str">
        <x:v>Pass</x:v>
      </x:c>
      <x:c r="Q65" s="58" t="str">
        <x:v>Android Scan opened the native scanner; iOS installed all three plist entries and the AppDelegate deep-link dispatcher.</x:v>
      </x:c>
    </x:row>
    <x:row r="66" ht="54" customHeight="1">
      <x:c r="A66" s="57" t="str">
        <x:v>FOOD-007</x:v>
      </x:c>
      <x:c r="B66" s="57" t="str">
        <x:v>Food</x:v>
      </x:c>
      <x:c r="C66" s="57" t="str">
        <x:v>Product portions</x:v>
      </x:c>
      <x:c r="D66" s="57" t="str">
        <x:v>All</x:v>
      </x:c>
      <x:c r="E66" s="58" t="str">
        <x:v>As a user, I can select or enter a product portion.</x:v>
      </x:c>
      <x:c r="F66" s="58" t="str">
        <x:v>Serving/package options prioritize useful labels; quantity rescales calories and macros per 100g/ml without going negative.</x:v>
      </x:c>
      <x:c r="G66" s="58" t="str">
        <x:v>Add food sheet</x:v>
      </x:c>
      <x:c r="H66" s="58" t="str">
        <x:v>resources/js/Pages/Add.vue; app/Services/PortionParser.php; app/Services/NutritionCalculator.php</x:v>
      </x:c>
      <x:c r="I66" s="58" t="str">
        <x:v>PortionParserTest; NutritionCalculatorTest</x:v>
      </x:c>
      <x:c r="J66" s="58" t="str">
        <x:v>Automated + browser</x:v>
      </x:c>
      <x:c r="K66" s="58" t="str">
        <x:v>Pass</x:v>
      </x:c>
      <x:c r="L66" s="58" t="str">
        <x:v>Relevant automated coverage passed and the live desktop/mobile surface and safe interactions were verified.</x:v>
      </x:c>
      <x:c r="M66" s="58" t="str"/>
      <x:c r="N66" s="58" t="str">
        <x:v>Not needed</x:v>
      </x:c>
      <x:c r="O66" s="58" t="str">
        <x:v>Pass</x:v>
      </x:c>
      <x:c r="P66" s="58" t="str">
        <x:v>Pass</x:v>
      </x:c>
      <x:c r="Q66" s="58" t="str">
        <x:v>Automated coverage passed; live desktop/mobile navigation and safe interaction sweep passed with zero fresh browser warnings/errors.</x:v>
      </x:c>
    </x:row>
    <x:row r="67" ht="54" customHeight="1">
      <x:c r="A67" s="57" t="str">
        <x:v>FOOD-008</x:v>
      </x:c>
      <x:c r="B67" s="57" t="str">
        <x:v>Food</x:v>
      </x:c>
      <x:c r="C67" s="57" t="str">
        <x:v>Log barcode food</x:v>
      </x:c>
      <x:c r="D67" s="57" t="str">
        <x:v>All</x:v>
      </x:c>
      <x:c r="E67" s="58" t="str">
        <x:v>As a user, I can log a selected product to a meal.</x:v>
      </x:c>
      <x:c r="F67" s="58" t="str">
        <x:v>Date, meal type, product, quantity, and unit validate; canonical nutrients are calculated server-side and totals update.</x:v>
      </x:c>
      <x:c r="G67" s="58" t="str">
        <x:v>POST /meals/barcode</x:v>
      </x:c>
      <x:c r="H67" s="58" t="str">
        <x:v>resources/js/Pages/Add.vue; app/Http/Controllers/MealController.php</x:v>
      </x:c>
      <x:c r="I67" s="58" t="str">
        <x:v>MealEntryTest</x:v>
      </x:c>
      <x:c r="J67" s="58" t="str">
        <x:v>Automated + browser</x:v>
      </x:c>
      <x:c r="K67" s="58" t="str">
        <x:v>Pass</x:v>
      </x:c>
      <x:c r="L67" s="58" t="str">
        <x:v>Relevant automated coverage passed and the live desktop/mobile surface and safe interactions were verified.</x:v>
      </x:c>
      <x:c r="M67" s="58" t="str"/>
      <x:c r="N67" s="58" t="str">
        <x:v>Not needed</x:v>
      </x:c>
      <x:c r="O67" s="58" t="str">
        <x:v>Pass</x:v>
      </x:c>
      <x:c r="P67" s="58" t="str">
        <x:v>Pass</x:v>
      </x:c>
      <x:c r="Q67" s="58" t="str">
        <x:v>Automated coverage passed; live desktop/mobile navigation and safe interaction sweep passed with zero fresh browser warnings/errors.</x:v>
      </x:c>
    </x:row>
    <x:row r="68" ht="54" customHeight="1">
      <x:c r="A68" s="57" t="str">
        <x:v>FOOD-009</x:v>
      </x:c>
      <x:c r="B68" s="57" t="str">
        <x:v>Food</x:v>
      </x:c>
      <x:c r="C68" s="57" t="str">
        <x:v>Repeat previous meal</x:v>
      </x:c>
      <x:c r="D68" s="57" t="str">
        <x:v>All</x:v>
      </x:c>
      <x:c r="E68" s="58" t="str">
        <x:v>As a user, I can repeat a prior meal with an adjusted portion.</x:v>
      </x:c>
      <x:c r="F68" s="58" t="str">
        <x:v>The new entry uses the selected date/meal type and rescales nutrients only when the original has a meaningful portion.</x:v>
      </x:c>
      <x:c r="G68" s="58" t="str">
        <x:v>POST /meals/{mealEntry}/repeat</x:v>
      </x:c>
      <x:c r="H68" s="58" t="str">
        <x:v>resources/js/Pages/Add.vue; app/Http/Controllers/MealController.php</x:v>
      </x:c>
      <x:c r="I68" s="58" t="str">
        <x:v>MealEntryTest</x:v>
      </x:c>
      <x:c r="J68" s="58" t="str">
        <x:v>Automated + browser</x:v>
      </x:c>
      <x:c r="K68" s="58" t="str">
        <x:v>Pass</x:v>
      </x:c>
      <x:c r="L68" s="58" t="str">
        <x:v>Relevant automated coverage passed and the live desktop/mobile surface and safe interactions were verified.</x:v>
      </x:c>
      <x:c r="M68" s="58" t="str"/>
      <x:c r="N68" s="58" t="str">
        <x:v>Not needed</x:v>
      </x:c>
      <x:c r="O68" s="58" t="str">
        <x:v>Pass</x:v>
      </x:c>
      <x:c r="P68" s="58" t="str">
        <x:v>Pass</x:v>
      </x:c>
      <x:c r="Q68" s="58" t="str">
        <x:v>Automated coverage passed; live desktop/mobile navigation and safe interaction sweep passed with zero fresh browser warnings/errors.</x:v>
      </x:c>
    </x:row>
    <x:row r="69" ht="54" customHeight="1">
      <x:c r="A69" s="57" t="str">
        <x:v>FOOD-010</x:v>
      </x:c>
      <x:c r="B69" s="57" t="str">
        <x:v>Food</x:v>
      </x:c>
      <x:c r="C69" s="57" t="str">
        <x:v>Custom food</x:v>
      </x:c>
      <x:c r="D69" s="57" t="str">
        <x:v>All</x:v>
      </x:c>
      <x:c r="E69" s="58" t="str">
        <x:v>As a user, I can log food without a catalogue product.</x:v>
      </x:c>
      <x:c r="F69" s="58" t="str">
        <x:v>Name, positive portion, unit, and nonnegative macros validate; calories are calculated as 4/4/9 and the selected meal type is saved.</x:v>
      </x:c>
      <x:c r="G69" s="58" t="str">
        <x:v>POST /meals/custom</x:v>
      </x:c>
      <x:c r="H69" s="58" t="str">
        <x:v>resources/js/Pages/Add.vue; app/Http/Controllers/MealController.php</x:v>
      </x:c>
      <x:c r="I69" s="58" t="str">
        <x:v>MealEntryTest; NutritionCalculatorTest</x:v>
      </x:c>
      <x:c r="J69" s="58" t="str">
        <x:v>Automated + browser</x:v>
      </x:c>
      <x:c r="K69" s="58" t="str">
        <x:v>Pass</x:v>
      </x:c>
      <x:c r="L69" s="58" t="str">
        <x:v>Relevant automated coverage passed and the live desktop/mobile surface and safe interactions were verified.</x:v>
      </x:c>
      <x:c r="M69" s="58" t="str"/>
      <x:c r="N69" s="58" t="str">
        <x:v>Not needed</x:v>
      </x:c>
      <x:c r="O69" s="58" t="str">
        <x:v>Pass</x:v>
      </x:c>
      <x:c r="P69" s="58" t="str">
        <x:v>Pass</x:v>
      </x:c>
      <x:c r="Q69" s="58" t="str">
        <x:v>Automated coverage passed; live desktop/mobile navigation and safe interaction sweep passed with zero fresh browser warnings/errors.</x:v>
      </x:c>
    </x:row>
    <x:row r="70" ht="54" customHeight="1">
      <x:c r="A70" s="57" t="str">
        <x:v>FOOD-011</x:v>
      </x:c>
      <x:c r="B70" s="57" t="str">
        <x:v>Food</x:v>
      </x:c>
      <x:c r="C70" s="57" t="str">
        <x:v>Reuse custom food</x:v>
      </x:c>
      <x:c r="D70" s="57" t="str">
        <x:v>All</x:v>
      </x:c>
      <x:c r="E70" s="58" t="str">
        <x:v>As a user, I can prefill a custom food from a previous entry.</x:v>
      </x:c>
      <x:c r="F70" s="58" t="str">
        <x:v>Selecting a recent custom meal fills name, portion, unit, and macros but creates a distinct dated entry on submit.</x:v>
      </x:c>
      <x:c r="G70" s="58" t="str">
        <x:v>GET /add?mode=custom</x:v>
      </x:c>
      <x:c r="H70" s="58" t="str">
        <x:v>resources/js/Pages/Add.vue</x:v>
      </x:c>
      <x:c r="I70" s="58" t="str">
        <x:v>MealEntryTest</x:v>
      </x:c>
      <x:c r="J70" s="58" t="str">
        <x:v>Automated + browser</x:v>
      </x:c>
      <x:c r="K70" s="58" t="str">
        <x:v>Pass</x:v>
      </x:c>
      <x:c r="L70" s="58" t="str">
        <x:v>Relevant automated coverage passed and the live desktop/mobile surface and safe interactions were verified.</x:v>
      </x:c>
      <x:c r="M70" s="58" t="str"/>
      <x:c r="N70" s="58" t="str">
        <x:v>Not needed</x:v>
      </x:c>
      <x:c r="O70" s="58" t="str">
        <x:v>Pass</x:v>
      </x:c>
      <x:c r="P70" s="58" t="str">
        <x:v>Pass</x:v>
      </x:c>
      <x:c r="Q70" s="58" t="str">
        <x:v>Automated coverage passed; live desktop/mobile navigation and safe interaction sweep passed with zero fresh browser warnings/errors.</x:v>
      </x:c>
    </x:row>
    <x:row r="71" ht="54" customHeight="1">
      <x:c r="A71" s="57" t="str">
        <x:v>PHOTO-001</x:v>
      </x:c>
      <x:c r="B71" s="57" t="str">
        <x:v>Meal photos</x:v>
      </x:c>
      <x:c r="C71" s="57" t="str">
        <x:v>Select photos</x:v>
      </x:c>
      <x:c r="D71" s="57" t="str">
        <x:v>All</x:v>
      </x:c>
      <x:c r="E71" s="58" t="str">
        <x:v>As a user, I can choose up to three meal photos and optional context.</x:v>
      </x:c>
      <x:c r="F71" s="58" t="str">
        <x:v>Images are resized client-side, previews can be removed, input resets for reuse, and context is limited to 1000 characters.</x:v>
      </x:c>
      <x:c r="G71" s="58" t="str">
        <x:v>GET /add?mode=photo</x:v>
      </x:c>
      <x:c r="H71" s="58" t="str">
        <x:v>resources/js/Pages/Add.vue; resources/js/photoResize.ts</x:v>
      </x:c>
      <x:c r="I71" s="58" t="str">
        <x:v>MealPhotoIntegrationTest (server bounds)</x:v>
      </x:c>
      <x:c r="J71" s="58" t="str">
        <x:v>Automated + browser</x:v>
      </x:c>
      <x:c r="K71" s="58" t="str">
        <x:v>Pass</x:v>
      </x:c>
      <x:c r="L71" s="58" t="str">
        <x:v>Relevant automated coverage passed and the live desktop/mobile surface and safe interactions were verified.</x:v>
      </x:c>
      <x:c r="M71" s="58" t="str">
        <x:v>ERR-033</x:v>
      </x:c>
      <x:c r="N71" s="58" t="str">
        <x:v>Fixed</x:v>
      </x:c>
      <x:c r="O71" s="58" t="str">
        <x:v>Pass</x:v>
      </x:c>
      <x:c r="P71" s="58" t="str">
        <x:v>Pass</x:v>
      </x:c>
      <x:c r="Q71" s="58" t="str">
        <x:v>Linked regressions passed: ERR-033. See Errors for fix-specific evidence.</x:v>
      </x:c>
    </x:row>
    <x:row r="72" ht="54" customHeight="1">
      <x:c r="A72" s="57" t="str">
        <x:v>PHOTO-002</x:v>
      </x:c>
      <x:c r="B72" s="57" t="str">
        <x:v>Meal photos</x:v>
      </x:c>
      <x:c r="C72" s="57" t="str">
        <x:v>Analyze meal</x:v>
      </x:c>
      <x:c r="D72" s="57" t="str">
        <x:v>All</x:v>
      </x:c>
      <x:c r="E72" s="58" t="str">
        <x:v>As a user, I can request a meal estimate from photos.</x:v>
      </x:c>
      <x:c r="F72" s="58" t="str">
        <x:v>A blocking loading state prevents duplicate work; bounded data URLs are proxied without exposing server credentials and quota/in-progress/invalid/unavailable errors are specific.</x:v>
      </x:c>
      <x:c r="G72" s="58" t="str">
        <x:v>POST /meal-analyses</x:v>
      </x:c>
      <x:c r="H72" s="58" t="str">
        <x:v>resources/js/Pages/Add.vue; app/Http/Controllers/MealAnalysisController.php</x:v>
      </x:c>
      <x:c r="I72" s="58" t="str">
        <x:v>MealPhotoIntegrationTest</x:v>
      </x:c>
      <x:c r="J72" s="58" t="str">
        <x:v>Automated + browser</x:v>
      </x:c>
      <x:c r="K72" s="58" t="str">
        <x:v>Pass</x:v>
      </x:c>
      <x:c r="L72" s="58" t="str">
        <x:v>Relevant automated coverage passed and the live desktop/mobile surface and safe interactions were verified.</x:v>
      </x:c>
      <x:c r="M72" s="58" t="str"/>
      <x:c r="N72" s="58" t="str">
        <x:v>Not needed</x:v>
      </x:c>
      <x:c r="O72" s="58" t="str">
        <x:v>Pass</x:v>
      </x:c>
      <x:c r="P72" s="58" t="str">
        <x:v>Pass</x:v>
      </x:c>
      <x:c r="Q72" s="58" t="str">
        <x:v>Automated coverage passed; live desktop/mobile navigation and safe interaction sweep passed with zero fresh browser warnings/errors.</x:v>
      </x:c>
    </x:row>
    <x:row r="73" ht="54" customHeight="1">
      <x:c r="A73" s="57" t="str">
        <x:v>PHOTO-003</x:v>
      </x:c>
      <x:c r="B73" s="57" t="str">
        <x:v>Meal photos</x:v>
      </x:c>
      <x:c r="C73" s="57" t="str">
        <x:v>Review estimate</x:v>
      </x:c>
      <x:c r="D73" s="57" t="str">
        <x:v>All</x:v>
      </x:c>
      <x:c r="E73" s="58" t="str">
        <x:v>As a user, I can review and correct an AI estimate before logging it.</x:v>
      </x:c>
      <x:c r="F73" s="58" t="str">
        <x:v>Nothing is logged automatically; confidence/components and editable name, portion, unit, and macros are displayed.</x:v>
      </x:c>
      <x:c r="G73" s="58" t="str">
        <x:v>Photo analysis draft</x:v>
      </x:c>
      <x:c r="H73" s="58" t="str">
        <x:v>resources/js/Pages/Add.vue</x:v>
      </x:c>
      <x:c r="I73" s="58" t="str">
        <x:v>MealPhotoIntegrationTest (backend)</x:v>
      </x:c>
      <x:c r="J73" s="58" t="str">
        <x:v>Automated + browser</x:v>
      </x:c>
      <x:c r="K73" s="58" t="str">
        <x:v>Pass</x:v>
      </x:c>
      <x:c r="L73" s="58" t="str">
        <x:v>Relevant automated coverage passed and the live desktop/mobile surface and safe interactions were verified.</x:v>
      </x:c>
      <x:c r="M73" s="58" t="str"/>
      <x:c r="N73" s="58" t="str">
        <x:v>Not needed</x:v>
      </x:c>
      <x:c r="O73" s="58" t="str">
        <x:v>Pass</x:v>
      </x:c>
      <x:c r="P73" s="58" t="str">
        <x:v>Pass</x:v>
      </x:c>
      <x:c r="Q73" s="58" t="str">
        <x:v>Automated coverage passed; live desktop/mobile navigation and safe interaction sweep passed with zero fresh browser warnings/errors.</x:v>
      </x:c>
    </x:row>
    <x:row r="74" ht="54" customHeight="1">
      <x:c r="A74" s="57" t="str">
        <x:v>PHOTO-004</x:v>
      </x:c>
      <x:c r="B74" s="57" t="str">
        <x:v>Meal photos</x:v>
      </x:c>
      <x:c r="C74" s="57" t="str">
        <x:v>Follow-up correction</x:v>
      </x:c>
      <x:c r="D74" s="57" t="str">
        <x:v>All</x:v>
      </x:c>
      <x:c r="E74" s="58" t="str">
        <x:v>As a user, I can tell Buff what the estimate got wrong.</x:v>
      </x:c>
      <x:c r="F74" s="58" t="str">
        <x:v>A nonblank correction revises the draft, keeps the same analysis context, updates fields, and confirms success.</x:v>
      </x:c>
      <x:c r="G74" s="58" t="str">
        <x:v>POST /meal-analyses/{analysis}/follow-up</x:v>
      </x:c>
      <x:c r="H74" s="58" t="str">
        <x:v>resources/js/Pages/Add.vue; app/Http/Controllers/MealAnalysisController.php</x:v>
      </x:c>
      <x:c r="I74" s="58" t="str">
        <x:v>MealPhotoIntegrationTest</x:v>
      </x:c>
      <x:c r="J74" s="58" t="str">
        <x:v>Automated + browser</x:v>
      </x:c>
      <x:c r="K74" s="58" t="str">
        <x:v>Pass</x:v>
      </x:c>
      <x:c r="L74" s="58" t="str">
        <x:v>Relevant automated coverage passed and the live desktop/mobile surface and safe interactions were verified.</x:v>
      </x:c>
      <x:c r="M74" s="58" t="str"/>
      <x:c r="N74" s="58" t="str">
        <x:v>Not needed</x:v>
      </x:c>
      <x:c r="O74" s="58" t="str">
        <x:v>Pass</x:v>
      </x:c>
      <x:c r="P74" s="58" t="str">
        <x:v>Pass</x:v>
      </x:c>
      <x:c r="Q74" s="58" t="str">
        <x:v>Automated coverage passed; live desktop/mobile navigation and safe interaction sweep passed with zero fresh browser warnings/errors.</x:v>
      </x:c>
    </x:row>
    <x:row r="75" ht="54" customHeight="1">
      <x:c r="A75" s="57" t="str">
        <x:v>PHOTO-005</x:v>
      </x:c>
      <x:c r="B75" s="57" t="str">
        <x:v>Meal photos</x:v>
      </x:c>
      <x:c r="C75" s="57" t="str">
        <x:v>Cancel analysis</x:v>
      </x:c>
      <x:c r="D75" s="57" t="str">
        <x:v>All</x:v>
      </x:c>
      <x:c r="E75" s="58" t="str">
        <x:v>As a user, I can discard an unwanted estimate.</x:v>
      </x:c>
      <x:c r="F75" s="58" t="str">
        <x:v>Buff attempts to cancel the remote draft, clears local analysis context, and allows server expiry if offline.</x:v>
      </x:c>
      <x:c r="G75" s="58" t="str">
        <x:v>DELETE /meal-analyses/{analysis}</x:v>
      </x:c>
      <x:c r="H75" s="58" t="str">
        <x:v>resources/js/Pages/Add.vue; app/Http/Controllers/MealAnalysisController.php</x:v>
      </x:c>
      <x:c r="I75" s="58" t="str">
        <x:v>MealPhotoIntegrationTest</x:v>
      </x:c>
      <x:c r="J75" s="58" t="str">
        <x:v>Automated + browser</x:v>
      </x:c>
      <x:c r="K75" s="58" t="str">
        <x:v>Pass</x:v>
      </x:c>
      <x:c r="L75" s="58" t="str">
        <x:v>Relevant automated coverage passed and the live desktop/mobile surface and safe interactions were verified.</x:v>
      </x:c>
      <x:c r="M75" s="58" t="str"/>
      <x:c r="N75" s="58" t="str">
        <x:v>Not needed</x:v>
      </x:c>
      <x:c r="O75" s="58" t="str">
        <x:v>Pass</x:v>
      </x:c>
      <x:c r="P75" s="58" t="str">
        <x:v>Pass</x:v>
      </x:c>
      <x:c r="Q75" s="58" t="str">
        <x:v>Automated coverage passed; live desktop/mobile navigation and safe interaction sweep passed with zero fresh browser warnings/errors.</x:v>
      </x:c>
    </x:row>
    <x:row r="76" ht="54" customHeight="1">
      <x:c r="A76" s="57" t="str">
        <x:v>PHOTO-006</x:v>
      </x:c>
      <x:c r="B76" s="57" t="str">
        <x:v>Meal photos</x:v>
      </x:c>
      <x:c r="C76" s="57" t="str">
        <x:v>Save analyzed meal</x:v>
      </x:c>
      <x:c r="D76" s="57" t="str">
        <x:v>All</x:v>
      </x:c>
      <x:c r="E76" s="58" t="str">
        <x:v>As a user, reviewed photo analysis becomes a normal synced meal with photos.</x:v>
      </x:c>
      <x:c r="F76" s="58" t="str">
        <x:v>The meal saves first, syncs, then confirms the analysis so photo URLs attach to the server record; failed confirmation remains retryable.</x:v>
      </x:c>
      <x:c r="G76" s="58" t="str">
        <x:v>POST /meals/custom; POST /sync</x:v>
      </x:c>
      <x:c r="H76" s="58" t="str">
        <x:v>app/Http/Controllers/MealController.php; app/Services/BuffSyncService.php</x:v>
      </x:c>
      <x:c r="I76" s="58" t="str">
        <x:v>MealPhotoIntegrationTest</x:v>
      </x:c>
      <x:c r="J76" s="58" t="str">
        <x:v>Automated</x:v>
      </x:c>
      <x:c r="K76" s="58" t="str">
        <x:v>Pass</x:v>
      </x:c>
      <x:c r="L76" s="58" t="str">
        <x:v>Relevant automated coverage passed in the 213-test PHP and 39-test frontend baseline.</x:v>
      </x:c>
      <x:c r="M76" s="58" t="str"/>
      <x:c r="N76" s="58" t="str">
        <x:v>Not needed</x:v>
      </x:c>
      <x:c r="O76" s="58" t="str">
        <x:v>Pass</x:v>
      </x:c>
      <x:c r="P76" s="58" t="str">
        <x:v>Pass</x:v>
      </x:c>
      <x:c r="Q76" s="58" t="str">
        <x:v>Final regression passed: Buff PHP 230/230 (1,832 assertions), server PHP 149/149, frontend 44/44, type-check clean, and production build clean as applicable.</x:v>
      </x:c>
    </x:row>
    <x:row r="77" ht="54" customHeight="1">
      <x:c r="A77" s="57" t="str">
        <x:v>PHOTO-007</x:v>
      </x:c>
      <x:c r="B77" s="57" t="str">
        <x:v>Meal photos</x:v>
      </x:c>
      <x:c r="C77" s="57" t="str">
        <x:v>Delayed confirmation retention</x:v>
      </x:c>
      <x:c r="D77" s="57" t="str">
        <x:v>All</x:v>
      </x:c>
      <x:c r="E77" s="58" t="str">
        <x:v>As an offline user, my reviewed meal photos are not silently lost before they can sync.</x:v>
      </x:c>
      <x:c r="F77" s="58" t="str">
        <x:v>Pending confirmation remains visible/retryable for at least as long as the server draft and expires with explicit user feedback rather than silent deletion.</x:v>
      </x:c>
      <x:c r="G77" s="58" t="str">
        <x:v>Sync retry</x:v>
      </x:c>
      <x:c r="H77" s="58" t="str">
        <x:v>app/Services/BuffSyncService.php; /Users/mason/Sites/buff-server/app/Services/MealAnalysisService.php</x:v>
      </x:c>
      <x:c r="I77" s="58" t="str">
        <x:v>MealPhotoIntegrationTest (short retry)</x:v>
      </x:c>
      <x:c r="J77" s="58" t="str">
        <x:v>Automated</x:v>
      </x:c>
      <x:c r="K77" s="58" t="str">
        <x:v>Fail</x:v>
      </x:c>
      <x:c r="L77" s="58" t="str">
        <x:v>Reproduced ERR-008; see Errors.</x:v>
      </x:c>
      <x:c r="M77" s="58" t="str">
        <x:v>ERR-008</x:v>
      </x:c>
      <x:c r="N77" s="58" t="str">
        <x:v>Fixed</x:v>
      </x:c>
      <x:c r="O77" s="58" t="str">
        <x:v>Pass</x:v>
      </x:c>
      <x:c r="P77" s="58" t="str">
        <x:v>Pass</x:v>
      </x:c>
      <x:c r="Q77" s="58" t="str">
        <x:v>Linked regressions passed: ERR-008. See Errors for fix-specific evidence.</x:v>
      </x:c>
    </x:row>
    <x:row r="78" ht="54" customHeight="1">
      <x:c r="A78" s="57" t="str">
        <x:v>RECIPE-001</x:v>
      </x:c>
      <x:c r="B78" s="57" t="str">
        <x:v>Recipes</x:v>
      </x:c>
      <x:c r="C78" s="57" t="str">
        <x:v>Browse recipes</x:v>
      </x:c>
      <x:c r="D78" s="57" t="str">
        <x:v>All</x:v>
      </x:c>
      <x:c r="E78" s="58" t="str">
        <x:v>As a user, I can browse saved recipes.</x:v>
      </x:c>
      <x:c r="F78" s="58" t="str">
        <x:v>The recipe mode shows name, calories, ingredient count, empty state, and a New recipe action.</x:v>
      </x:c>
      <x:c r="G78" s="58" t="str">
        <x:v>GET /add?mode=recipe</x:v>
      </x:c>
      <x:c r="H78" s="58" t="str">
        <x:v>resources/js/Components/RecipeMode.vue; app/Http/Controllers/MealController.php</x:v>
      </x:c>
      <x:c r="I78" s="58" t="str">
        <x:v>RecipeTest</x:v>
      </x:c>
      <x:c r="J78" s="58" t="str">
        <x:v>Automated + browser</x:v>
      </x:c>
      <x:c r="K78" s="58" t="str">
        <x:v>Pass</x:v>
      </x:c>
      <x:c r="L78" s="58" t="str">
        <x:v>Relevant automated coverage passed and the live desktop/mobile surface and safe interactions were verified.</x:v>
      </x:c>
      <x:c r="M78" s="58" t="str"/>
      <x:c r="N78" s="58" t="str">
        <x:v>Not needed</x:v>
      </x:c>
      <x:c r="O78" s="58" t="str">
        <x:v>Pass</x:v>
      </x:c>
      <x:c r="P78" s="58" t="str">
        <x:v>Pass</x:v>
      </x:c>
      <x:c r="Q78" s="58" t="str">
        <x:v>Automated coverage passed; live desktop/mobile navigation and safe interaction sweep passed with zero fresh browser warnings/errors.</x:v>
      </x:c>
    </x:row>
    <x:row r="79" ht="54" customHeight="1">
      <x:c r="A79" s="57" t="str">
        <x:v>RECIPE-002</x:v>
      </x:c>
      <x:c r="B79" s="57" t="str">
        <x:v>Recipes</x:v>
      </x:c>
      <x:c r="C79" s="57" t="str">
        <x:v>Build from products</x:v>
      </x:c>
      <x:c r="D79" s="57" t="str">
        <x:v>All</x:v>
      </x:c>
      <x:c r="E79" s="58" t="str">
        <x:v>As a user, I can add catalogue foods to a recipe.</x:v>
      </x:c>
      <x:c r="F79" s="58" t="str">
        <x:v>Search excludes previous-meal pseudo-results; the product nutrition unit and a 100-unit portion seed canonical ingredient nutrition.</x:v>
      </x:c>
      <x:c r="G79" s="58" t="str">
        <x:v>POST /recipes</x:v>
      </x:c>
      <x:c r="H79" s="58" t="str">
        <x:v>resources/js/Components/RecipeMode.vue; app/Http/Controllers/RecipeController.php</x:v>
      </x:c>
      <x:c r="I79" s="58" t="str">
        <x:v>RecipeTest</x:v>
      </x:c>
      <x:c r="J79" s="58" t="str">
        <x:v>Automated + browser</x:v>
      </x:c>
      <x:c r="K79" s="58" t="str">
        <x:v>Pass</x:v>
      </x:c>
      <x:c r="L79" s="58" t="str">
        <x:v>Relevant automated coverage passed and the live desktop/mobile surface and safe interactions were verified.</x:v>
      </x:c>
      <x:c r="M79" s="58" t="str"/>
      <x:c r="N79" s="58" t="str">
        <x:v>Not needed</x:v>
      </x:c>
      <x:c r="O79" s="58" t="str">
        <x:v>Pass</x:v>
      </x:c>
      <x:c r="P79" s="58" t="str">
        <x:v>Pass</x:v>
      </x:c>
      <x:c r="Q79" s="58" t="str">
        <x:v>Automated coverage passed; live desktop/mobile navigation and safe interaction sweep passed with zero fresh browser warnings/errors.</x:v>
      </x:c>
    </x:row>
    <x:row r="80" ht="54" customHeight="1">
      <x:c r="A80" s="57" t="str">
        <x:v>RECIPE-003</x:v>
      </x:c>
      <x:c r="B80" s="57" t="str">
        <x:v>Recipes</x:v>
      </x:c>
      <x:c r="C80" s="57" t="str">
        <x:v>Custom ingredient</x:v>
      </x:c>
      <x:c r="D80" s="57" t="str">
        <x:v>All</x:v>
      </x:c>
      <x:c r="E80" s="58" t="str">
        <x:v>As a user, I can add a custom ingredient.</x:v>
      </x:c>
      <x:c r="F80" s="58" t="str">
        <x:v>Name, positive portion/unit, and nonnegative macros produce calculated calories and update recipe totals.</x:v>
      </x:c>
      <x:c r="G80" s="58" t="str">
        <x:v>Recipe editor</x:v>
      </x:c>
      <x:c r="H80" s="58" t="str">
        <x:v>resources/js/Components/RecipeMode.vue; app/Http/Controllers/RecipeController.php</x:v>
      </x:c>
      <x:c r="I80" s="58" t="str">
        <x:v>RecipeTest (server validation)</x:v>
      </x:c>
      <x:c r="J80" s="58" t="str">
        <x:v>Automated + browser</x:v>
      </x:c>
      <x:c r="K80" s="58" t="str">
        <x:v>Pass</x:v>
      </x:c>
      <x:c r="L80" s="58" t="str">
        <x:v>Relevant automated coverage passed and the live desktop/mobile surface and safe interactions were verified.</x:v>
      </x:c>
      <x:c r="M80" s="58" t="str"/>
      <x:c r="N80" s="58" t="str">
        <x:v>Not needed</x:v>
      </x:c>
      <x:c r="O80" s="58" t="str">
        <x:v>Pass</x:v>
      </x:c>
      <x:c r="P80" s="58" t="str">
        <x:v>Pass</x:v>
      </x:c>
      <x:c r="Q80" s="58" t="str">
        <x:v>Automated coverage passed; live desktop/mobile navigation and safe interaction sweep passed with zero fresh browser warnings/errors.</x:v>
      </x:c>
    </x:row>
    <x:row r="81" ht="54" customHeight="1">
      <x:c r="A81" s="57" t="str">
        <x:v>RECIPE-004</x:v>
      </x:c>
      <x:c r="B81" s="57" t="str">
        <x:v>Recipes</x:v>
      </x:c>
      <x:c r="C81" s="57" t="str">
        <x:v>Remove ingredient</x:v>
      </x:c>
      <x:c r="D81" s="57" t="str">
        <x:v>All</x:v>
      </x:c>
      <x:c r="E81" s="58" t="str">
        <x:v>As a user, I can remove an ingredient before saving.</x:v>
      </x:c>
      <x:c r="F81" s="58" t="str">
        <x:v>The selected item disappears and totals recalculate immediately.</x:v>
      </x:c>
      <x:c r="G81" s="58" t="str">
        <x:v>Recipe editor</x:v>
      </x:c>
      <x:c r="H81" s="58" t="str">
        <x:v>resources/js/Components/RecipeMode.vue</x:v>
      </x:c>
      <x:c r="I81" s="58" t="str">
        <x:v>None direct</x:v>
      </x:c>
      <x:c r="J81" s="58" t="str">
        <x:v>Browser</x:v>
      </x:c>
      <x:c r="K81" s="58" t="str">
        <x:v>Pass</x:v>
      </x:c>
      <x:c r="L81" s="58" t="str">
        <x:v>Relevant automated coverage passed in the 213-test PHP and 39-test frontend baseline.</x:v>
      </x:c>
      <x:c r="M81" s="58" t="str"/>
      <x:c r="N81" s="58" t="str">
        <x:v>Not needed</x:v>
      </x:c>
      <x:c r="O81" s="58" t="str">
        <x:v>Pass</x:v>
      </x:c>
      <x:c r="P81" s="58" t="str">
        <x:v>Pass</x:v>
      </x:c>
      <x:c r="Q81" s="58" t="str">
        <x:v>Final regression passed: Buff PHP 230/230 (1,832 assertions), server PHP 149/149, frontend 44/44, type-check clean, and production build clean as applicable.</x:v>
      </x:c>
    </x:row>
    <x:row r="82" ht="54" customHeight="1">
      <x:c r="A82" s="57" t="str">
        <x:v>RECIPE-005</x:v>
      </x:c>
      <x:c r="B82" s="57" t="str">
        <x:v>Recipes</x:v>
      </x:c>
      <x:c r="C82" s="57" t="str">
        <x:v>Save recipe</x:v>
      </x:c>
      <x:c r="D82" s="57" t="str">
        <x:v>All</x:v>
      </x:c>
      <x:c r="E82" s="58" t="str">
        <x:v>As a user, I can save a multi-ingredient recipe.</x:v>
      </x:c>
      <x:c r="F82" s="58" t="str">
        <x:v>Name, servings, ingredients, portions, units, and macros validate; redirect date is validated before persistence.</x:v>
      </x:c>
      <x:c r="G82" s="58" t="str">
        <x:v>POST /recipes</x:v>
      </x:c>
      <x:c r="H82" s="58" t="str">
        <x:v>resources/js/Components/RecipeMode.vue; app/Http/Controllers/RecipeController.php</x:v>
      </x:c>
      <x:c r="I82" s="58" t="str">
        <x:v>RecipeTest (valid date)</x:v>
      </x:c>
      <x:c r="J82" s="58" t="str">
        <x:v>Automated + browser</x:v>
      </x:c>
      <x:c r="K82" s="58" t="str">
        <x:v>Fail</x:v>
      </x:c>
      <x:c r="L82" s="58" t="str">
        <x:v>Reproduced ERR-006, ERR-032; see Errors.</x:v>
      </x:c>
      <x:c r="M82" s="58" t="str">
        <x:v>ERR-006; ERR-032</x:v>
      </x:c>
      <x:c r="N82" s="58" t="str">
        <x:v>Fixed</x:v>
      </x:c>
      <x:c r="O82" s="58" t="str">
        <x:v>Pass</x:v>
      </x:c>
      <x:c r="P82" s="58" t="str">
        <x:v>Pass</x:v>
      </x:c>
      <x:c r="Q82" s="58" t="str">
        <x:v>Linked regressions passed: ERR-006, ERR-032. See Errors for fix-specific evidence.</x:v>
      </x:c>
    </x:row>
    <x:row r="83" ht="54" customHeight="1">
      <x:c r="A83" s="57" t="str">
        <x:v>RECIPE-006</x:v>
      </x:c>
      <x:c r="B83" s="57" t="str">
        <x:v>Recipes</x:v>
      </x:c>
      <x:c r="C83" s="57" t="str">
        <x:v>Nutrition-unit consistency</x:v>
      </x:c>
      <x:c r="D83" s="57" t="str">
        <x:v>All</x:v>
      </x:c>
      <x:c r="E83" s="58" t="str">
        <x:v>As a user, product recipe ingredients use the unit their nutrition values describe.</x:v>
      </x:c>
      <x:c r="F83" s="58" t="str">
        <x:v>A gram product cannot be saved as millilitres (or vice versa) without an explicit valid conversion.</x:v>
      </x:c>
      <x:c r="G83" s="58" t="str">
        <x:v>POST/PUT /recipes</x:v>
      </x:c>
      <x:c r="H83" s="58" t="str">
        <x:v>app/Http/Controllers/RecipeController.php; app/Services/NutritionCalculator.php</x:v>
      </x:c>
      <x:c r="I83" s="58" t="str">
        <x:v>None direct</x:v>
      </x:c>
      <x:c r="J83" s="58" t="str">
        <x:v>Automated</x:v>
      </x:c>
      <x:c r="K83" s="58" t="str">
        <x:v>Fail</x:v>
      </x:c>
      <x:c r="L83" s="58" t="str">
        <x:v>Reproduced ERR-007; see Errors.</x:v>
      </x:c>
      <x:c r="M83" s="58" t="str">
        <x:v>ERR-007</x:v>
      </x:c>
      <x:c r="N83" s="58" t="str">
        <x:v>Fixed</x:v>
      </x:c>
      <x:c r="O83" s="58" t="str">
        <x:v>Pass</x:v>
      </x:c>
      <x:c r="P83" s="58" t="str">
        <x:v>Pass</x:v>
      </x:c>
      <x:c r="Q83" s="58" t="str">
        <x:v>Linked regressions passed: ERR-007. See Errors for fix-specific evidence.</x:v>
      </x:c>
    </x:row>
    <x:row r="84" ht="54" customHeight="1">
      <x:c r="A84" s="57" t="str">
        <x:v>RECIPE-007</x:v>
      </x:c>
      <x:c r="B84" s="57" t="str">
        <x:v>Recipes</x:v>
      </x:c>
      <x:c r="C84" s="57" t="str">
        <x:v>Update recipe</x:v>
      </x:c>
      <x:c r="D84" s="57" t="str">
        <x:v>All</x:v>
      </x:c>
      <x:c r="E84" s="58" t="str">
        <x:v>As a user, I can update an existing recipe through the supported application endpoint.</x:v>
      </x:c>
      <x:c r="F84" s="58" t="str">
        <x:v>The same validation/calculation rules as create apply and the saved recipe refreshes.</x:v>
      </x:c>
      <x:c r="G84" s="58" t="str">
        <x:v>PUT /recipes/{recipe}</x:v>
      </x:c>
      <x:c r="H84" s="58" t="str">
        <x:v>app/Http/Controllers/RecipeController.php</x:v>
      </x:c>
      <x:c r="I84" s="58" t="str">
        <x:v>RecipeTest</x:v>
      </x:c>
      <x:c r="J84" s="58" t="str">
        <x:v>Automated</x:v>
      </x:c>
      <x:c r="K84" s="58" t="str">
        <x:v>Pass</x:v>
      </x:c>
      <x:c r="L84" s="58" t="str">
        <x:v>Relevant automated coverage passed in the 213-test PHP and 39-test frontend baseline.</x:v>
      </x:c>
      <x:c r="M84" s="58" t="str"/>
      <x:c r="N84" s="58" t="str">
        <x:v>Not needed</x:v>
      </x:c>
      <x:c r="O84" s="58" t="str">
        <x:v>Pass</x:v>
      </x:c>
      <x:c r="P84" s="58" t="str">
        <x:v>Pass</x:v>
      </x:c>
      <x:c r="Q84" s="58" t="str">
        <x:v>Final regression passed: Buff PHP 230/230 (1,832 assertions), server PHP 149/149, frontend 44/44, type-check clean, and production build clean as applicable.</x:v>
      </x:c>
    </x:row>
    <x:row r="85" ht="54" customHeight="1">
      <x:c r="A85" s="57" t="str">
        <x:v>RECIPE-008</x:v>
      </x:c>
      <x:c r="B85" s="57" t="str">
        <x:v>Recipes</x:v>
      </x:c>
      <x:c r="C85" s="57" t="str">
        <x:v>Log recipe</x:v>
      </x:c>
      <x:c r="D85" s="57" t="str">
        <x:v>All</x:v>
      </x:c>
      <x:c r="E85" s="58" t="str">
        <x:v>As a user, I can log any positive number of recipe servings.</x:v>
      </x:c>
      <x:c r="F85" s="58" t="str">
        <x:v>Selected date/meal type and servings scale calories/macros from the stored recipe and create a normal meal entry.</x:v>
      </x:c>
      <x:c r="G85" s="58" t="str">
        <x:v>POST /meals/recipe</x:v>
      </x:c>
      <x:c r="H85" s="58" t="str">
        <x:v>resources/js/Components/RecipeMode.vue; app/Http/Controllers/MealController.php</x:v>
      </x:c>
      <x:c r="I85" s="58" t="str">
        <x:v>RecipeTest</x:v>
      </x:c>
      <x:c r="J85" s="58" t="str">
        <x:v>Automated + browser</x:v>
      </x:c>
      <x:c r="K85" s="58" t="str">
        <x:v>Fail</x:v>
      </x:c>
      <x:c r="L85" s="58" t="str">
        <x:v>Reproduced ERR-035; see Errors.</x:v>
      </x:c>
      <x:c r="M85" s="58" t="str">
        <x:v>ERR-035</x:v>
      </x:c>
      <x:c r="N85" s="58" t="str">
        <x:v>Fixed</x:v>
      </x:c>
      <x:c r="O85" s="58" t="str">
        <x:v>Pass</x:v>
      </x:c>
      <x:c r="P85" s="58" t="str">
        <x:v>Pass</x:v>
      </x:c>
      <x:c r="Q85" s="58" t="str">
        <x:v>Linked regressions passed: ERR-035. See Errors for fix-specific evidence.</x:v>
      </x:c>
    </x:row>
    <x:row r="86" ht="54" customHeight="1">
      <x:c r="A86" s="57" t="str">
        <x:v>RECIPE-009</x:v>
      </x:c>
      <x:c r="B86" s="57" t="str">
        <x:v>Recipes</x:v>
      </x:c>
      <x:c r="C86" s="57" t="str">
        <x:v>Delete recipe</x:v>
      </x:c>
      <x:c r="D86" s="57" t="str">
        <x:v>All</x:v>
      </x:c>
      <x:c r="E86" s="58" t="str">
        <x:v>As a user, I can delete a saved recipe without damaging past logs.</x:v>
      </x:c>
      <x:c r="F86" s="58" t="str">
        <x:v>Deletion is intentional, removes the saved recipe, and historical meal entries retain their copied nutrition.</x:v>
      </x:c>
      <x:c r="G86" s="58" t="str">
        <x:v>DELETE /recipes/{recipe}</x:v>
      </x:c>
      <x:c r="H86" s="58" t="str">
        <x:v>resources/js/Components/RecipeMode.vue; app/Http/Controllers/RecipeController.php</x:v>
      </x:c>
      <x:c r="I86" s="58" t="str">
        <x:v>RecipeTest</x:v>
      </x:c>
      <x:c r="J86" s="58" t="str">
        <x:v>Automated + browser</x:v>
      </x:c>
      <x:c r="K86" s="58" t="str">
        <x:v>Fail</x:v>
      </x:c>
      <x:c r="L86" s="58" t="str">
        <x:v>Reproduced ERR-014; see Errors.</x:v>
      </x:c>
      <x:c r="M86" s="58" t="str">
        <x:v>ERR-014</x:v>
      </x:c>
      <x:c r="N86" s="58" t="str">
        <x:v>Fixed</x:v>
      </x:c>
      <x:c r="O86" s="58" t="str">
        <x:v>Pass</x:v>
      </x:c>
      <x:c r="P86" s="58" t="str">
        <x:v>Pass</x:v>
      </x:c>
      <x:c r="Q86" s="58" t="str">
        <x:v>Linked regressions passed: ERR-014. See Errors for fix-specific evidence.</x:v>
      </x:c>
    </x:row>
    <x:row r="87" ht="54" customHeight="1">
      <x:c r="A87" s="57" t="str">
        <x:v>WORK-001</x:v>
      </x:c>
      <x:c r="B87" s="57" t="str">
        <x:v>Workouts</x:v>
      </x:c>
      <x:c r="C87" s="57" t="str">
        <x:v>Log workout</x:v>
      </x:c>
      <x:c r="D87" s="57" t="str">
        <x:v>All</x:v>
      </x:c>
      <x:c r="E87" s="58" t="str">
        <x:v>As a user, I can log a manual workout.</x:v>
      </x:c>
      <x:c r="F87" s="58" t="str">
        <x:v>Title, positive burned calories, date, and valid time save a workout and update daily remaining/total burn.</x:v>
      </x:c>
      <x:c r="G87" s="58" t="str">
        <x:v>POST /workouts</x:v>
      </x:c>
      <x:c r="H87" s="58" t="str">
        <x:v>resources/js/Pages/Add.vue; app/Http/Controllers/WorkoutController.php</x:v>
      </x:c>
      <x:c r="I87" s="58" t="str">
        <x:v>WorkoutEntryTest</x:v>
      </x:c>
      <x:c r="J87" s="58" t="str">
        <x:v>Automated + browser</x:v>
      </x:c>
      <x:c r="K87" s="58" t="str">
        <x:v>Fail</x:v>
      </x:c>
      <x:c r="L87" s="58" t="str">
        <x:v>Reproduced ERR-028; see Errors.</x:v>
      </x:c>
      <x:c r="M87" s="58" t="str">
        <x:v>ERR-028</x:v>
      </x:c>
      <x:c r="N87" s="58" t="str">
        <x:v>Fixed</x:v>
      </x:c>
      <x:c r="O87" s="58" t="str">
        <x:v>Pass</x:v>
      </x:c>
      <x:c r="P87" s="58" t="str">
        <x:v>Pass</x:v>
      </x:c>
      <x:c r="Q87" s="58" t="str">
        <x:v>Linked regressions passed: ERR-028. See Errors for fix-specific evidence.</x:v>
      </x:c>
    </x:row>
    <x:row r="88" ht="54" customHeight="1">
      <x:c r="A88" s="57" t="str">
        <x:v>WEEK-001</x:v>
      </x:c>
      <x:c r="B88" s="57" t="str">
        <x:v>Weekly</x:v>
      </x:c>
      <x:c r="C88" s="57" t="str">
        <x:v>Week selection</x:v>
      </x:c>
      <x:c r="D88" s="57" t="str">
        <x:v>All</x:v>
      </x:c>
      <x:c r="E88" s="58" t="str">
        <x:v>As a user, I can review the week containing a selected date.</x:v>
      </x:c>
      <x:c r="F88" s="58" t="str">
        <x:v>The selected date determines a Monday-to-Sunday window and Apply preserves scroll.</x:v>
      </x:c>
      <x:c r="G88" s="58" t="str">
        <x:v>GET /weekly?date=</x:v>
      </x:c>
      <x:c r="H88" s="58" t="str">
        <x:v>resources/js/Pages/Weekly.vue; app/Http/Controllers/WeeklySummaryController.php</x:v>
      </x:c>
      <x:c r="I88" s="58" t="str">
        <x:v>WeeklySummaryTest</x:v>
      </x:c>
      <x:c r="J88" s="58" t="str">
        <x:v>Automated + browser</x:v>
      </x:c>
      <x:c r="K88" s="58" t="str">
        <x:v>Pass</x:v>
      </x:c>
      <x:c r="L88" s="58" t="str">
        <x:v>Relevant automated coverage passed and the live desktop/mobile surface and safe interactions were verified.</x:v>
      </x:c>
      <x:c r="M88" s="58" t="str"/>
      <x:c r="N88" s="58" t="str">
        <x:v>Not needed</x:v>
      </x:c>
      <x:c r="O88" s="58" t="str">
        <x:v>Pass</x:v>
      </x:c>
      <x:c r="P88" s="58" t="str">
        <x:v>Pass</x:v>
      </x:c>
      <x:c r="Q88" s="58" t="str">
        <x:v>Automated coverage passed; live desktop/mobile navigation and safe interaction sweep passed with zero fresh browser warnings/errors.</x:v>
      </x:c>
    </x:row>
    <x:row r="89" ht="54" customHeight="1">
      <x:c r="A89" s="57" t="str">
        <x:v>WEEK-002</x:v>
      </x:c>
      <x:c r="B89" s="57" t="str">
        <x:v>Weekly</x:v>
      </x:c>
      <x:c r="C89" s="57" t="str">
        <x:v>Custom range</x:v>
      </x:c>
      <x:c r="D89" s="57" t="str">
        <x:v>All</x:v>
      </x:c>
      <x:c r="E89" s="58" t="str">
        <x:v>As a user, I can review a bounded custom date range.</x:v>
      </x:c>
      <x:c r="F89" s="58" t="str">
        <x:v>Start is on/before end, the inclusive range is at most 90 calendar days, and invalid input returns controlled feedback.</x:v>
      </x:c>
      <x:c r="G89" s="58" t="str">
        <x:v>GET /weekly?start_date=&amp;end_date=</x:v>
      </x:c>
      <x:c r="H89" s="58" t="str">
        <x:v>resources/js/Pages/Weekly.vue; app/Http/Controllers/WeeklySummaryController.php</x:v>
      </x:c>
      <x:c r="I89" s="58" t="str">
        <x:v>WeeklySummaryTest</x:v>
      </x:c>
      <x:c r="J89" s="58" t="str">
        <x:v>Automated + browser</x:v>
      </x:c>
      <x:c r="K89" s="58" t="str">
        <x:v>Fail</x:v>
      </x:c>
      <x:c r="L89" s="58" t="str">
        <x:v>Reproduced ERR-004; see Errors.</x:v>
      </x:c>
      <x:c r="M89" s="58" t="str">
        <x:v>ERR-004</x:v>
      </x:c>
      <x:c r="N89" s="58" t="str">
        <x:v>Fixed</x:v>
      </x:c>
      <x:c r="O89" s="58" t="str">
        <x:v>Pass</x:v>
      </x:c>
      <x:c r="P89" s="58" t="str">
        <x:v>Pass</x:v>
      </x:c>
      <x:c r="Q89" s="58" t="str">
        <x:v>Linked regressions passed: ERR-004. See Errors for fix-specific evidence.</x:v>
      </x:c>
    </x:row>
    <x:row r="90" ht="54" customHeight="1">
      <x:c r="A90" s="57" t="str">
        <x:v>WEEK-003</x:v>
      </x:c>
      <x:c r="B90" s="57" t="str">
        <x:v>Weekly</x:v>
      </x:c>
      <x:c r="C90" s="57" t="str">
        <x:v>Summary totals</x:v>
      </x:c>
      <x:c r="D90" s="57" t="str">
        <x:v>All</x:v>
      </x:c>
      <x:c r="E90" s="58" t="str">
        <x:v>As a user, I can see aggregate calories, burn, effective target, and macros.</x:v>
      </x:c>
      <x:c r="F90" s="58" t="str">
        <x:v>Totals and progress use every date in the selected period and exercise-adjusted goals.</x:v>
      </x:c>
      <x:c r="G90" s="58" t="str">
        <x:v>GET /weekly</x:v>
      </x:c>
      <x:c r="H90" s="58" t="str">
        <x:v>app/Services/WeekSummaryService.php; resources/js/Pages/Weekly.vue</x:v>
      </x:c>
      <x:c r="I90" s="58" t="str">
        <x:v>WeeklySummaryTest</x:v>
      </x:c>
      <x:c r="J90" s="58" t="str">
        <x:v>Automated + browser</x:v>
      </x:c>
      <x:c r="K90" s="58" t="str">
        <x:v>Pass</x:v>
      </x:c>
      <x:c r="L90" s="58" t="str">
        <x:v>Relevant automated coverage passed and the live desktop/mobile surface and safe interactions were verified.</x:v>
      </x:c>
      <x:c r="M90" s="58" t="str"/>
      <x:c r="N90" s="58" t="str">
        <x:v>Not needed</x:v>
      </x:c>
      <x:c r="O90" s="58" t="str">
        <x:v>Pass</x:v>
      </x:c>
      <x:c r="P90" s="58" t="str">
        <x:v>Pass</x:v>
      </x:c>
      <x:c r="Q90" s="58" t="str">
        <x:v>Automated coverage passed; live desktop/mobile navigation and safe interaction sweep passed with zero fresh browser warnings/errors.</x:v>
      </x:c>
    </x:row>
    <x:row r="91" ht="54" customHeight="1">
      <x:c r="A91" s="57" t="str">
        <x:v>WEEK-004</x:v>
      </x:c>
      <x:c r="B91" s="57" t="str">
        <x:v>Weekly</x:v>
      </x:c>
      <x:c r="C91" s="57" t="str">
        <x:v>Insights</x:v>
      </x:c>
      <x:c r="D91" s="57" t="str">
        <x:v>All</x:v>
      </x:c>
      <x:c r="E91" s="58" t="str">
        <x:v>As a user, I receive code-derived weekly insights when data supports them.</x:v>
      </x:c>
      <x:c r="F91" s="58" t="str">
        <x:v>Adherence, weekday/weekend, protein, and weight-trend insights are stable, relevant, and absent when unsupported.</x:v>
      </x:c>
      <x:c r="G91" s="58" t="str">
        <x:v>GET /weekly</x:v>
      </x:c>
      <x:c r="H91" s="58" t="str">
        <x:v>app/Services/WeekSummaryService.php; resources/js/Pages/Weekly.vue</x:v>
      </x:c>
      <x:c r="I91" s="58" t="str">
        <x:v>WeeklySummaryTest</x:v>
      </x:c>
      <x:c r="J91" s="58" t="str">
        <x:v>Automated + browser</x:v>
      </x:c>
      <x:c r="K91" s="58" t="str">
        <x:v>Pass</x:v>
      </x:c>
      <x:c r="L91" s="58" t="str">
        <x:v>Relevant automated coverage passed and the live desktop/mobile surface and safe interactions were verified.</x:v>
      </x:c>
      <x:c r="M91" s="58" t="str"/>
      <x:c r="N91" s="58" t="str">
        <x:v>Not needed</x:v>
      </x:c>
      <x:c r="O91" s="58" t="str">
        <x:v>Pass</x:v>
      </x:c>
      <x:c r="P91" s="58" t="str">
        <x:v>Pass</x:v>
      </x:c>
      <x:c r="Q91" s="58" t="str">
        <x:v>Automated coverage passed; live desktop/mobile navigation and safe interaction sweep passed with zero fresh browser warnings/errors.</x:v>
      </x:c>
    </x:row>
    <x:row r="92" ht="54" customHeight="1">
      <x:c r="A92" s="57" t="str">
        <x:v>WEEK-005</x:v>
      </x:c>
      <x:c r="B92" s="57" t="str">
        <x:v>Weekly</x:v>
      </x:c>
      <x:c r="C92" s="57" t="str">
        <x:v>Daily totals</x:v>
      </x:c>
      <x:c r="D92" s="57" t="str">
        <x:v>All</x:v>
      </x:c>
      <x:c r="E92" s="58" t="str">
        <x:v>As a user, I can inspect each day in the selected period.</x:v>
      </x:c>
      <x:c r="F92" s="58" t="str">
        <x:v>Rows show date, calories/target, macros, and accessible on-track/over/under/no-goal status.</x:v>
      </x:c>
      <x:c r="G92" s="58" t="str">
        <x:v>GET /weekly</x:v>
      </x:c>
      <x:c r="H92" s="58" t="str">
        <x:v>resources/js/Pages/Weekly.vue</x:v>
      </x:c>
      <x:c r="I92" s="58" t="str">
        <x:v>WeeklySummaryTest; dayStatus.test.ts</x:v>
      </x:c>
      <x:c r="J92" s="58" t="str">
        <x:v>Automated + browser</x:v>
      </x:c>
      <x:c r="K92" s="58" t="str">
        <x:v>Pass</x:v>
      </x:c>
      <x:c r="L92" s="58" t="str">
        <x:v>Relevant automated coverage passed and the live desktop/mobile surface and safe interactions were verified.</x:v>
      </x:c>
      <x:c r="M92" s="58" t="str"/>
      <x:c r="N92" s="58" t="str">
        <x:v>Not needed</x:v>
      </x:c>
      <x:c r="O92" s="58" t="str">
        <x:v>Pass</x:v>
      </x:c>
      <x:c r="P92" s="58" t="str">
        <x:v>Pass</x:v>
      </x:c>
      <x:c r="Q92" s="58" t="str">
        <x:v>Automated coverage passed; live desktop/mobile navigation and safe interaction sweep passed with zero fresh browser warnings/errors.</x:v>
      </x:c>
    </x:row>
    <x:row r="93" ht="54" customHeight="1">
      <x:c r="A93" s="57" t="str">
        <x:v>MAC-001</x:v>
      </x:c>
      <x:c r="B93" s="57" t="str">
        <x:v>Macros</x:v>
      </x:c>
      <x:c r="C93" s="57" t="str">
        <x:v>Macro breakdown</x:v>
      </x:c>
      <x:c r="D93" s="57" t="str">
        <x:v>All</x:v>
      </x:c>
      <x:c r="E93" s="58" t="str">
        <x:v>As a user, I can see which foods contributed most to a macro.</x:v>
      </x:c>
      <x:c r="F93" s="58" t="str">
        <x:v>Protein/carbs/fat routes sort entries descending by that macro and show current versus goal split for the selected date.</x:v>
      </x:c>
      <x:c r="G93" s="58" t="str">
        <x:v>GET /macros/{macro}?date=</x:v>
      </x:c>
      <x:c r="H93" s="58" t="str">
        <x:v>resources/js/Pages/MacroBreakdown.vue; app/Http/Controllers/MacroController.php</x:v>
      </x:c>
      <x:c r="I93" s="58" t="str">
        <x:v>MacroBreakdownTest</x:v>
      </x:c>
      <x:c r="J93" s="58" t="str">
        <x:v>Automated + browser</x:v>
      </x:c>
      <x:c r="K93" s="58" t="str">
        <x:v>Pass</x:v>
      </x:c>
      <x:c r="L93" s="58" t="str">
        <x:v>Relevant automated coverage passed and the live desktop/mobile surface and safe interactions were verified.</x:v>
      </x:c>
      <x:c r="M93" s="58" t="str"/>
      <x:c r="N93" s="58" t="str">
        <x:v>Not needed</x:v>
      </x:c>
      <x:c r="O93" s="58" t="str">
        <x:v>Pass</x:v>
      </x:c>
      <x:c r="P93" s="58" t="str">
        <x:v>Pass</x:v>
      </x:c>
      <x:c r="Q93" s="58" t="str">
        <x:v>Automated coverage passed; live desktop/mobile navigation and safe interaction sweep passed with zero fresh browser warnings/errors.</x:v>
      </x:c>
    </x:row>
    <x:row r="94" ht="54" customHeight="1">
      <x:c r="A94" s="57" t="str">
        <x:v>MAC-002</x:v>
      </x:c>
      <x:c r="B94" s="57" t="str">
        <x:v>Macros</x:v>
      </x:c>
      <x:c r="C94" s="57" t="str">
        <x:v>Exercise-adjusted macro goal</x:v>
      </x:c>
      <x:c r="D94" s="57" t="str">
        <x:v>All</x:v>
      </x:c>
      <x:c r="E94" s="58" t="str">
        <x:v>As a user, macro goals reflect exercise eat-back.</x:v>
      </x:c>
      <x:c r="F94" s="58" t="str">
        <x:v>Macro grams scale from the effective calorie target according to the saved split and eat-back preference.</x:v>
      </x:c>
      <x:c r="G94" s="58" t="str">
        <x:v>GET /macros/{macro}</x:v>
      </x:c>
      <x:c r="H94" s="58" t="str">
        <x:v>app/Http/Controllers/MacroController.php; app/Services/NutritionCalculator.php</x:v>
      </x:c>
      <x:c r="I94" s="58" t="str">
        <x:v>MacroBreakdownTest; NutritionCalculatorTest</x:v>
      </x:c>
      <x:c r="J94" s="58" t="str">
        <x:v>Automated</x:v>
      </x:c>
      <x:c r="K94" s="58" t="str">
        <x:v>Pass</x:v>
      </x:c>
      <x:c r="L94" s="58" t="str">
        <x:v>Relevant automated coverage passed in the 213-test PHP and 39-test frontend baseline.</x:v>
      </x:c>
      <x:c r="M94" s="58" t="str"/>
      <x:c r="N94" s="58" t="str">
        <x:v>Not needed</x:v>
      </x:c>
      <x:c r="O94" s="58" t="str">
        <x:v>Pass</x:v>
      </x:c>
      <x:c r="P94" s="58" t="str">
        <x:v>Pass</x:v>
      </x:c>
      <x:c r="Q94" s="58" t="str">
        <x:v>Final regression passed: Buff PHP 230/230 (1,832 assertions), server PHP 149/149, frontend 44/44, type-check clean, and production build clean as applicable.</x:v>
      </x:c>
    </x:row>
    <x:row r="95" ht="54" customHeight="1">
      <x:c r="A95" s="57" t="str">
        <x:v>MAC-003</x:v>
      </x:c>
      <x:c r="B95" s="57" t="str">
        <x:v>Macros</x:v>
      </x:c>
      <x:c r="C95" s="57" t="str">
        <x:v>Invalid macro/date handling</x:v>
      </x:c>
      <x:c r="D95" s="57" t="str">
        <x:v>All</x:v>
      </x:c>
      <x:c r="E95" s="58" t="str">
        <x:v>As a user, bad breakdown URLs fail safely.</x:v>
      </x:c>
      <x:c r="F95" s="58" t="str">
        <x:v>Unknown macro returns not found; invalid date returns controlled validation/not-found rather than a server exception.</x:v>
      </x:c>
      <x:c r="G95" s="58" t="str">
        <x:v>GET /macros/{macro}?date=</x:v>
      </x:c>
      <x:c r="H95" s="58" t="str">
        <x:v>app/Http/Controllers/MacroController.php</x:v>
      </x:c>
      <x:c r="I95" s="58" t="str">
        <x:v>MacroBreakdownTest (macro only)</x:v>
      </x:c>
      <x:c r="J95" s="58" t="str">
        <x:v>Automated</x:v>
      </x:c>
      <x:c r="K95" s="58" t="str">
        <x:v>Fail</x:v>
      </x:c>
      <x:c r="L95" s="58" t="str">
        <x:v>Reproduced ERR-003; see Errors.</x:v>
      </x:c>
      <x:c r="M95" s="58" t="str">
        <x:v>ERR-003</x:v>
      </x:c>
      <x:c r="N95" s="58" t="str">
        <x:v>Fixed</x:v>
      </x:c>
      <x:c r="O95" s="58" t="str">
        <x:v>Pass</x:v>
      </x:c>
      <x:c r="P95" s="58" t="str">
        <x:v>Pass</x:v>
      </x:c>
      <x:c r="Q95" s="58" t="str">
        <x:v>Linked regressions passed: ERR-003. See Errors for fix-specific evidence.</x:v>
      </x:c>
    </x:row>
    <x:row r="96" ht="54" customHeight="1">
      <x:c r="A96" s="57" t="str">
        <x:v>PROG-001</x:v>
      </x:c>
      <x:c r="B96" s="57" t="str">
        <x:v>Progress</x:v>
      </x:c>
      <x:c r="C96" s="57" t="str">
        <x:v>Empty state</x:v>
      </x:c>
      <x:c r="D96" s="57" t="str">
        <x:v>All</x:v>
      </x:c>
      <x:c r="E96" s="58" t="str">
        <x:v>As a user without measurements, I see a useful starting state.</x:v>
      </x:c>
      <x:c r="F96" s="58" t="str">
        <x:v>No fabricated trends are shown; the first-measurement form is available.</x:v>
      </x:c>
      <x:c r="G96" s="58" t="str">
        <x:v>GET /progress</x:v>
      </x:c>
      <x:c r="H96" s="58" t="str">
        <x:v>resources/js/Pages/Progress.vue; app/Http/Controllers/ProgressController.php</x:v>
      </x:c>
      <x:c r="I96" s="58" t="str">
        <x:v>ProgressTest</x:v>
      </x:c>
      <x:c r="J96" s="58" t="str">
        <x:v>Automated + browser</x:v>
      </x:c>
      <x:c r="K96" s="58" t="str">
        <x:v>Pass</x:v>
      </x:c>
      <x:c r="L96" s="58" t="str">
        <x:v>Relevant automated coverage passed and the live desktop/mobile surface and safe interactions were verified.</x:v>
      </x:c>
      <x:c r="M96" s="58" t="str"/>
      <x:c r="N96" s="58" t="str">
        <x:v>Not needed</x:v>
      </x:c>
      <x:c r="O96" s="58" t="str">
        <x:v>Pass</x:v>
      </x:c>
      <x:c r="P96" s="58" t="str">
        <x:v>Pass</x:v>
      </x:c>
      <x:c r="Q96" s="58" t="str">
        <x:v>Automated coverage passed; live desktop/mobile navigation and safe interaction sweep passed with zero fresh browser warnings/errors.</x:v>
      </x:c>
    </x:row>
    <x:row r="97" ht="54" customHeight="1">
      <x:c r="A97" s="57" t="str">
        <x:v>PROG-002</x:v>
      </x:c>
      <x:c r="B97" s="57" t="str">
        <x:v>Progress</x:v>
      </x:c>
      <x:c r="C97" s="57" t="str">
        <x:v>Log or update measurement</x:v>
      </x:c>
      <x:c r="D97" s="57" t="str">
        <x:v>All</x:v>
      </x:c>
      <x:c r="E97" s="58" t="str">
        <x:v>As a user, I can save one measurement per date.</x:v>
      </x:c>
      <x:c r="F97" s="58" t="str">
        <x:v>Weight is required and unit-converted; body fat, measurements, and notes are optional; saving the same date updates rather than duplicates.</x:v>
      </x:c>
      <x:c r="G97" s="58" t="str">
        <x:v>POST /progress/body-metrics</x:v>
      </x:c>
      <x:c r="H97" s="58" t="str">
        <x:v>resources/js/Pages/Progress.vue; app/Http/Controllers/ProgressController.php</x:v>
      </x:c>
      <x:c r="I97" s="58" t="str">
        <x:v>ProgressTest; bodyUnits.test.ts</x:v>
      </x:c>
      <x:c r="J97" s="58" t="str">
        <x:v>Automated + browser</x:v>
      </x:c>
      <x:c r="K97" s="58" t="str">
        <x:v>Pass</x:v>
      </x:c>
      <x:c r="L97" s="58" t="str">
        <x:v>Relevant automated coverage passed and the live desktop/mobile surface and safe interactions were verified.</x:v>
      </x:c>
      <x:c r="M97" s="58" t="str"/>
      <x:c r="N97" s="58" t="str">
        <x:v>Not needed</x:v>
      </x:c>
      <x:c r="O97" s="58" t="str">
        <x:v>Pass</x:v>
      </x:c>
      <x:c r="P97" s="58" t="str">
        <x:v>Pass</x:v>
      </x:c>
      <x:c r="Q97" s="58" t="str">
        <x:v>Automated coverage passed; live desktop/mobile navigation and safe interaction sweep passed with zero fresh browser warnings/errors.</x:v>
      </x:c>
    </x:row>
    <x:row r="98" ht="54" customHeight="1">
      <x:c r="A98" s="57" t="str">
        <x:v>PROG-003</x:v>
      </x:c>
      <x:c r="B98" s="57" t="str">
        <x:v>Progress</x:v>
      </x:c>
      <x:c r="C98" s="57" t="str">
        <x:v>Measurement validation</x:v>
      </x:c>
      <x:c r="D98" s="57" t="str">
        <x:v>All</x:v>
      </x:c>
      <x:c r="E98" s="58" t="str">
        <x:v>As a user, invalid progress values are rejected clearly.</x:v>
      </x:c>
      <x:c r="F98" s="58" t="str">
        <x:v>Date, weight, body-fat, notes, and every body measurement enforce documented bounds in canonical units.</x:v>
      </x:c>
      <x:c r="G98" s="58" t="str">
        <x:v>POST /progress/body-metrics</x:v>
      </x:c>
      <x:c r="H98" s="58" t="str">
        <x:v>app/Http/Controllers/ProgressController.php</x:v>
      </x:c>
      <x:c r="I98" s="58" t="str">
        <x:v>ProgressTest</x:v>
      </x:c>
      <x:c r="J98" s="58" t="str">
        <x:v>Automated + browser</x:v>
      </x:c>
      <x:c r="K98" s="58" t="str">
        <x:v>Pass</x:v>
      </x:c>
      <x:c r="L98" s="58" t="str">
        <x:v>Relevant automated coverage passed and the live desktop/mobile surface and safe interactions were verified.</x:v>
      </x:c>
      <x:c r="M98" s="58" t="str"/>
      <x:c r="N98" s="58" t="str">
        <x:v>Not needed</x:v>
      </x:c>
      <x:c r="O98" s="58" t="str">
        <x:v>Pass</x:v>
      </x:c>
      <x:c r="P98" s="58" t="str">
        <x:v>Pass</x:v>
      </x:c>
      <x:c r="Q98" s="58" t="str">
        <x:v>Automated coverage passed; live desktop/mobile navigation and safe interaction sweep passed with zero fresh browser warnings/errors.</x:v>
      </x:c>
    </x:row>
    <x:row r="99" ht="54" customHeight="1">
      <x:c r="A99" s="57" t="str">
        <x:v>PROG-004</x:v>
      </x:c>
      <x:c r="B99" s="57" t="str">
        <x:v>Progress</x:v>
      </x:c>
      <x:c r="C99" s="57" t="str">
        <x:v>Latest weight and trend</x:v>
      </x:c>
      <x:c r="D99" s="57" t="str">
        <x:v>All</x:v>
      </x:c>
      <x:c r="E99" s="58" t="str">
        <x:v>As a user, I can see latest weight and a smoothed trend.</x:v>
      </x:c>
      <x:c r="F99" s="58" t="str">
        <x:v>Latest/trend values display in selected units; EMA and seven-day delta handle first/unchanged entries correctly.</x:v>
      </x:c>
      <x:c r="G99" s="58" t="str">
        <x:v>GET /progress</x:v>
      </x:c>
      <x:c r="H99" s="58" t="str">
        <x:v>resources/js/Pages/Progress.vue; app/Services/WeightTrendService.php</x:v>
      </x:c>
      <x:c r="I99" s="58" t="str">
        <x:v>ProgressTest; WeightTrendServiceTest</x:v>
      </x:c>
      <x:c r="J99" s="58" t="str">
        <x:v>Automated + browser</x:v>
      </x:c>
      <x:c r="K99" s="58" t="str">
        <x:v>Pass</x:v>
      </x:c>
      <x:c r="L99" s="58" t="str">
        <x:v>Relevant automated coverage passed and the live desktop/mobile surface and safe interactions were verified.</x:v>
      </x:c>
      <x:c r="M99" s="58" t="str"/>
      <x:c r="N99" s="58" t="str">
        <x:v>Not needed</x:v>
      </x:c>
      <x:c r="O99" s="58" t="str">
        <x:v>Pass</x:v>
      </x:c>
      <x:c r="P99" s="58" t="str">
        <x:v>Pass</x:v>
      </x:c>
      <x:c r="Q99" s="58" t="str">
        <x:v>Automated coverage passed; live desktop/mobile navigation and safe interaction sweep passed with zero fresh browser warnings/errors.</x:v>
      </x:c>
    </x:row>
    <x:row r="100" ht="54" customHeight="1">
      <x:c r="A100" s="57" t="str">
        <x:v>PROG-005</x:v>
      </x:c>
      <x:c r="B100" s="57" t="str">
        <x:v>Progress</x:v>
      </x:c>
      <x:c r="C100" s="57" t="str">
        <x:v>BMI and energy estimates</x:v>
      </x:c>
      <x:c r="D100" s="57" t="str">
        <x:v>All</x:v>
      </x:c>
      <x:c r="E100" s="58" t="str">
        <x:v>As a user, I can see BMI, BMR, and TDEE when enough profile data exists.</x:v>
      </x:c>
      <x:c r="F100" s="58" t="str">
        <x:v>BMI needs height and weight; Mifflin-St Jeor estimates need weight, height, age, sex, and activity; otherwise values stay absent.</x:v>
      </x:c>
      <x:c r="G100" s="58" t="str">
        <x:v>GET /progress</x:v>
      </x:c>
      <x:c r="H100" s="58" t="str">
        <x:v>resources/js/Pages/Progress.vue; app/Services/EnergyEstimator.php</x:v>
      </x:c>
      <x:c r="I100" s="58" t="str">
        <x:v>EnergyEstimatorTest; ProgressTest</x:v>
      </x:c>
      <x:c r="J100" s="58" t="str">
        <x:v>Automated + browser</x:v>
      </x:c>
      <x:c r="K100" s="58" t="str">
        <x:v>Pass</x:v>
      </x:c>
      <x:c r="L100" s="58" t="str">
        <x:v>Relevant automated coverage passed and the live desktop/mobile surface and safe interactions were verified.</x:v>
      </x:c>
      <x:c r="M100" s="58" t="str"/>
      <x:c r="N100" s="58" t="str">
        <x:v>Not needed</x:v>
      </x:c>
      <x:c r="O100" s="58" t="str">
        <x:v>Pass</x:v>
      </x:c>
      <x:c r="P100" s="58" t="str">
        <x:v>Pass</x:v>
      </x:c>
      <x:c r="Q100" s="58" t="str">
        <x:v>Automated coverage passed; live desktop/mobile navigation and safe interaction sweep passed with zero fresh browser warnings/errors.</x:v>
      </x:c>
    </x:row>
    <x:row r="101" ht="54" customHeight="1">
      <x:c r="A101" s="57" t="str">
        <x:v>PROG-006</x:v>
      </x:c>
      <x:c r="B101" s="57" t="str">
        <x:v>Progress</x:v>
      </x:c>
      <x:c r="C101" s="57" t="str">
        <x:v>Trend ranges</x:v>
      </x:c>
      <x:c r="D101" s="57" t="str">
        <x:v>All</x:v>
      </x:c>
      <x:c r="E101" s="58" t="str">
        <x:v>As a user, I can switch between 30, 90, 180 days, and all time.</x:v>
      </x:c>
      <x:c r="F101" s="58" t="str">
        <x:v>The URL, chart domain, history, and summary data all use the selected range.</x:v>
      </x:c>
      <x:c r="G101" s="58" t="str">
        <x:v>GET /progress?range=</x:v>
      </x:c>
      <x:c r="H101" s="58" t="str">
        <x:v>resources/js/Pages/Progress.vue; app/Http/Controllers/ProgressController.php</x:v>
      </x:c>
      <x:c r="I101" s="58" t="str">
        <x:v>ProgressTest; progressChart.test.ts</x:v>
      </x:c>
      <x:c r="J101" s="58" t="str">
        <x:v>Automated + browser</x:v>
      </x:c>
      <x:c r="K101" s="58" t="str">
        <x:v>Pass</x:v>
      </x:c>
      <x:c r="L101" s="58" t="str">
        <x:v>Relevant automated coverage passed and the live desktop/mobile surface and safe interactions were verified.</x:v>
      </x:c>
      <x:c r="M101" s="58" t="str"/>
      <x:c r="N101" s="58" t="str">
        <x:v>Not needed</x:v>
      </x:c>
      <x:c r="O101" s="58" t="str">
        <x:v>Pass</x:v>
      </x:c>
      <x:c r="P101" s="58" t="str">
        <x:v>Pass</x:v>
      </x:c>
      <x:c r="Q101" s="58" t="str">
        <x:v>Automated coverage passed; live desktop/mobile navigation and safe interaction sweep passed with zero fresh browser warnings/errors.</x:v>
      </x:c>
    </x:row>
    <x:row r="102" ht="54" customHeight="1">
      <x:c r="A102" s="57" t="str">
        <x:v>PROG-007</x:v>
      </x:c>
      <x:c r="B102" s="57" t="str">
        <x:v>Progress</x:v>
      </x:c>
      <x:c r="C102" s="57" t="str">
        <x:v>Weight chart</x:v>
      </x:c>
      <x:c r="D102" s="57" t="str">
        <x:v>All</x:v>
      </x:c>
      <x:c r="E102" s="58" t="str">
        <x:v>As a user, I can see weight history and my target.</x:v>
      </x:c>
      <x:c r="F102" s="58" t="str">
        <x:v>The chart uses sorted dated values, selected units, a stable domain, readable tooltips, and a target line only when configured.</x:v>
      </x:c>
      <x:c r="G102" s="58" t="str">
        <x:v>GET /progress</x:v>
      </x:c>
      <x:c r="H102" s="58" t="str">
        <x:v>resources/js/Components/ProgressTrendChart.vue; resources/js/progressChart.ts</x:v>
      </x:c>
      <x:c r="I102" s="58" t="str">
        <x:v>progressChart.test.ts; chartTooltip.test.ts</x:v>
      </x:c>
      <x:c r="J102" s="58" t="str">
        <x:v>Automated + browser</x:v>
      </x:c>
      <x:c r="K102" s="58" t="str">
        <x:v>Fail</x:v>
      </x:c>
      <x:c r="L102" s="58" t="str">
        <x:v>Reproduced ERR-016; see Errors.</x:v>
      </x:c>
      <x:c r="M102" s="58" t="str">
        <x:v>ERR-016</x:v>
      </x:c>
      <x:c r="N102" s="58" t="str">
        <x:v>Fixed</x:v>
      </x:c>
      <x:c r="O102" s="58" t="str">
        <x:v>Pass</x:v>
      </x:c>
      <x:c r="P102" s="58" t="str">
        <x:v>Pass</x:v>
      </x:c>
      <x:c r="Q102" s="58" t="str">
        <x:v>Linked regressions passed: ERR-016. See Errors for fix-specific evidence.</x:v>
      </x:c>
    </x:row>
    <x:row r="103" ht="54" customHeight="1">
      <x:c r="A103" s="57" t="str">
        <x:v>PROG-008</x:v>
      </x:c>
      <x:c r="B103" s="57" t="str">
        <x:v>Progress</x:v>
      </x:c>
      <x:c r="C103" s="57" t="str">
        <x:v>Body-fat chart</x:v>
      </x:c>
      <x:c r="D103" s="57" t="str">
        <x:v>All</x:v>
      </x:c>
      <x:c r="E103" s="58" t="str">
        <x:v>As a user, I can see body-fat history and target.</x:v>
      </x:c>
      <x:c r="F103" s="58" t="str">
        <x:v>The chart appears only with body-fat data and adds a target line only when configured.</x:v>
      </x:c>
      <x:c r="G103" s="58" t="str">
        <x:v>GET /progress</x:v>
      </x:c>
      <x:c r="H103" s="58" t="str">
        <x:v>resources/js/Pages/Progress.vue; resources/js/progressChart.ts</x:v>
      </x:c>
      <x:c r="I103" s="58" t="str">
        <x:v>ProgressTest; progressChart.test.ts</x:v>
      </x:c>
      <x:c r="J103" s="58" t="str">
        <x:v>Automated + browser</x:v>
      </x:c>
      <x:c r="K103" s="58" t="str">
        <x:v>Pass</x:v>
      </x:c>
      <x:c r="L103" s="58" t="str">
        <x:v>Relevant automated coverage passed and the live desktop/mobile surface and safe interactions were verified.</x:v>
      </x:c>
      <x:c r="M103" s="58" t="str"/>
      <x:c r="N103" s="58" t="str">
        <x:v>Not needed</x:v>
      </x:c>
      <x:c r="O103" s="58" t="str">
        <x:v>Pass</x:v>
      </x:c>
      <x:c r="P103" s="58" t="str">
        <x:v>Pass</x:v>
      </x:c>
      <x:c r="Q103" s="58" t="str">
        <x:v>Automated coverage passed; live desktop/mobile navigation and safe interaction sweep passed with zero fresh browser warnings/errors.</x:v>
      </x:c>
    </x:row>
    <x:row r="104" ht="54" customHeight="1">
      <x:c r="A104" s="57" t="str">
        <x:v>PROG-009</x:v>
      </x:c>
      <x:c r="B104" s="57" t="str">
        <x:v>Progress</x:v>
      </x:c>
      <x:c r="C104" s="57" t="str">
        <x:v>Body measurement summary</x:v>
      </x:c>
      <x:c r="D104" s="57" t="str">
        <x:v>All</x:v>
      </x:c>
      <x:c r="E104" s="58" t="str">
        <x:v>As a user, I can see latest body measurements and their changes.</x:v>
      </x:c>
      <x:c r="F104" s="58" t="str">
        <x:v>Chest, waist, hips, upper arm, and thigh display in chosen units with first-entry, delta, or not-recorded labels.</x:v>
      </x:c>
      <x:c r="G104" s="58" t="str">
        <x:v>GET /progress</x:v>
      </x:c>
      <x:c r="H104" s="58" t="str">
        <x:v>resources/js/Pages/Progress.vue; app/Http/Controllers/ProgressController.php</x:v>
      </x:c>
      <x:c r="I104" s="58" t="str">
        <x:v>ProgressTest; bodyUnits.test.ts</x:v>
      </x:c>
      <x:c r="J104" s="58" t="str">
        <x:v>Automated + browser</x:v>
      </x:c>
      <x:c r="K104" s="58" t="str">
        <x:v>Pass</x:v>
      </x:c>
      <x:c r="L104" s="58" t="str">
        <x:v>Relevant automated coverage passed and the live desktop/mobile surface and safe interactions were verified.</x:v>
      </x:c>
      <x:c r="M104" s="58" t="str"/>
      <x:c r="N104" s="58" t="str">
        <x:v>Not needed</x:v>
      </x:c>
      <x:c r="O104" s="58" t="str">
        <x:v>Pass</x:v>
      </x:c>
      <x:c r="P104" s="58" t="str">
        <x:v>Pass</x:v>
      </x:c>
      <x:c r="Q104" s="58" t="str">
        <x:v>Automated coverage passed; live desktop/mobile navigation and safe interaction sweep passed with zero fresh browser warnings/errors.</x:v>
      </x:c>
    </x:row>
    <x:row r="105" ht="54" customHeight="1">
      <x:c r="A105" s="57" t="str">
        <x:v>PROG-010</x:v>
      </x:c>
      <x:c r="B105" s="57" t="str">
        <x:v>Progress</x:v>
      </x:c>
      <x:c r="C105" s="57" t="str">
        <x:v>History</x:v>
      </x:c>
      <x:c r="D105" s="57" t="str">
        <x:v>All</x:v>
      </x:c>
      <x:c r="E105" s="58" t="str">
        <x:v>As a user, I can review recent measurement history.</x:v>
      </x:c>
      <x:c r="F105" s="58" t="str">
        <x:v>Entries show date, weight, body fat, notes, photo previews, and actions in deterministic order.</x:v>
      </x:c>
      <x:c r="G105" s="58" t="str">
        <x:v>GET /progress</x:v>
      </x:c>
      <x:c r="H105" s="58" t="str">
        <x:v>resources/js/Pages/Progress.vue</x:v>
      </x:c>
      <x:c r="I105" s="58" t="str">
        <x:v>ProgressTest; ProgressPhotoTest</x:v>
      </x:c>
      <x:c r="J105" s="58" t="str">
        <x:v>Automated + browser</x:v>
      </x:c>
      <x:c r="K105" s="58" t="str">
        <x:v>Pass</x:v>
      </x:c>
      <x:c r="L105" s="58" t="str">
        <x:v>Relevant automated coverage passed and the live desktop/mobile surface and safe interactions were verified.</x:v>
      </x:c>
      <x:c r="M105" s="58" t="str"/>
      <x:c r="N105" s="58" t="str">
        <x:v>Not needed</x:v>
      </x:c>
      <x:c r="O105" s="58" t="str">
        <x:v>Pass</x:v>
      </x:c>
      <x:c r="P105" s="58" t="str">
        <x:v>Pass</x:v>
      </x:c>
      <x:c r="Q105" s="58" t="str">
        <x:v>Automated coverage passed; live desktop/mobile navigation and safe interaction sweep passed with zero fresh browser warnings/errors.</x:v>
      </x:c>
    </x:row>
    <x:row r="106" ht="54" customHeight="1">
      <x:c r="A106" s="57" t="str">
        <x:v>PROG-011</x:v>
      </x:c>
      <x:c r="B106" s="57" t="str">
        <x:v>Progress</x:v>
      </x:c>
      <x:c r="C106" s="57" t="str">
        <x:v>Delete measurement</x:v>
      </x:c>
      <x:c r="D106" s="57" t="str">
        <x:v>All</x:v>
      </x:c>
      <x:c r="E106" s="58" t="str">
        <x:v>As a user, I can remove a progress entry after confirmation.</x:v>
      </x:c>
      <x:c r="F106" s="58" t="str">
        <x:v>The correct record, sync tombstone, staged photos, and cached summary disappear without affecting other dates.</x:v>
      </x:c>
      <x:c r="G106" s="58" t="str">
        <x:v>DELETE /progress/body-metrics/{bodyMetric}</x:v>
      </x:c>
      <x:c r="H106" s="58" t="str">
        <x:v>resources/js/Pages/Progress.vue; app/Http/Controllers/ProgressController.php</x:v>
      </x:c>
      <x:c r="I106" s="58" t="str">
        <x:v>ProgressTest; ProgressPhotoTest</x:v>
      </x:c>
      <x:c r="J106" s="58" t="str">
        <x:v>Automated + browser</x:v>
      </x:c>
      <x:c r="K106" s="58" t="str">
        <x:v>Pass</x:v>
      </x:c>
      <x:c r="L106" s="58" t="str">
        <x:v>Relevant automated coverage passed and the live desktop/mobile surface and safe interactions were verified.</x:v>
      </x:c>
      <x:c r="M106" s="58" t="str"/>
      <x:c r="N106" s="58" t="str">
        <x:v>Not needed</x:v>
      </x:c>
      <x:c r="O106" s="58" t="str">
        <x:v>Pass</x:v>
      </x:c>
      <x:c r="P106" s="58" t="str">
        <x:v>Pass</x:v>
      </x:c>
      <x:c r="Q106" s="58" t="str">
        <x:v>Automated coverage passed; live desktop/mobile navigation and safe interaction sweep passed with zero fresh browser warnings/errors.</x:v>
      </x:c>
    </x:row>
    <x:row r="107" ht="54" customHeight="1">
      <x:c r="A107" s="57" t="str">
        <x:v>PROG-012</x:v>
      </x:c>
      <x:c r="B107" s="57" t="str">
        <x:v>Progress photos</x:v>
      </x:c>
      <x:c r="C107" s="57" t="str">
        <x:v>Pose capture</x:v>
      </x:c>
      <x:c r="D107" s="57" t="str">
        <x:v>All</x:v>
      </x:c>
      <x:c r="E107" s="58" t="str">
        <x:v>As a user, I can capture front, side, and back progress photos.</x:v>
      </x:c>
      <x:c r="F107" s="58" t="str">
        <x:v>The camera starts safely, cycles to the next empty pose, mirrors only the front-facing preview/output consistently, and cleans tracks on exit.</x:v>
      </x:c>
      <x:c r="G107" s="58" t="str">
        <x:v>Progress camera</x:v>
      </x:c>
      <x:c r="H107" s="58" t="str">
        <x:v>resources/js/Pages/Progress.vue</x:v>
      </x:c>
      <x:c r="I107" s="58" t="str">
        <x:v>progressPhotos.test.ts (pose helpers)</x:v>
      </x:c>
      <x:c r="J107" s="58" t="str">
        <x:v>Browser + native device</x:v>
      </x:c>
      <x:c r="K107" s="58" t="str">
        <x:v>Fail</x:v>
      </x:c>
      <x:c r="L107" s="58" t="str">
        <x:v>Pose capture advanced Front to Side, but camera Back and overlay contrast reproduced ERR-022 and ERR-023.</x:v>
      </x:c>
      <x:c r="M107" s="58" t="str">
        <x:v>ERR-022; ERR-023</x:v>
      </x:c>
      <x:c r="N107" s="58" t="str">
        <x:v>Fixed</x:v>
      </x:c>
      <x:c r="O107" s="58" t="str">
        <x:v>Pass</x:v>
      </x:c>
      <x:c r="P107" s="58" t="str">
        <x:v>Pass</x:v>
      </x:c>
      <x:c r="Q107" s="58" t="str">
        <x:v>Front and Side captures advanced pose state; post-rebuild Back closed the camera while staying on Progress.</x:v>
      </x:c>
    </x:row>
    <x:row r="108" ht="54" customHeight="1">
      <x:c r="A108" s="57" t="str">
        <x:v>PROG-013</x:v>
      </x:c>
      <x:c r="B108" s="57" t="str">
        <x:v>Progress photos</x:v>
      </x:c>
      <x:c r="C108" s="57" t="str">
        <x:v>Flip camera</x:v>
      </x:c>
      <x:c r="D108" s="57" t="str">
        <x:v>All</x:v>
      </x:c>
      <x:c r="E108" s="58" t="str">
        <x:v>As a user, I can switch between front and rear cameras.</x:v>
      </x:c>
      <x:c r="F108" s="58" t="str">
        <x:v>The current stream stops before the alternate facing mode starts and capture remains available after readiness.</x:v>
      </x:c>
      <x:c r="G108" s="58" t="str">
        <x:v>Progress camera</x:v>
      </x:c>
      <x:c r="H108" s="58" t="str">
        <x:v>resources/js/Pages/Progress.vue</x:v>
      </x:c>
      <x:c r="I108" s="58" t="str">
        <x:v>None direct</x:v>
      </x:c>
      <x:c r="J108" s="58" t="str">
        <x:v>Browser + native device</x:v>
      </x:c>
      <x:c r="K108" s="58" t="str">
        <x:v>Fail</x:v>
      </x:c>
      <x:c r="L108" s="58" t="str">
        <x:v>Camera flip switched native camera IDs, but the control was visually obscured by ERR-023.</x:v>
      </x:c>
      <x:c r="M108" s="58" t="str">
        <x:v>ERR-023</x:v>
      </x:c>
      <x:c r="N108" s="58" t="str">
        <x:v>Fixed</x:v>
      </x:c>
      <x:c r="O108" s="58" t="str">
        <x:v>Pass</x:v>
      </x:c>
      <x:c r="P108" s="58" t="str">
        <x:v>Pass</x:v>
      </x:c>
      <x:c r="Q108" s="58" t="str">
        <x:v>The native flip control switched between distinct front and rear camera IDs and remained readable.</x:v>
      </x:c>
    </x:row>
    <x:row r="109" ht="54" customHeight="1">
      <x:c r="A109" s="57" t="str">
        <x:v>PROG-014</x:v>
      </x:c>
      <x:c r="B109" s="57" t="str">
        <x:v>Progress photos</x:v>
      </x:c>
      <x:c r="C109" s="57" t="str">
        <x:v>Ghost overlay</x:v>
      </x:c>
      <x:c r="D109" s="57" t="str">
        <x:v>All</x:v>
      </x:c>
      <x:c r="E109" s="58" t="str">
        <x:v>As a user, I can align a new pose with my most recent earlier matching pose.</x:v>
      </x:c>
      <x:c r="F109" s="58" t="str">
        <x:v>Only earlier photos of the same pose are selected; opacity is adjustable and disabled when no overlay exists.</x:v>
      </x:c>
      <x:c r="G109" s="58" t="str">
        <x:v>Progress camera</x:v>
      </x:c>
      <x:c r="H109" s="58" t="str">
        <x:v>resources/js/Pages/Progress.vue; resources/js/progressPhotos.ts</x:v>
      </x:c>
      <x:c r="I109" s="58" t="str">
        <x:v>progressPhotos.test.ts</x:v>
      </x:c>
      <x:c r="J109" s="58" t="str">
        <x:v>Automated + browser</x:v>
      </x:c>
      <x:c r="K109" s="58" t="str">
        <x:v>Pass</x:v>
      </x:c>
      <x:c r="L109" s="58" t="str">
        <x:v>Relevant automated coverage passed and the live desktop/mobile surface and safe interactions were verified.</x:v>
      </x:c>
      <x:c r="M109" s="58" t="str"/>
      <x:c r="N109" s="58" t="str">
        <x:v>Not needed</x:v>
      </x:c>
      <x:c r="O109" s="58" t="str">
        <x:v>Pass</x:v>
      </x:c>
      <x:c r="P109" s="58" t="str">
        <x:v>Pass</x:v>
      </x:c>
      <x:c r="Q109" s="58" t="str">
        <x:v>Automated coverage passed; live desktop/mobile navigation and safe interaction sweep passed with zero fresh browser warnings/errors.</x:v>
      </x:c>
    </x:row>
    <x:row r="110" ht="54" customHeight="1">
      <x:c r="A110" s="57" t="str">
        <x:v>PROG-015</x:v>
      </x:c>
      <x:c r="B110" s="57" t="str">
        <x:v>Progress photos</x:v>
      </x:c>
      <x:c r="C110" s="57" t="str">
        <x:v>Choose from library</x:v>
      </x:c>
      <x:c r="D110" s="57" t="str">
        <x:v>All</x:v>
      </x:c>
      <x:c r="E110" s="58" t="str">
        <x:v>As a user, I can choose a pose photo from my library.</x:v>
      </x:c>
      <x:c r="F110" s="58" t="str">
        <x:v>The selected file is resized, replaces only that pose, can be removed, and uploads immediately when adding to an existing metric.</x:v>
      </x:c>
      <x:c r="G110" s="58" t="str">
        <x:v>Progress photo inputs</x:v>
      </x:c>
      <x:c r="H110" s="58" t="str">
        <x:v>resources/js/Pages/Progress.vue</x:v>
      </x:c>
      <x:c r="I110" s="58" t="str">
        <x:v>ProgressPhotoTest (server)</x:v>
      </x:c>
      <x:c r="J110" s="58" t="str">
        <x:v>Automated + browser</x:v>
      </x:c>
      <x:c r="K110" s="58" t="str">
        <x:v>Pass</x:v>
      </x:c>
      <x:c r="L110" s="58" t="str">
        <x:v>Relevant automated coverage passed and the live desktop/mobile surface and safe interactions were verified.</x:v>
      </x:c>
      <x:c r="M110" s="58" t="str"/>
      <x:c r="N110" s="58" t="str">
        <x:v>Not needed</x:v>
      </x:c>
      <x:c r="O110" s="58" t="str">
        <x:v>Pass</x:v>
      </x:c>
      <x:c r="P110" s="58" t="str">
        <x:v>Pass</x:v>
      </x:c>
      <x:c r="Q110" s="58" t="str">
        <x:v>Automated coverage passed; live desktop/mobile navigation and safe interaction sweep passed with zero fresh browser warnings/errors.</x:v>
      </x:c>
    </x:row>
    <x:row r="111" ht="54" customHeight="1">
      <x:c r="A111" s="57" t="str">
        <x:v>PROG-016</x:v>
      </x:c>
      <x:c r="B111" s="57" t="str">
        <x:v>Progress photos</x:v>
      </x:c>
      <x:c r="C111" s="57" t="str">
        <x:v>Upload or stage photos</x:v>
      </x:c>
      <x:c r="D111" s="57" t="str">
        <x:v>All</x:v>
      </x:c>
      <x:c r="E111" s="58" t="str">
        <x:v>As a user, progress photos survive offline-first metric creation.</x:v>
      </x:c>
      <x:c r="F111" s="58" t="str">
        <x:v>Up to three valid pose-labelled images upload immediately for synced metrics or stage durably until the metric syncs; failed uploads remain retryable.</x:v>
      </x:c>
      <x:c r="G111" s="58" t="str">
        <x:v>POST /progress/body-metrics/{id}/photos</x:v>
      </x:c>
      <x:c r="H111" s="58" t="str">
        <x:v>app/Http/Controllers/BodyMetricPhotoController.php; app/Services/BodyMetricPhotoUploader.php</x:v>
      </x:c>
      <x:c r="I111" s="58" t="str">
        <x:v>ProgressPhotoTest</x:v>
      </x:c>
      <x:c r="J111" s="58" t="str">
        <x:v>Automated + browser</x:v>
      </x:c>
      <x:c r="K111" s="58" t="str">
        <x:v>Pass</x:v>
      </x:c>
      <x:c r="L111" s="58" t="str">
        <x:v>Relevant automated coverage passed and the live desktop/mobile surface and safe interactions were verified.</x:v>
      </x:c>
      <x:c r="M111" s="58" t="str"/>
      <x:c r="N111" s="58" t="str">
        <x:v>Not needed</x:v>
      </x:c>
      <x:c r="O111" s="58" t="str">
        <x:v>Pass</x:v>
      </x:c>
      <x:c r="P111" s="58" t="str">
        <x:v>Pass</x:v>
      </x:c>
      <x:c r="Q111" s="58" t="str">
        <x:v>Automated coverage passed; live desktop/mobile navigation and safe interaction sweep passed with zero fresh browser warnings/errors.</x:v>
      </x:c>
    </x:row>
    <x:row r="112" ht="54" customHeight="1">
      <x:c r="A112" s="57" t="str">
        <x:v>PROG-017</x:v>
      </x:c>
      <x:c r="B112" s="57" t="str">
        <x:v>Progress photos</x:v>
      </x:c>
      <x:c r="C112" s="57" t="str">
        <x:v>View photos</x:v>
      </x:c>
      <x:c r="D112" s="57" t="str">
        <x:v>All</x:v>
      </x:c>
      <x:c r="E112" s="58" t="str">
        <x:v>As a user, I can view all photos for a measurement.</x:v>
      </x:c>
      <x:c r="F112" s="58" t="str">
        <x:v>Cloud and staged local photos are merged by pose, sorted predictably, and served through temporary/proxied URLs.</x:v>
      </x:c>
      <x:c r="G112" s="58" t="str">
        <x:v>GET /progress/body-metrics/{id}/photos</x:v>
      </x:c>
      <x:c r="H112" s="58" t="str">
        <x:v>resources/js/Pages/Progress.vue; app/Http/Controllers/BodyMetricPhotoController.php</x:v>
      </x:c>
      <x:c r="I112" s="58" t="str">
        <x:v>ProgressPhotoTest</x:v>
      </x:c>
      <x:c r="J112" s="58" t="str">
        <x:v>Automated + browser</x:v>
      </x:c>
      <x:c r="K112" s="58" t="str">
        <x:v>Fail</x:v>
      </x:c>
      <x:c r="L112" s="58" t="str">
        <x:v>Reproduced ERR-011; see Errors.</x:v>
      </x:c>
      <x:c r="M112" s="58" t="str">
        <x:v>ERR-011</x:v>
      </x:c>
      <x:c r="N112" s="58" t="str">
        <x:v>Fixed</x:v>
      </x:c>
      <x:c r="O112" s="58" t="str">
        <x:v>Pass</x:v>
      </x:c>
      <x:c r="P112" s="58" t="str">
        <x:v>Pass</x:v>
      </x:c>
      <x:c r="Q112" s="58" t="str">
        <x:v>Linked regressions passed: ERR-011. See Errors for fix-specific evidence.</x:v>
      </x:c>
    </x:row>
    <x:row r="113" ht="54" customHeight="1">
      <x:c r="A113" s="57" t="str">
        <x:v>PROG-018</x:v>
      </x:c>
      <x:c r="B113" s="57" t="str">
        <x:v>Progress photos</x:v>
      </x:c>
      <x:c r="C113" s="57" t="str">
        <x:v>Add photos later</x:v>
      </x:c>
      <x:c r="D113" s="57" t="str">
        <x:v>All</x:v>
      </x:c>
      <x:c r="E113" s="58" t="str">
        <x:v>As a user, I can add missing poses to an existing measurement.</x:v>
      </x:c>
      <x:c r="F113" s="58" t="str">
        <x:v>Camera or library starts at a missing pose, uploads selected photos, and returns to the refreshed photo sheet.</x:v>
      </x:c>
      <x:c r="G113" s="58" t="str">
        <x:v>POST /progress/body-metrics/{id}/photos</x:v>
      </x:c>
      <x:c r="H113" s="58" t="str">
        <x:v>resources/js/Pages/Progress.vue</x:v>
      </x:c>
      <x:c r="I113" s="58" t="str">
        <x:v>ProgressPhotoTest (server)</x:v>
      </x:c>
      <x:c r="J113" s="58" t="str">
        <x:v>Automated + browser</x:v>
      </x:c>
      <x:c r="K113" s="58" t="str">
        <x:v>Pass</x:v>
      </x:c>
      <x:c r="L113" s="58" t="str">
        <x:v>Relevant automated coverage passed and the live desktop/mobile surface and safe interactions were verified.</x:v>
      </x:c>
      <x:c r="M113" s="58" t="str"/>
      <x:c r="N113" s="58" t="str">
        <x:v>Not needed</x:v>
      </x:c>
      <x:c r="O113" s="58" t="str">
        <x:v>Pass</x:v>
      </x:c>
      <x:c r="P113" s="58" t="str">
        <x:v>Pass</x:v>
      </x:c>
      <x:c r="Q113" s="58" t="str">
        <x:v>Automated coverage passed; live desktop/mobile navigation and safe interaction sweep passed with zero fresh browser warnings/errors.</x:v>
      </x:c>
    </x:row>
    <x:row r="114" ht="54" customHeight="1">
      <x:c r="A114" s="57" t="str">
        <x:v>PROG-019</x:v>
      </x:c>
      <x:c r="B114" s="57" t="str">
        <x:v>Progress photos</x:v>
      </x:c>
      <x:c r="C114" s="57" t="str">
        <x:v>Delete photo</x:v>
      </x:c>
      <x:c r="D114" s="57" t="str">
        <x:v>All</x:v>
      </x:c>
      <x:c r="E114" s="58" t="str">
        <x:v>As a user, I can delete an individual progress photo.</x:v>
      </x:c>
      <x:c r="F114" s="58" t="str">
        <x:v>A deliberate UI action calls the supported delete endpoint and removes only that photo after server confirmation.</x:v>
      </x:c>
      <x:c r="G114" s="58" t="str">
        <x:v>DELETE /progress/body-metrics/{id}/photos/{photo}</x:v>
      </x:c>
      <x:c r="H114" s="58" t="str">
        <x:v>app/Http/Controllers/BodyMetricPhotoController.php; resources/js/Pages/Progress.vue</x:v>
      </x:c>
      <x:c r="I114" s="58" t="str">
        <x:v>ProgressPhotoTest (endpoint)</x:v>
      </x:c>
      <x:c r="J114" s="58" t="str">
        <x:v>Automated + browser</x:v>
      </x:c>
      <x:c r="K114" s="58" t="str">
        <x:v>Fail</x:v>
      </x:c>
      <x:c r="L114" s="58" t="str">
        <x:v>Reproduced ERR-013; see Errors.</x:v>
      </x:c>
      <x:c r="M114" s="58" t="str">
        <x:v>ERR-013</x:v>
      </x:c>
      <x:c r="N114" s="58" t="str">
        <x:v>Fixed</x:v>
      </x:c>
      <x:c r="O114" s="58" t="str">
        <x:v>Pass</x:v>
      </x:c>
      <x:c r="P114" s="58" t="str">
        <x:v>Pass</x:v>
      </x:c>
      <x:c r="Q114" s="58" t="str">
        <x:v>Linked regressions passed: ERR-013. See Errors for fix-specific evidence.</x:v>
      </x:c>
    </x:row>
    <x:row r="115" ht="54" customHeight="1">
      <x:c r="A115" s="57" t="str">
        <x:v>PROG-020</x:v>
      </x:c>
      <x:c r="B115" s="57" t="str">
        <x:v>Progress</x:v>
      </x:c>
      <x:c r="C115" s="57" t="str">
        <x:v>Unique date invariant</x:v>
      </x:c>
      <x:c r="D115" s="57" t="str">
        <x:v>All</x:v>
      </x:c>
      <x:c r="E115" s="58" t="str">
        <x:v>As a multi-device user, I still have one logical body metric per date.</x:v>
      </x:c>
      <x:c r="F115" s="58" t="str">
        <x:v>The database/sync path enforces or deterministically reconciles date uniqueness so updates never target an arbitrary duplicate.</x:v>
      </x:c>
      <x:c r="G115" s="58" t="str">
        <x:v>body_metrics sync</x:v>
      </x:c>
      <x:c r="H115" s="58" t="str">
        <x:v>database/migrations/2026_05_19_000005_create_body_metrics_table.php; app/Services/BuffSyncService.php</x:v>
      </x:c>
      <x:c r="I115" s="58" t="str">
        <x:v>None direct</x:v>
      </x:c>
      <x:c r="J115" s="58" t="str">
        <x:v>Automated</x:v>
      </x:c>
      <x:c r="K115" s="58" t="str">
        <x:v>Fail</x:v>
      </x:c>
      <x:c r="L115" s="58" t="str">
        <x:v>Reproduced ERR-010; see Errors.</x:v>
      </x:c>
      <x:c r="M115" s="58" t="str">
        <x:v>ERR-010</x:v>
      </x:c>
      <x:c r="N115" s="58" t="str">
        <x:v>Fixed</x:v>
      </x:c>
      <x:c r="O115" s="58" t="str">
        <x:v>Pass</x:v>
      </x:c>
      <x:c r="P115" s="58" t="str">
        <x:v>Pass</x:v>
      </x:c>
      <x:c r="Q115" s="58" t="str">
        <x:v>Linked regressions passed: ERR-010. See Errors for fix-specific evidence.</x:v>
      </x:c>
    </x:row>
    <x:row r="116" ht="54" customHeight="1">
      <x:c r="A116" s="57" t="str">
        <x:v>PROG-021</x:v>
      </x:c>
      <x:c r="B116" s="57" t="str">
        <x:v>Progress photos</x:v>
      </x:c>
      <x:c r="C116" s="57" t="str">
        <x:v>Durable staging</x:v>
      </x:c>
      <x:c r="D116" s="57" t="str">
        <x:v>All</x:v>
      </x:c>
      <x:c r="E116" s="58" t="str">
        <x:v>As an offline user, staging failures cannot be reported as success.</x:v>
      </x:c>
      <x:c r="F116" s="58" t="str">
        <x:v>Every staged file write is checked; partial writes roll back or produce a visible retryable error.</x:v>
      </x:c>
      <x:c r="G116" s="58" t="str">
        <x:v>POST /progress/body-metrics/{id}/photos</x:v>
      </x:c>
      <x:c r="H116" s="58" t="str">
        <x:v>app/Http/Controllers/BodyMetricPhotoController.php</x:v>
      </x:c>
      <x:c r="I116" s="58" t="str">
        <x:v>None direct</x:v>
      </x:c>
      <x:c r="J116" s="58" t="str">
        <x:v>Automated</x:v>
      </x:c>
      <x:c r="K116" s="58" t="str">
        <x:v>Fail</x:v>
      </x:c>
      <x:c r="L116" s="58" t="str">
        <x:v>Reproduced ERR-012; see Errors.</x:v>
      </x:c>
      <x:c r="M116" s="58" t="str">
        <x:v>ERR-012</x:v>
      </x:c>
      <x:c r="N116" s="58" t="str">
        <x:v>Fixed</x:v>
      </x:c>
      <x:c r="O116" s="58" t="str">
        <x:v>Pass</x:v>
      </x:c>
      <x:c r="P116" s="58" t="str">
        <x:v>Pass</x:v>
      </x:c>
      <x:c r="Q116" s="58" t="str">
        <x:v>Linked regressions passed: ERR-012. See Errors for fix-specific evidence.</x:v>
      </x:c>
    </x:row>
    <x:row r="117" ht="54" customHeight="1">
      <x:c r="A117" s="57" t="str">
        <x:v>SET-001</x:v>
      </x:c>
      <x:c r="B117" s="57" t="str">
        <x:v>Settings</x:v>
      </x:c>
      <x:c r="C117" s="57" t="str">
        <x:v>Overview</x:v>
      </x:c>
      <x:c r="D117" s="57" t="str">
        <x:v>All</x:v>
      </x:c>
      <x:c r="E117" s="58" t="str">
        <x:v>As a user, I can find account, preferences, devices, and destructive actions.</x:v>
      </x:c>
      <x:c r="F117" s="58" t="str">
        <x:v>Rows appear only when applicable and show current appearance, reminder count, units, eat-back mode, and platform health provider.</x:v>
      </x:c>
      <x:c r="G117" s="58" t="str">
        <x:v>GET /settings</x:v>
      </x:c>
      <x:c r="H117" s="58" t="str">
        <x:v>resources/js/Pages/Settings.vue; app/Http/Controllers/SettingsController.php</x:v>
      </x:c>
      <x:c r="I117" s="58" t="str">
        <x:v>SettingsTest</x:v>
      </x:c>
      <x:c r="J117" s="58" t="str">
        <x:v>Automated + browser</x:v>
      </x:c>
      <x:c r="K117" s="58" t="str">
        <x:v>Pass</x:v>
      </x:c>
      <x:c r="L117" s="58" t="str">
        <x:v>Relevant automated coverage passed and the live desktop/mobile surface and safe interactions were verified.</x:v>
      </x:c>
      <x:c r="M117" s="58" t="str"/>
      <x:c r="N117" s="58" t="str">
        <x:v>Not needed</x:v>
      </x:c>
      <x:c r="O117" s="58" t="str">
        <x:v>Pass</x:v>
      </x:c>
      <x:c r="P117" s="58" t="str">
        <x:v>Pass</x:v>
      </x:c>
      <x:c r="Q117" s="58" t="str">
        <x:v>Automated coverage passed; live desktop/mobile navigation and safe interaction sweep passed with zero fresh browser warnings/errors.</x:v>
      </x:c>
    </x:row>
    <x:row r="118" ht="54" customHeight="1">
      <x:c r="A118" s="57" t="str">
        <x:v>SET-002</x:v>
      </x:c>
      <x:c r="B118" s="57" t="str">
        <x:v>Settings</x:v>
      </x:c>
      <x:c r="C118" s="57" t="str">
        <x:v>Theme</x:v>
      </x:c>
      <x:c r="D118" s="57" t="str">
        <x:v>All</x:v>
      </x:c>
      <x:c r="E118" s="58" t="str">
        <x:v>As a user, I can choose System, Light, or Dark appearance.</x:v>
      </x:c>
      <x:c r="F118" s="58" t="str">
        <x:v>The choice applies immediately, persists on the device, and System responds to OS color-scheme changes.</x:v>
      </x:c>
      <x:c r="G118" s="58" t="str">
        <x:v>GET /settings/appearance</x:v>
      </x:c>
      <x:c r="H118" s="58" t="str">
        <x:v>resources/js/Pages/Settings/Appearance.vue; resources/js/appearance.ts</x:v>
      </x:c>
      <x:c r="I118" s="58" t="str">
        <x:v>appearance.test.ts</x:v>
      </x:c>
      <x:c r="J118" s="58" t="str">
        <x:v>Automated + browser</x:v>
      </x:c>
      <x:c r="K118" s="58" t="str">
        <x:v>Pass</x:v>
      </x:c>
      <x:c r="L118" s="58" t="str">
        <x:v>Relevant automated coverage passed and the live desktop/mobile surface and safe interactions were verified.</x:v>
      </x:c>
      <x:c r="M118" s="58" t="str"/>
      <x:c r="N118" s="58" t="str">
        <x:v>Not needed</x:v>
      </x:c>
      <x:c r="O118" s="58" t="str">
        <x:v>Pass</x:v>
      </x:c>
      <x:c r="P118" s="58" t="str">
        <x:v>Pass</x:v>
      </x:c>
      <x:c r="Q118" s="58" t="str">
        <x:v>Automated coverage passed; live desktop/mobile navigation and safe interaction sweep passed with zero fresh browser warnings/errors.</x:v>
      </x:c>
    </x:row>
    <x:row r="119" ht="54" customHeight="1">
      <x:c r="A119" s="57" t="str">
        <x:v>SET-003</x:v>
      </x:c>
      <x:c r="B119" s="57" t="str">
        <x:v>Settings</x:v>
      </x:c>
      <x:c r="C119" s="57" t="str">
        <x:v>Reduce motion</x:v>
      </x:c>
      <x:c r="D119" s="57" t="str">
        <x:v>All</x:v>
      </x:c>
      <x:c r="E119" s="58" t="str">
        <x:v>As a user, I can reduce animation.</x:v>
      </x:c>
      <x:c r="F119" s="58" t="str">
        <x:v>The device preference persists and combines with the OS reduced-motion setting without disabling essential state changes.</x:v>
      </x:c>
      <x:c r="G119" s="58" t="str">
        <x:v>GET /settings/appearance</x:v>
      </x:c>
      <x:c r="H119" s="58" t="str">
        <x:v>resources/js/Pages/Settings/Appearance.vue; resources/js/appearance.ts</x:v>
      </x:c>
      <x:c r="I119" s="58" t="str">
        <x:v>appearance.test.ts</x:v>
      </x:c>
      <x:c r="J119" s="58" t="str">
        <x:v>Automated + browser</x:v>
      </x:c>
      <x:c r="K119" s="58" t="str">
        <x:v>Pass</x:v>
      </x:c>
      <x:c r="L119" s="58" t="str">
        <x:v>Relevant automated coverage passed and the live desktop/mobile surface and safe interactions were verified.</x:v>
      </x:c>
      <x:c r="M119" s="58" t="str"/>
      <x:c r="N119" s="58" t="str">
        <x:v>Not needed</x:v>
      </x:c>
      <x:c r="O119" s="58" t="str">
        <x:v>Pass</x:v>
      </x:c>
      <x:c r="P119" s="58" t="str">
        <x:v>Pass</x:v>
      </x:c>
      <x:c r="Q119" s="58" t="str">
        <x:v>Automated coverage passed; live desktop/mobile navigation and safe interaction sweep passed with zero fresh browser warnings/errors.</x:v>
      </x:c>
    </x:row>
    <x:row r="120" ht="54" customHeight="1">
      <x:c r="A120" s="57" t="str">
        <x:v>SET-004</x:v>
      </x:c>
      <x:c r="B120" s="57" t="str">
        <x:v>Settings</x:v>
      </x:c>
      <x:c r="C120" s="57" t="str">
        <x:v>Meal reminder preferences</x:v>
      </x:c>
      <x:c r="D120" s="57" t="str">
        <x:v>All</x:v>
      </x:c>
      <x:c r="E120" s="58" t="str">
        <x:v>As a user, I can enable breakfast, lunch, and dinner reminders at chosen times.</x:v>
      </x:c>
      <x:c r="F120" s="58" t="str">
        <x:v>Each toggle/time autosaves a complete validated reminder map and displays field errors.</x:v>
      </x:c>
      <x:c r="G120" s="58" t="str">
        <x:v>PUT /settings/meal-reminders</x:v>
      </x:c>
      <x:c r="H120" s="58" t="str">
        <x:v>resources/js/Pages/Settings/Reminders.vue; app/Http/Controllers/SettingsController.php</x:v>
      </x:c>
      <x:c r="I120" s="58" t="str">
        <x:v>SettingsTest</x:v>
      </x:c>
      <x:c r="J120" s="58" t="str">
        <x:v>Automated + browser</x:v>
      </x:c>
      <x:c r="K120" s="58" t="str">
        <x:v>Pass</x:v>
      </x:c>
      <x:c r="L120" s="58" t="str">
        <x:v>Relevant automated coverage passed and the live desktop/mobile surface and safe interactions were verified.</x:v>
      </x:c>
      <x:c r="M120" s="58" t="str"/>
      <x:c r="N120" s="58" t="str">
        <x:v>Not needed</x:v>
      </x:c>
      <x:c r="O120" s="58" t="str">
        <x:v>Pass</x:v>
      </x:c>
      <x:c r="P120" s="58" t="str">
        <x:v>Pass</x:v>
      </x:c>
      <x:c r="Q120" s="58" t="str">
        <x:v>Automated coverage passed; live desktop/mobile navigation and safe interaction sweep passed with zero fresh browser warnings/errors.</x:v>
      </x:c>
    </x:row>
    <x:row r="121" ht="54" customHeight="1">
      <x:c r="A121" s="57" t="str">
        <x:v>SET-005</x:v>
      </x:c>
      <x:c r="B121" s="57" t="str">
        <x:v>Settings</x:v>
      </x:c>
      <x:c r="C121" s="57" t="str">
        <x:v>Android reminder scheduling</x:v>
      </x:c>
      <x:c r="D121" s="57" t="str">
        <x:v>Android</x:v>
      </x:c>
      <x:c r="E121" s="58" t="str">
        <x:v>As an Android user, enabled meal reminders are scheduled and disabled reminders are cancelled.</x:v>
      </x:c>
      <x:c r="F121" s="58" t="str">
        <x:v>Native daily work is uniquely replaced per meal, validates time, and schedules the next run.</x:v>
      </x:c>
      <x:c r="G121" s="58" t="str">
        <x:v>BackgroundTasks.RegisterMealReminders</x:v>
      </x:c>
      <x:c r="H121" s="58" t="str">
        <x:v>app/Services/MealReminderBridge.php; native-plugins/background-tasks</x:v>
      </x:c>
      <x:c r="I121" s="58" t="str">
        <x:v>MealReminderWorkerTest</x:v>
      </x:c>
      <x:c r="J121" s="58" t="str">
        <x:v>Automated + native device</x:v>
      </x:c>
      <x:c r="K121" s="58" t="str">
        <x:v>Fail</x:v>
      </x:c>
      <x:c r="L121" s="58" t="str">
        <x:v>Android reminder scheduling reproduced ERR-021 and created no worker.</x:v>
      </x:c>
      <x:c r="M121" s="58" t="str">
        <x:v>ERR-021</x:v>
      </x:c>
      <x:c r="N121" s="58" t="str">
        <x:v>Fixed</x:v>
      </x:c>
      <x:c r="O121" s="58" t="str">
        <x:v>Pass</x:v>
      </x:c>
      <x:c r="P121" s="58" t="str">
        <x:v>Pass</x:v>
      </x:c>
      <x:c r="Q121" s="58" t="str">
        <x:v>Android scheduled and cancelled MealReminderWorker while keeping the UI state aligned.</x:v>
      </x:c>
    </x:row>
    <x:row r="122" ht="54" customHeight="1">
      <x:c r="A122" s="57" t="str">
        <x:v>SET-006</x:v>
      </x:c>
      <x:c r="B122" s="57" t="str">
        <x:v>Settings</x:v>
      </x:c>
      <x:c r="C122" s="57" t="str">
        <x:v>Reminder due check</x:v>
      </x:c>
      <x:c r="D122" s="57" t="str">
        <x:v>Android</x:v>
      </x:c>
      <x:c r="E122" s="58" t="str">
        <x:v>As a user, I am not reminded for a meal already logged that day.</x:v>
      </x:c>
      <x:c r="F122" s="58" t="str">
        <x:v>The background check emits due only when no matching dated meal exists and otherwise emits logged.</x:v>
      </x:c>
      <x:c r="G122" s="58" t="str">
        <x:v>meal-reminder:check</x:v>
      </x:c>
      <x:c r="H122" s="58" t="str">
        <x:v>routes/console.php</x:v>
      </x:c>
      <x:c r="I122" s="58" t="str">
        <x:v>MealReminderWorkerTest (worker source); command indirect</x:v>
      </x:c>
      <x:c r="J122" s="58" t="str">
        <x:v>Automated</x:v>
      </x:c>
      <x:c r="K122" s="58" t="str">
        <x:v>Pass</x:v>
      </x:c>
      <x:c r="L122" s="58" t="str">
        <x:v>Relevant automated coverage passed in the 213-test PHP and 39-test frontend baseline.</x:v>
      </x:c>
      <x:c r="M122" s="58" t="str"/>
      <x:c r="N122" s="58" t="str">
        <x:v>Not needed</x:v>
      </x:c>
      <x:c r="O122" s="58" t="str">
        <x:v>Pass</x:v>
      </x:c>
      <x:c r="P122" s="58" t="str">
        <x:v>Pass</x:v>
      </x:c>
      <x:c r="Q122" s="58" t="str">
        <x:v>Final regression passed: Buff PHP 230/230 (1,832 assertions), server PHP 149/149, frontend 44/44, type-check clean, and production build clean as applicable.</x:v>
      </x:c>
    </x:row>
    <x:row r="123" ht="54" customHeight="1">
      <x:c r="A123" s="57" t="str">
        <x:v>SET-007</x:v>
      </x:c>
      <x:c r="B123" s="57" t="str">
        <x:v>Settings</x:v>
      </x:c>
      <x:c r="C123" s="57" t="str">
        <x:v>Reminder scheduling failure</x:v>
      </x:c>
      <x:c r="D123" s="57" t="str">
        <x:v>Android</x:v>
      </x:c>
      <x:c r="E123" s="58" t="str">
        <x:v>As a user, Buff does not show a reminder as active when native scheduling failed.</x:v>
      </x:c>
      <x:c r="F123" s="58" t="str">
        <x:v>A native registration failure is visible and settings remain retryable or roll back to the last scheduled state.</x:v>
      </x:c>
      <x:c r="G123" s="58" t="str">
        <x:v>PUT /settings/meal-reminders</x:v>
      </x:c>
      <x:c r="H123" s="58" t="str">
        <x:v>app/Http/Controllers/SettingsController.php; app/Services/MealReminderBridge.php</x:v>
      </x:c>
      <x:c r="I123" s="58" t="str">
        <x:v>SettingsTest (flash only)</x:v>
      </x:c>
      <x:c r="J123" s="58" t="str">
        <x:v>Automated + native device</x:v>
      </x:c>
      <x:c r="K123" s="58" t="str">
        <x:v>Fail</x:v>
      </x:c>
      <x:c r="L123" s="58" t="str">
        <x:v>Native scheduling failure reproduced ERR-005 and ERR-021.</x:v>
      </x:c>
      <x:c r="M123" s="58" t="str">
        <x:v>ERR-005; ERR-021</x:v>
      </x:c>
      <x:c r="N123" s="58" t="str">
        <x:v>Fixed</x:v>
      </x:c>
      <x:c r="O123" s="58" t="str">
        <x:v>Pass</x:v>
      </x:c>
      <x:c r="P123" s="58" t="str">
        <x:v>Pass</x:v>
      </x:c>
      <x:c r="Q123" s="58" t="str">
        <x:v>Scheduling failure preserved the prior state and the corrected native capability succeeded on retry.</x:v>
      </x:c>
    </x:row>
    <x:row r="124" ht="54" customHeight="1">
      <x:c r="A124" s="57" t="str">
        <x:v>SET-008</x:v>
      </x:c>
      <x:c r="B124" s="57" t="str">
        <x:v>Settings</x:v>
      </x:c>
      <x:c r="C124" s="57" t="str">
        <x:v>Body profile</x:v>
      </x:c>
      <x:c r="D124" s="57" t="str">
        <x:v>All</x:v>
      </x:c>
      <x:c r="E124" s="58" t="str">
        <x:v>As a user, I can update height, age, sex, and activity level.</x:v>
      </x:c>
      <x:c r="F124" s="58" t="str">
        <x:v>Optional fields validate, height converts through the chosen unit, and estimates update after save.</x:v>
      </x:c>
      <x:c r="G124" s="58" t="str">
        <x:v>PUT /settings/body-profile</x:v>
      </x:c>
      <x:c r="H124" s="58" t="str">
        <x:v>resources/js/Pages/Settings/BodyProfile.vue; app/Http/Controllers/SettingsController.php</x:v>
      </x:c>
      <x:c r="I124" s="58" t="str">
        <x:v>SettingsTest; bodyUnits.test.ts</x:v>
      </x:c>
      <x:c r="J124" s="58" t="str">
        <x:v>Automated + browser</x:v>
      </x:c>
      <x:c r="K124" s="58" t="str">
        <x:v>Pass</x:v>
      </x:c>
      <x:c r="L124" s="58" t="str">
        <x:v>Relevant automated coverage passed and the live desktop/mobile surface and safe interactions were verified.</x:v>
      </x:c>
      <x:c r="M124" s="58" t="str"/>
      <x:c r="N124" s="58" t="str">
        <x:v>Not needed</x:v>
      </x:c>
      <x:c r="O124" s="58" t="str">
        <x:v>Pass</x:v>
      </x:c>
      <x:c r="P124" s="58" t="str">
        <x:v>Pass</x:v>
      </x:c>
      <x:c r="Q124" s="58" t="str">
        <x:v>Automated coverage passed; live desktop/mobile navigation and safe interaction sweep passed with zero fresh browser warnings/errors.</x:v>
      </x:c>
    </x:row>
    <x:row r="125" ht="54" customHeight="1">
      <x:c r="A125" s="57" t="str">
        <x:v>SET-009</x:v>
      </x:c>
      <x:c r="B125" s="57" t="str">
        <x:v>Settings</x:v>
      </x:c>
      <x:c r="C125" s="57" t="str">
        <x:v>Units</x:v>
      </x:c>
      <x:c r="D125" s="57" t="str">
        <x:v>All</x:v>
      </x:c>
      <x:c r="E125" s="58" t="str">
        <x:v>As a user, I can choose weight, height, and measurement units.</x:v>
      </x:c>
      <x:c r="F125" s="58" t="str">
        <x:v>Each selector autosaves a valid unit and all screens convert presentation without changing canonical stored values.</x:v>
      </x:c>
      <x:c r="G125" s="58" t="str">
        <x:v>PUT /settings/units</x:v>
      </x:c>
      <x:c r="H125" s="58" t="str">
        <x:v>resources/js/Pages/Settings/Units.vue; resources/js/bodyUnits.ts</x:v>
      </x:c>
      <x:c r="I125" s="58" t="str">
        <x:v>SettingsTest; bodyUnits.test.ts</x:v>
      </x:c>
      <x:c r="J125" s="58" t="str">
        <x:v>Automated + browser</x:v>
      </x:c>
      <x:c r="K125" s="58" t="str">
        <x:v>Pass</x:v>
      </x:c>
      <x:c r="L125" s="58" t="str">
        <x:v>Relevant automated coverage passed and the live desktop/mobile surface and safe interactions were verified.</x:v>
      </x:c>
      <x:c r="M125" s="58" t="str"/>
      <x:c r="N125" s="58" t="str">
        <x:v>Not needed</x:v>
      </x:c>
      <x:c r="O125" s="58" t="str">
        <x:v>Pass</x:v>
      </x:c>
      <x:c r="P125" s="58" t="str">
        <x:v>Pass</x:v>
      </x:c>
      <x:c r="Q125" s="58" t="str">
        <x:v>Automated coverage passed; live desktop/mobile navigation and safe interaction sweep passed with zero fresh browser warnings/errors.</x:v>
      </x:c>
    </x:row>
    <x:row r="126" ht="54" customHeight="1">
      <x:c r="A126" s="57" t="str">
        <x:v>SET-010</x:v>
      </x:c>
      <x:c r="B126" s="57" t="str">
        <x:v>Settings</x:v>
      </x:c>
      <x:c r="C126" s="57" t="str">
        <x:v>Exercise calorie eat-back</x:v>
      </x:c>
      <x:c r="D126" s="57" t="str">
        <x:v>All</x:v>
      </x:c>
      <x:c r="E126" s="58" t="str">
        <x:v>As a user, I can eat back all, half, or none of workout calories.</x:v>
      </x:c>
      <x:c r="F126" s="58" t="str">
        <x:v>The selected option saves immediately and changes remaining calorie/macro allowance without hiding total burn.</x:v>
      </x:c>
      <x:c r="G126" s="58" t="str">
        <x:v>PUT /settings/eat-back</x:v>
      </x:c>
      <x:c r="H126" s="58" t="str">
        <x:v>resources/js/Pages/Settings/Exercise.vue; app/Services/NutritionCalculator.php</x:v>
      </x:c>
      <x:c r="I126" s="58" t="str">
        <x:v>SettingsTest; DashboardTest; NutritionCalculatorTest</x:v>
      </x:c>
      <x:c r="J126" s="58" t="str">
        <x:v>Automated + browser</x:v>
      </x:c>
      <x:c r="K126" s="58" t="str">
        <x:v>Pass</x:v>
      </x:c>
      <x:c r="L126" s="58" t="str">
        <x:v>Relevant automated coverage passed and the live desktop/mobile surface and safe interactions were verified.</x:v>
      </x:c>
      <x:c r="M126" s="58" t="str"/>
      <x:c r="N126" s="58" t="str">
        <x:v>Not needed</x:v>
      </x:c>
      <x:c r="O126" s="58" t="str">
        <x:v>Pass</x:v>
      </x:c>
      <x:c r="P126" s="58" t="str">
        <x:v>Pass</x:v>
      </x:c>
      <x:c r="Q126" s="58" t="str">
        <x:v>Automated coverage passed; live desktop/mobile navigation and safe interaction sweep passed with zero fresh browser warnings/errors.</x:v>
      </x:c>
    </x:row>
    <x:row r="127" ht="54" customHeight="1">
      <x:c r="A127" s="57" t="str">
        <x:v>SET-011</x:v>
      </x:c>
      <x:c r="B127" s="57" t="str">
        <x:v>Settings</x:v>
      </x:c>
      <x:c r="C127" s="57" t="str">
        <x:v>Health provider status</x:v>
      </x:c>
      <x:c r="D127" s="57" t="str">
        <x:v>iOS + Android</x:v>
      </x:c>
      <x:c r="E127" s="58" t="str">
        <x:v>As a mobile user, I can inspect and operate the relevant health integration.</x:v>
      </x:c>
      <x:c r="F127" s="58" t="str">
        <x:v>The page shows availability, permission/sync status, last success or error, and a connect/sync action with polling.</x:v>
      </x:c>
      <x:c r="G127" s="58" t="str">
        <x:v>GET/POST /settings/health; /apple-health/*; /health-connect/*</x:v>
      </x:c>
      <x:c r="H127" s="58" t="str">
        <x:v>resources/js/Pages/Settings/Health.vue</x:v>
      </x:c>
      <x:c r="I127" s="58" t="str">
        <x:v>Health sync/import tests (indirect endpoints)</x:v>
      </x:c>
      <x:c r="J127" s="58" t="str">
        <x:v>Automated + native device</x:v>
      </x:c>
      <x:c r="K127" s="58" t="str">
        <x:v>Fail</x:v>
      </x:c>
      <x:c r="L127" s="58" t="str">
        <x:v>Android Health Connect passed, while iOS reproduced ERR-030 because the simulator target lacked Apple Health entitlements.</x:v>
      </x:c>
      <x:c r="M127" s="58" t="str">
        <x:v>ERR-030</x:v>
      </x:c>
      <x:c r="N127" s="58" t="str">
        <x:v>Fixed</x:v>
      </x:c>
      <x:c r="O127" s="58" t="str">
        <x:v>Pass</x:v>
      </x:c>
      <x:c r="P127" s="58" t="str">
        <x:v>Pass</x:v>
      </x:c>
      <x:c r="Q127" s="58" t="str">
        <x:v>Health Connect passed on Android; iOS showed Apple Health authorization, provider state, and successful sync.</x:v>
      </x:c>
    </x:row>
    <x:row r="128" ht="54" customHeight="1">
      <x:c r="A128" s="57" t="str">
        <x:v>MCP-001</x:v>
      </x:c>
      <x:c r="B128" s="57" t="str">
        <x:v>Connected assistants</x:v>
      </x:c>
      <x:c r="C128" s="57" t="str">
        <x:v>List connections</x:v>
      </x:c>
      <x:c r="D128" s="57" t="str">
        <x:v>All</x:v>
      </x:c>
      <x:c r="E128" s="58" t="str">
        <x:v>As a signed-in user, I can see authorized and revoked AI assistants.</x:v>
      </x:c>
      <x:c r="F128" s="58" t="str">
        <x:v>Active/authorized cards show linked/last-used timestamps; errors do not expose stale connection data; revoked history is collapsible.</x:v>
      </x:c>
      <x:c r="G128" s="58" t="str">
        <x:v>GET /settings/connected-assistants</x:v>
      </x:c>
      <x:c r="H128" s="58" t="str">
        <x:v>resources/js/Pages/Settings/ConnectedAssistants.vue; app/Http/Controllers/SettingsController.php</x:v>
      </x:c>
      <x:c r="I128" s="58" t="str">
        <x:v>ConnectedAssistantsTest</x:v>
      </x:c>
      <x:c r="J128" s="58" t="str">
        <x:v>Automated + browser</x:v>
      </x:c>
      <x:c r="K128" s="58" t="str">
        <x:v>Pass</x:v>
      </x:c>
      <x:c r="L128" s="58" t="str">
        <x:v>Relevant automated coverage passed and the live desktop/mobile surface and safe interactions were verified.</x:v>
      </x:c>
      <x:c r="M128" s="58" t="str"/>
      <x:c r="N128" s="58" t="str">
        <x:v>Not needed</x:v>
      </x:c>
      <x:c r="O128" s="58" t="str">
        <x:v>Pass</x:v>
      </x:c>
      <x:c r="P128" s="58" t="str">
        <x:v>Pass</x:v>
      </x:c>
      <x:c r="Q128" s="58" t="str">
        <x:v>Automated coverage passed; live desktop/mobile navigation and safe interaction sweep passed with zero fresh browser warnings/errors.</x:v>
      </x:c>
    </x:row>
    <x:row r="129" ht="54" customHeight="1">
      <x:c r="A129" s="57" t="str">
        <x:v>MCP-002</x:v>
      </x:c>
      <x:c r="B129" s="57" t="str">
        <x:v>Connected assistants</x:v>
      </x:c>
      <x:c r="C129" s="57" t="str">
        <x:v>Setup endpoint</x:v>
      </x:c>
      <x:c r="D129" s="57" t="str">
        <x:v>All</x:v>
      </x:c>
      <x:c r="E129" s="58" t="str">
        <x:v>As a signed-in user, I can copy Buff’s MCP endpoint and view setup steps.</x:v>
      </x:c>
      <x:c r="F129" s="58" t="str">
        <x:v>Configured endpoints are selectable/copyable with manual fallback; instructions exist for Codex, ChatGPT, Claude, and Gemini; absent endpoint hides setup.</x:v>
      </x:c>
      <x:c r="G129" s="58" t="str">
        <x:v>GET /settings/connected-assistants</x:v>
      </x:c>
      <x:c r="H129" s="58" t="str">
        <x:v>resources/js/Pages/Settings/ConnectedAssistants.vue</x:v>
      </x:c>
      <x:c r="I129" s="58" t="str">
        <x:v>ConnectedAssistantsTest</x:v>
      </x:c>
      <x:c r="J129" s="58" t="str">
        <x:v>Automated + browser</x:v>
      </x:c>
      <x:c r="K129" s="58" t="str">
        <x:v>Pass</x:v>
      </x:c>
      <x:c r="L129" s="58" t="str">
        <x:v>Relevant automated coverage passed and the live desktop/mobile surface and safe interactions were verified.</x:v>
      </x:c>
      <x:c r="M129" s="58" t="str"/>
      <x:c r="N129" s="58" t="str">
        <x:v>Not needed</x:v>
      </x:c>
      <x:c r="O129" s="58" t="str">
        <x:v>Pass</x:v>
      </x:c>
      <x:c r="P129" s="58" t="str">
        <x:v>Pass</x:v>
      </x:c>
      <x:c r="Q129" s="58" t="str">
        <x:v>Automated coverage passed; live desktop/mobile navigation and safe interaction sweep passed with zero fresh browser warnings/errors.</x:v>
      </x:c>
    </x:row>
    <x:row r="130" ht="54" customHeight="1">
      <x:c r="A130" s="57" t="str">
        <x:v>MCP-003</x:v>
      </x:c>
      <x:c r="B130" s="57" t="str">
        <x:v>Connected assistants</x:v>
      </x:c>
      <x:c r="C130" s="57" t="str">
        <x:v>Revoke connection</x:v>
      </x:c>
      <x:c r="D130" s="57" t="str">
        <x:v>All</x:v>
      </x:c>
      <x:c r="E130" s="58" t="str">
        <x:v>As a signed-in user, I can revoke one assistant.</x:v>
      </x:c>
      <x:c r="F130" s="58" t="str">
        <x:v>Only the chosen live connection is revoked after remote confirmation; failures remain visible and do not claim success.</x:v>
      </x:c>
      <x:c r="G130" s="58" t="str">
        <x:v>DELETE /settings/connected-assistants/{connection}</x:v>
      </x:c>
      <x:c r="H130" s="58" t="str">
        <x:v>resources/js/Pages/Settings/ConnectedAssistants.vue; app/Http/Controllers/SettingsController.php</x:v>
      </x:c>
      <x:c r="I130" s="58" t="str">
        <x:v>ConnectedAssistantsTest</x:v>
      </x:c>
      <x:c r="J130" s="58" t="str">
        <x:v>Automated + browser</x:v>
      </x:c>
      <x:c r="K130" s="58" t="str">
        <x:v>Pass</x:v>
      </x:c>
      <x:c r="L130" s="58" t="str">
        <x:v>Relevant automated coverage passed and the live desktop/mobile surface and safe interactions were verified.</x:v>
      </x:c>
      <x:c r="M130" s="58" t="str"/>
      <x:c r="N130" s="58" t="str">
        <x:v>Not needed</x:v>
      </x:c>
      <x:c r="O130" s="58" t="str">
        <x:v>Pass</x:v>
      </x:c>
      <x:c r="P130" s="58" t="str">
        <x:v>Pass</x:v>
      </x:c>
      <x:c r="Q130" s="58" t="str">
        <x:v>Automated coverage passed; live desktop/mobile navigation and safe interaction sweep passed with zero fresh browser warnings/errors.</x:v>
      </x:c>
    </x:row>
    <x:row r="131" ht="54" customHeight="1">
      <x:c r="A131" s="57" t="str">
        <x:v>MCP-004</x:v>
      </x:c>
      <x:c r="B131" s="57" t="str">
        <x:v>MCP consent</x:v>
      </x:c>
      <x:c r="C131" s="57" t="str">
        <x:v>Review request</x:v>
      </x:c>
      <x:c r="D131" s="57" t="str">
        <x:v>All</x:v>
      </x:c>
      <x:c r="E131" s="58" t="str">
        <x:v>As a signed-in user, I can review an assistant connection request before granting access.</x:v>
      </x:c>
      <x:c r="F131" s="58" t="str">
        <x:v>The opaque token resolves to client name, redirect origin, expiry, and exact access scope without approving it.</x:v>
      </x:c>
      <x:c r="G131" s="58" t="str">
        <x:v>GET /mcp-approve</x:v>
      </x:c>
      <x:c r="H131" s="58" t="str">
        <x:v>resources/js/Pages/McpApproval.vue; app/Http/Controllers/McpApprovalController.php</x:v>
      </x:c>
      <x:c r="I131" s="58" t="str">
        <x:v>McpApprovalTest</x:v>
      </x:c>
      <x:c r="J131" s="58" t="str">
        <x:v>Automated + browser</x:v>
      </x:c>
      <x:c r="K131" s="58" t="str">
        <x:v>Pass</x:v>
      </x:c>
      <x:c r="L131" s="58" t="str">
        <x:v>Relevant automated coverage passed and the live desktop/mobile surface and safe interactions were verified.</x:v>
      </x:c>
      <x:c r="M131" s="58" t="str"/>
      <x:c r="N131" s="58" t="str">
        <x:v>Not needed</x:v>
      </x:c>
      <x:c r="O131" s="58" t="str">
        <x:v>Pass</x:v>
      </x:c>
      <x:c r="P131" s="58" t="str">
        <x:v>Pass</x:v>
      </x:c>
      <x:c r="Q131" s="58" t="str">
        <x:v>Automated coverage passed; live desktop/mobile navigation and safe interaction sweep passed with zero fresh browser warnings/errors.</x:v>
      </x:c>
    </x:row>
    <x:row r="132" ht="54" customHeight="1">
      <x:c r="A132" s="57" t="str">
        <x:v>MCP-005</x:v>
      </x:c>
      <x:c r="B132" s="57" t="str">
        <x:v>MCP consent</x:v>
      </x:c>
      <x:c r="C132" s="57" t="str">
        <x:v>Approve or deny</x:v>
      </x:c>
      <x:c r="D132" s="57" t="str">
        <x:v>All</x:v>
      </x:c>
      <x:c r="E132" s="58" t="str">
        <x:v>As a signed-in user, I can explicitly approve or deny the request.</x:v>
      </x:c>
      <x:c r="F132" s="58" t="str">
        <x:v>Only a pending valid request posts once; approval/denial is claimed only after server confirmation and completion/error states are clear.</x:v>
      </x:c>
      <x:c r="G132" s="58" t="str">
        <x:v>POST /mcp-approve</x:v>
      </x:c>
      <x:c r="H132" s="58" t="str">
        <x:v>resources/js/Pages/McpApproval.vue; app/Http/Controllers/McpApprovalController.php</x:v>
      </x:c>
      <x:c r="I132" s="58" t="str">
        <x:v>McpApprovalTest</x:v>
      </x:c>
      <x:c r="J132" s="58" t="str">
        <x:v>Automated + browser</x:v>
      </x:c>
      <x:c r="K132" s="58" t="str">
        <x:v>Pass</x:v>
      </x:c>
      <x:c r="L132" s="58" t="str">
        <x:v>Relevant automated coverage passed and the live desktop/mobile surface and safe interactions were verified.</x:v>
      </x:c>
      <x:c r="M132" s="58" t="str"/>
      <x:c r="N132" s="58" t="str">
        <x:v>Not needed</x:v>
      </x:c>
      <x:c r="O132" s="58" t="str">
        <x:v>Pass</x:v>
      </x:c>
      <x:c r="P132" s="58" t="str">
        <x:v>Pass</x:v>
      </x:c>
      <x:c r="Q132" s="58" t="str">
        <x:v>Automated coverage passed; live desktop/mobile navigation and safe interaction sweep passed with zero fresh browser warnings/errors.</x:v>
      </x:c>
    </x:row>
    <x:row r="133" ht="54" customHeight="1">
      <x:c r="A133" s="57" t="str">
        <x:v>MCP-006</x:v>
      </x:c>
      <x:c r="B133" s="57" t="str">
        <x:v>MCP consent</x:v>
      </x:c>
      <x:c r="C133" s="57" t="str">
        <x:v>Reauthentication continuity</x:v>
      </x:c>
      <x:c r="D133" s="57" t="str">
        <x:v>All</x:v>
      </x:c>
      <x:c r="E133" s="58" t="str">
        <x:v>As a user, sign-in/resume does not lose an MCP request.</x:v>
      </x:c>
      <x:c r="F133" s="58" t="str">
        <x:v>The token survives authentication/session expiry and returns to the original approval flow; expired requests never post approval.</x:v>
      </x:c>
      <x:c r="G133" s="58" t="str">
        <x:v>GET/POST /mcp-approve</x:v>
      </x:c>
      <x:c r="H133" s="58" t="str">
        <x:v>app/Http/Controllers/McpApprovalController.php; app/Http/Middleware/EnsureBuffAccount.php</x:v>
      </x:c>
      <x:c r="I133" s="58" t="str">
        <x:v>McpApprovalTest</x:v>
      </x:c>
      <x:c r="J133" s="58" t="str">
        <x:v>Automated + browser</x:v>
      </x:c>
      <x:c r="K133" s="58" t="str">
        <x:v>Pass</x:v>
      </x:c>
      <x:c r="L133" s="58" t="str">
        <x:v>Relevant automated coverage passed and the live desktop/mobile surface and safe interactions were verified.</x:v>
      </x:c>
      <x:c r="M133" s="58" t="str"/>
      <x:c r="N133" s="58" t="str">
        <x:v>Not needed</x:v>
      </x:c>
      <x:c r="O133" s="58" t="str">
        <x:v>Pass</x:v>
      </x:c>
      <x:c r="P133" s="58" t="str">
        <x:v>Pass</x:v>
      </x:c>
      <x:c r="Q133" s="58" t="str">
        <x:v>Automated coverage passed; live desktop/mobile navigation and safe interaction sweep passed with zero fresh browser warnings/errors.</x:v>
      </x:c>
    </x:row>
    <x:row r="134" ht="54" customHeight="1">
      <x:c r="A134" s="57" t="str">
        <x:v>HEALTH-001</x:v>
      </x:c>
      <x:c r="B134" s="57" t="str">
        <x:v>Health data</x:v>
      </x:c>
      <x:c r="C134" s="57" t="str">
        <x:v>Platform support detection</x:v>
      </x:c>
      <x:c r="D134" s="57" t="str">
        <x:v>iOS + Android</x:v>
      </x:c>
      <x:c r="E134" s="58" t="str">
        <x:v>As a mobile user, Buff uses the health provider available on my platform.</x:v>
      </x:c>
      <x:c r="F134" s="58" t="str">
        <x:v>Apple Health is supported only on iOS, Health Connect only on Android, and unavailable/invalid native bridge responses remain safe.</x:v>
      </x:c>
      <x:c r="G134" s="58" t="str">
        <x:v>Health bridges</x:v>
      </x:c>
      <x:c r="H134" s="58" t="str">
        <x:v>app/Services/AppleHealthBridge.php; app/Services/HealthConnectBridge.php</x:v>
      </x:c>
      <x:c r="I134" s="58" t="str">
        <x:v>AppleHealthBridgeTest; HealthConnectBridgeTest</x:v>
      </x:c>
      <x:c r="J134" s="58" t="str">
        <x:v>Automated</x:v>
      </x:c>
      <x:c r="K134" s="58" t="str">
        <x:v>Pass</x:v>
      </x:c>
      <x:c r="L134" s="58" t="str">
        <x:v>Relevant automated coverage passed in the 213-test PHP and 39-test frontend baseline.</x:v>
      </x:c>
      <x:c r="M134" s="58" t="str"/>
      <x:c r="N134" s="58" t="str">
        <x:v>Not needed</x:v>
      </x:c>
      <x:c r="O134" s="58" t="str">
        <x:v>Pass</x:v>
      </x:c>
      <x:c r="P134" s="58" t="str">
        <x:v>Pass</x:v>
      </x:c>
      <x:c r="Q134" s="58" t="str">
        <x:v>Final regression passed: Buff PHP 230/230 (1,832 assertions), server PHP 149/149, frontend 44/44, type-check clean, and production build clean as applicable.</x:v>
      </x:c>
    </x:row>
    <x:row r="135" ht="54" customHeight="1">
      <x:c r="A135" s="57" t="str">
        <x:v>HEALTH-002</x:v>
      </x:c>
      <x:c r="B135" s="57" t="str">
        <x:v>Health data</x:v>
      </x:c>
      <x:c r="C135" s="57" t="str">
        <x:v>Connect and status</x:v>
      </x:c>
      <x:c r="D135" s="57" t="str">
        <x:v>iOS + Android</x:v>
      </x:c>
      <x:c r="E135" s="58" t="str">
        <x:v>As a mobile user, I can grant health permissions and see connection status.</x:v>
      </x:c>
      <x:c r="F135" s="58" t="str">
        <x:v>Connect requests appropriate foreground/background permissions; status reflects connected, permission-needed, queued, unavailable, and errors.</x:v>
      </x:c>
      <x:c r="G135" s="58" t="str">
        <x:v>POST/GET /apple-health/*; /health-connect/*</x:v>
      </x:c>
      <x:c r="H135" s="58" t="str">
        <x:v>app/Http/Controllers/AppleHealthController.php; app/Http/Controllers/HealthConnectController.php</x:v>
      </x:c>
      <x:c r="I135" s="58" t="str">
        <x:v>Indirect only</x:v>
      </x:c>
      <x:c r="J135" s="58" t="str">
        <x:v>Automated + native device</x:v>
      </x:c>
      <x:c r="K135" s="58" t="str">
        <x:v>Fail</x:v>
      </x:c>
      <x:c r="L135" s="58" t="str">
        <x:v>Android permissions passed, while iOS Apple Health authorization reproduced ERR-030.</x:v>
      </x:c>
      <x:c r="M135" s="58" t="str">
        <x:v>ERR-030</x:v>
      </x:c>
      <x:c r="N135" s="58" t="str">
        <x:v>Fixed</x:v>
      </x:c>
      <x:c r="O135" s="58" t="str">
        <x:v>Pass</x:v>
      </x:c>
      <x:c r="P135" s="58" t="str">
        <x:v>Pass</x:v>
      </x:c>
      <x:c r="Q135" s="58" t="str">
        <x:v>Health Connect permissions passed on Android and Apple Health authorization completed on iOS.</x:v>
      </x:c>
    </x:row>
    <x:row r="136" ht="54" customHeight="1">
      <x:c r="A136" s="57" t="str">
        <x:v>HEALTH-003</x:v>
      </x:c>
      <x:c r="B136" s="57" t="str">
        <x:v>Health data</x:v>
      </x:c>
      <x:c r="C136" s="57" t="str">
        <x:v>Import workouts</x:v>
      </x:c>
      <x:c r="D136" s="57" t="str">
        <x:v>iOS + Android</x:v>
      </x:c>
      <x:c r="E136" s="58" t="str">
        <x:v>As a user, health workouts with calories are imported into the correct dates.</x:v>
      </x:c>
      <x:c r="F136" s="58" t="str">
        <x:v>Imports create canonical external metadata, accept native payload forms, and do nothing after local sign-out.</x:v>
      </x:c>
      <x:c r="G136" s="58" t="str">
        <x:v>health-connect:import; apple-health:import</x:v>
      </x:c>
      <x:c r="H136" s="58" t="str">
        <x:v>app/Console/Commands; app/Services/HealthConnectWorkoutImporter.php</x:v>
      </x:c>
      <x:c r="I136" s="58" t="str">
        <x:v>AppleHealthImportTest; HealthConnectImportTest</x:v>
      </x:c>
      <x:c r="J136" s="58" t="str">
        <x:v>Automated + native device</x:v>
      </x:c>
      <x:c r="K136" s="58" t="str">
        <x:v>Pass</x:v>
      </x:c>
      <x:c r="L136" s="58" t="str">
        <x:v>The native import worker completed safely with zero emulator workout records.</x:v>
      </x:c>
      <x:c r="M136" s="58" t="str"/>
      <x:c r="N136" s="58" t="str">
        <x:v>Not needed</x:v>
      </x:c>
      <x:c r="O136" s="58" t="str">
        <x:v>Pass</x:v>
      </x:c>
      <x:c r="P136" s="58" t="str">
        <x:v>Pass</x:v>
      </x:c>
      <x:c r="Q136" s="58" t="str">
        <x:v>Native imports completed safely on Android and Apple Health sync completed on iOS.</x:v>
      </x:c>
    </x:row>
    <x:row r="137" ht="54" customHeight="1">
      <x:c r="A137" s="57" t="str">
        <x:v>HEALTH-004</x:v>
      </x:c>
      <x:c r="B137" s="57" t="str">
        <x:v>Health data</x:v>
      </x:c>
      <x:c r="C137" s="57" t="str">
        <x:v>Reconcile imported workouts</x:v>
      </x:c>
      <x:c r="D137" s="57" t="str">
        <x:v>iOS + Android</x:v>
      </x:c>
      <x:c r="E137" s="58" t="str">
        <x:v>As a user, imported workout edits/deletions reconcile cleanly.</x:v>
      </x:c>
      <x:c r="F137" s="58" t="str">
        <x:v>Existing external IDs update, missing records in the sync window delete, and locally ignored records do not reappear.</x:v>
      </x:c>
      <x:c r="G137" s="58" t="str">
        <x:v>Health import commands</x:v>
      </x:c>
      <x:c r="H137" s="58" t="str">
        <x:v>app/Services/HealthConnectWorkoutImporter.php</x:v>
      </x:c>
      <x:c r="I137" s="58" t="str">
        <x:v>AppleHealthImportTest; HealthConnectImportTest</x:v>
      </x:c>
      <x:c r="J137" s="58" t="str">
        <x:v>Automated</x:v>
      </x:c>
      <x:c r="K137" s="58" t="str">
        <x:v>Pass</x:v>
      </x:c>
      <x:c r="L137" s="58" t="str">
        <x:v>Relevant automated coverage passed in the 213-test PHP and 39-test frontend baseline.</x:v>
      </x:c>
      <x:c r="M137" s="58" t="str"/>
      <x:c r="N137" s="58" t="str">
        <x:v>Not needed</x:v>
      </x:c>
      <x:c r="O137" s="58" t="str">
        <x:v>Pass</x:v>
      </x:c>
      <x:c r="P137" s="58" t="str">
        <x:v>Pass</x:v>
      </x:c>
      <x:c r="Q137" s="58" t="str">
        <x:v>Final regression passed: Buff PHP 230/230 (1,832 assertions), server PHP 149/149, frontend 44/44, type-check clean, and production build clean as applicable.</x:v>
      </x:c>
    </x:row>
    <x:row r="138" ht="54" customHeight="1">
      <x:c r="A138" s="57" t="str">
        <x:v>HEALTH-005</x:v>
      </x:c>
      <x:c r="B138" s="57" t="str">
        <x:v>Health data</x:v>
      </x:c>
      <x:c r="C138" s="57" t="str">
        <x:v>Provider-scoped ignores</x:v>
      </x:c>
      <x:c r="D138" s="57" t="str">
        <x:v>iOS + Android</x:v>
      </x:c>
      <x:c r="E138" s="58" t="str">
        <x:v>As a user with both ecosystems, deleting one imported workout cannot hide an unrelated provider workout.</x:v>
      </x:c>
      <x:c r="F138" s="58" t="str">
        <x:v>Ignore identity includes provider/source plus external ID and remains unique for that combination.</x:v>
      </x:c>
      <x:c r="G138" s="58" t="str">
        <x:v>Imported workout deletion/import</x:v>
      </x:c>
      <x:c r="H138" s="58" t="str">
        <x:v>app/Http/Controllers/WorkoutController.php; app/Models/HealthConnectIgnoredWorkout.php</x:v>
      </x:c>
      <x:c r="I138" s="58" t="str">
        <x:v>None direct</x:v>
      </x:c>
      <x:c r="J138" s="58" t="str">
        <x:v>Automated</x:v>
      </x:c>
      <x:c r="K138" s="58" t="str">
        <x:v>Fail</x:v>
      </x:c>
      <x:c r="L138" s="58" t="str">
        <x:v>Reproduced ERR-009; see Errors.</x:v>
      </x:c>
      <x:c r="M138" s="58" t="str">
        <x:v>ERR-009</x:v>
      </x:c>
      <x:c r="N138" s="58" t="str">
        <x:v>Fixed</x:v>
      </x:c>
      <x:c r="O138" s="58" t="str">
        <x:v>Pass</x:v>
      </x:c>
      <x:c r="P138" s="58" t="str">
        <x:v>Pass</x:v>
      </x:c>
      <x:c r="Q138" s="58" t="str">
        <x:v>Linked regressions passed: ERR-009. See Errors for fix-specific evidence.</x:v>
      </x:c>
    </x:row>
    <x:row r="139" ht="54" customHeight="1">
      <x:c r="A139" s="57" t="str">
        <x:v>HEALTH-006</x:v>
      </x:c>
      <x:c r="B139" s="57" t="str">
        <x:v>Health data</x:v>
      </x:c>
      <x:c r="C139" s="57" t="str">
        <x:v>Manual sync queue</x:v>
      </x:c>
      <x:c r="D139" s="57" t="str">
        <x:v>iOS + Android</x:v>
      </x:c>
      <x:c r="E139" s="58" t="str">
        <x:v>As a user, Sync now queues native work and returns status promptly.</x:v>
      </x:c>
      <x:c r="F139" s="58" t="str">
        <x:v>The endpoint validates platform support/permissions, queues one job, and polling observes eventual import state.</x:v>
      </x:c>
      <x:c r="G139" s="58" t="str">
        <x:v>POST /apple-health/sync; /health-connect/sync</x:v>
      </x:c>
      <x:c r="H139" s="58" t="str">
        <x:v>app/Http/Controllers/AppleHealthController.php; app/Http/Controllers/HealthConnectController.php</x:v>
      </x:c>
      <x:c r="I139" s="58" t="str">
        <x:v>AppleHealthSyncTest; HealthConnectSyncTest</x:v>
      </x:c>
      <x:c r="J139" s="58" t="str">
        <x:v>Automated + native device</x:v>
      </x:c>
      <x:c r="K139" s="58" t="str">
        <x:v>Fail</x:v>
      </x:c>
      <x:c r="L139" s="58" t="str">
        <x:v>Android manual sync passed, while iOS Apple Health sync was blocked by ERR-030.</x:v>
      </x:c>
      <x:c r="M139" s="58" t="str">
        <x:v>ERR-030</x:v>
      </x:c>
      <x:c r="N139" s="58" t="str">
        <x:v>Fixed</x:v>
      </x:c>
      <x:c r="O139" s="58" t="str">
        <x:v>Pass</x:v>
      </x:c>
      <x:c r="P139" s="58" t="str">
        <x:v>Pass</x:v>
      </x:c>
      <x:c r="Q139" s="58" t="str">
        <x:v>Manual Health Connect work queued on Android and Apple Health sync returned successfully on iOS.</x:v>
      </x:c>
    </x:row>
    <x:row r="140" ht="54" customHeight="1">
      <x:c r="A140" s="57" t="str">
        <x:v>HEALTH-007</x:v>
      </x:c>
      <x:c r="B140" s="57" t="str">
        <x:v>Health data</x:v>
      </x:c>
      <x:c r="C140" s="57" t="str">
        <x:v>Background sync</x:v>
      </x:c>
      <x:c r="D140" s="57" t="str">
        <x:v>iOS + Android</x:v>
      </x:c>
      <x:c r="E140" s="58" t="str">
        <x:v>As a user, authorized health workouts refresh in the background.</x:v>
      </x:c>
      <x:c r="F140" s="58" t="str">
        <x:v>Both sync commands register every ten minutes; Android validates task IDs and background runtime state before executing.</x:v>
      </x:c>
      <x:c r="G140" s="58" t="str">
        <x:v>Scheduler/background tasks</x:v>
      </x:c>
      <x:c r="H140" s="58" t="str">
        <x:v>routes/console.php; native-plugins/background-tasks</x:v>
      </x:c>
      <x:c r="I140" s="58" t="str">
        <x:v>BackgroundTaskScheduleTest; native unit tests</x:v>
      </x:c>
      <x:c r="J140" s="58" t="str">
        <x:v>Automated + native device</x:v>
      </x:c>
      <x:c r="K140" s="58" t="str">
        <x:v>Pass</x:v>
      </x:c>
      <x:c r="L140" s="58" t="str">
        <x:v>Android JobScheduler recorded a successful HealthConnectSyncWorker run.</x:v>
      </x:c>
      <x:c r="M140" s="58" t="str"/>
      <x:c r="N140" s="58" t="str">
        <x:v>Not needed</x:v>
      </x:c>
      <x:c r="O140" s="58" t="str">
        <x:v>Pass</x:v>
      </x:c>
      <x:c r="P140" s="58" t="str">
        <x:v>Pass</x:v>
      </x:c>
      <x:c r="Q140" s="58" t="str">
        <x:v>Android JobScheduler completed and the iOS background schedule retained automated coverage.</x:v>
      </x:c>
    </x:row>
    <x:row r="141" ht="54" customHeight="1">
      <x:c r="A141" s="57" t="str">
        <x:v>SYNC-001</x:v>
      </x:c>
      <x:c r="B141" s="57" t="str">
        <x:v>Cloud sync</x:v>
      </x:c>
      <x:c r="C141" s="57" t="str">
        <x:v>Queue local changes</x:v>
      </x:c>
      <x:c r="D141" s="57" t="str">
        <x:v>All</x:v>
      </x:c>
      <x:c r="E141" s="58" t="str">
        <x:v>As a signed-in user, local creates, updates, and deletes are queued for sync.</x:v>
      </x:c>
      <x:c r="F141" s="58" t="str">
        <x:v>Supported models emit complete normalized snapshots and fresh tombstones without querying templates or views.</x:v>
      </x:c>
      <x:c r="G141" s="58" t="str">
        <x:v>Model observer</x:v>
      </x:c>
      <x:c r="H141" s="58" t="str">
        <x:v>app/Observers/SyncableObserver.php; app/Models/SyncedModel.php</x:v>
      </x:c>
      <x:c r="I141" s="58" t="str">
        <x:v>BuffSyncTest</x:v>
      </x:c>
      <x:c r="J141" s="58" t="str">
        <x:v>Automated</x:v>
      </x:c>
      <x:c r="K141" s="58" t="str">
        <x:v>Pass</x:v>
      </x:c>
      <x:c r="L141" s="58" t="str">
        <x:v>Relevant automated coverage passed in the 213-test PHP and 39-test frontend baseline.</x:v>
      </x:c>
      <x:c r="M141" s="58" t="str"/>
      <x:c r="N141" s="58" t="str">
        <x:v>Not needed</x:v>
      </x:c>
      <x:c r="O141" s="58" t="str">
        <x:v>Pass</x:v>
      </x:c>
      <x:c r="P141" s="58" t="str">
        <x:v>Pass</x:v>
      </x:c>
      <x:c r="Q141" s="58" t="str">
        <x:v>Final regression passed: Buff PHP 230/230 (1,832 assertions), server PHP 149/149, frontend 44/44, type-check clean, and production build clean as applicable.</x:v>
      </x:c>
    </x:row>
    <x:row r="142" ht="54" customHeight="1">
      <x:c r="A142" s="57" t="str">
        <x:v>SYNC-002</x:v>
      </x:c>
      <x:c r="B142" s="57" t="str">
        <x:v>Cloud sync</x:v>
      </x:c>
      <x:c r="C142" s="57" t="str">
        <x:v>Push and pull</x:v>
      </x:c>
      <x:c r="D142" s="57" t="str">
        <x:v>All</x:v>
      </x:c>
      <x:c r="E142" s="58" t="str">
        <x:v>As a signed-in user, Buff sends local changes and receives remote changes.</x:v>
      </x:c>
      <x:c r="F142" s="58" t="str">
        <x:v>One atomic sync applies acknowledgements and remote records, advances cursor only on valid completion, and queues follow-up attachment work.</x:v>
      </x:c>
      <x:c r="G142" s="58" t="str">
        <x:v>POST /sync</x:v>
      </x:c>
      <x:c r="H142" s="58" t="str">
        <x:v>app/Services/BuffSyncService.php</x:v>
      </x:c>
      <x:c r="I142" s="58" t="str">
        <x:v>BuffSyncTest</x:v>
      </x:c>
      <x:c r="J142" s="58" t="str">
        <x:v>Automated</x:v>
      </x:c>
      <x:c r="K142" s="58" t="str">
        <x:v>Pass</x:v>
      </x:c>
      <x:c r="L142" s="58" t="str">
        <x:v>Relevant automated coverage passed in the 213-test PHP and 39-test frontend baseline.</x:v>
      </x:c>
      <x:c r="M142" s="58" t="str"/>
      <x:c r="N142" s="58" t="str">
        <x:v>Not needed</x:v>
      </x:c>
      <x:c r="O142" s="58" t="str">
        <x:v>Pass</x:v>
      </x:c>
      <x:c r="P142" s="58" t="str">
        <x:v>Pass</x:v>
      </x:c>
      <x:c r="Q142" s="58" t="str">
        <x:v>Final regression passed: Buff PHP 230/230 (1,832 assertions), server PHP 149/149, frontend 44/44, type-check clean, and production build clean as applicable.</x:v>
      </x:c>
    </x:row>
    <x:row r="143" ht="54" customHeight="1">
      <x:c r="A143" s="57" t="str">
        <x:v>SYNC-003</x:v>
      </x:c>
      <x:c r="B143" s="57" t="str">
        <x:v>Cloud sync</x:v>
      </x:c>
      <x:c r="C143" s="57" t="str">
        <x:v>Conflict resolution</x:v>
      </x:c>
      <x:c r="D143" s="57" t="str">
        <x:v>All</x:v>
      </x:c>
      <x:c r="E143" s="58" t="str">
        <x:v>As a multi-device user, concurrent changes resolve deterministically.</x:v>
      </x:c>
      <x:c r="F143" s="58" t="str">
        <x:v>Timestamp/device rules preserve the authoritative record, reconcile body metrics sharing a date to one canonical identity, and never acknowledge a newer local edit with an older response.</x:v>
      </x:c>
      <x:c r="G143" s="58" t="str">
        <x:v>POST /sync</x:v>
      </x:c>
      <x:c r="H143" s="58" t="str">
        <x:v>app/Services/BuffSyncService.php; /Users/mason/Sites/buff-server/app/Services/SyncService.php</x:v>
      </x:c>
      <x:c r="I143" s="58" t="str">
        <x:v>BuffSyncTest; server SyncTest</x:v>
      </x:c>
      <x:c r="J143" s="58" t="str">
        <x:v>Automated</x:v>
      </x:c>
      <x:c r="K143" s="58" t="str">
        <x:v>Fail</x:v>
      </x:c>
      <x:c r="L143" s="58" t="str">
        <x:v>Reproduced ERR-010; see Errors.</x:v>
      </x:c>
      <x:c r="M143" s="58" t="str">
        <x:v>ERR-010</x:v>
      </x:c>
      <x:c r="N143" s="58" t="str">
        <x:v>Fixed</x:v>
      </x:c>
      <x:c r="O143" s="58" t="str">
        <x:v>Pass</x:v>
      </x:c>
      <x:c r="P143" s="58" t="str">
        <x:v>Pass</x:v>
      </x:c>
      <x:c r="Q143" s="58" t="str">
        <x:v>Linked regressions passed: ERR-010. See Errors for fix-specific evidence.</x:v>
      </x:c>
    </x:row>
    <x:row r="144" ht="54" customHeight="1">
      <x:c r="A144" s="57" t="str">
        <x:v>SYNC-004</x:v>
      </x:c>
      <x:c r="B144" s="57" t="str">
        <x:v>Cloud sync</x:v>
      </x:c>
      <x:c r="C144" s="57" t="str">
        <x:v>Pagination</x:v>
      </x:c>
      <x:c r="D144" s="57" t="str">
        <x:v>All</x:v>
      </x:c>
      <x:c r="E144" s="58" t="str">
        <x:v>As a user with many changes, all server pages sync.</x:v>
      </x:c>
      <x:c r="F144" s="58" t="str">
        <x:v>The client follows every cursor page and performs the required empty later pushes without dropping data.</x:v>
      </x:c>
      <x:c r="G144" s="58" t="str">
        <x:v>POST /sync</x:v>
      </x:c>
      <x:c r="H144" s="58" t="str">
        <x:v>app/Services/BuffSyncService.php</x:v>
      </x:c>
      <x:c r="I144" s="58" t="str">
        <x:v>BuffSyncTest</x:v>
      </x:c>
      <x:c r="J144" s="58" t="str">
        <x:v>Automated</x:v>
      </x:c>
      <x:c r="K144" s="58" t="str">
        <x:v>Pass</x:v>
      </x:c>
      <x:c r="L144" s="58" t="str">
        <x:v>Relevant automated coverage passed in the 213-test PHP and 39-test frontend baseline.</x:v>
      </x:c>
      <x:c r="M144" s="58" t="str"/>
      <x:c r="N144" s="58" t="str">
        <x:v>Not needed</x:v>
      </x:c>
      <x:c r="O144" s="58" t="str">
        <x:v>Pass</x:v>
      </x:c>
      <x:c r="P144" s="58" t="str">
        <x:v>Pass</x:v>
      </x:c>
      <x:c r="Q144" s="58" t="str">
        <x:v>Final regression passed: Buff PHP 230/230 (1,832 assertions), server PHP 149/149, frontend 44/44, type-check clean, and production build clean as applicable.</x:v>
      </x:c>
    </x:row>
    <x:row r="145" ht="54" customHeight="1">
      <x:c r="A145" s="57" t="str">
        <x:v>SYNC-005</x:v>
      </x:c>
      <x:c r="B145" s="57" t="str">
        <x:v>Cloud sync</x:v>
      </x:c>
      <x:c r="C145" s="57" t="str">
        <x:v>Failure safety</x:v>
      </x:c>
      <x:c r="D145" s="57" t="str">
        <x:v>All</x:v>
      </x:c>
      <x:c r="E145" s="58" t="str">
        <x:v>As a user, malformed or failed sync responses do not lose local work.</x:v>
      </x:c>
      <x:c r="F145" s="58" t="str">
        <x:v>Cursor and outbox remain unchanged on malformed response; in-flight responses after logout are discarded; token rotation remains atomic.</x:v>
      </x:c>
      <x:c r="G145" s="58" t="str">
        <x:v>POST /sync</x:v>
      </x:c>
      <x:c r="H145" s="58" t="str">
        <x:v>app/Services/BuffSyncService.php</x:v>
      </x:c>
      <x:c r="I145" s="58" t="str">
        <x:v>BuffSyncTest</x:v>
      </x:c>
      <x:c r="J145" s="58" t="str">
        <x:v>Automated</x:v>
      </x:c>
      <x:c r="K145" s="58" t="str">
        <x:v>Pass</x:v>
      </x:c>
      <x:c r="L145" s="58" t="str">
        <x:v>Relevant automated coverage passed in the 213-test PHP and 39-test frontend baseline.</x:v>
      </x:c>
      <x:c r="M145" s="58" t="str"/>
      <x:c r="N145" s="58" t="str">
        <x:v>Not needed</x:v>
      </x:c>
      <x:c r="O145" s="58" t="str">
        <x:v>Pass</x:v>
      </x:c>
      <x:c r="P145" s="58" t="str">
        <x:v>Pass</x:v>
      </x:c>
      <x:c r="Q145" s="58" t="str">
        <x:v>Final regression passed: Buff PHP 230/230 (1,832 assertions), server PHP 149/149, frontend 44/44, type-check clean, and production build clean as applicable.</x:v>
      </x:c>
    </x:row>
    <x:row r="146" ht="54" customHeight="1">
      <x:c r="A146" s="57" t="str">
        <x:v>SYNC-006</x:v>
      </x:c>
      <x:c r="B146" s="57" t="str">
        <x:v>Cloud sync</x:v>
      </x:c>
      <x:c r="C146" s="57" t="str">
        <x:v>No local transfer surface</x:v>
      </x:c>
      <x:c r="D146" s="57" t="str">
        <x:v>All</x:v>
      </x:c>
      <x:c r="E146" s="58" t="str">
        <x:v>As a user, sensitive local data is not exposed through unsupported import/export routes.</x:v>
      </x:c>
      <x:c r="F146" s="58" t="str">
        <x:v>No local export is served and local import requests are rejected.</x:v>
      </x:c>
      <x:c r="G146" s="58" t="str">
        <x:v>Application routes</x:v>
      </x:c>
      <x:c r="H146" s="58" t="str">
        <x:v>routes/web.php</x:v>
      </x:c>
      <x:c r="I146" s="58" t="str">
        <x:v>DataTransferTest</x:v>
      </x:c>
      <x:c r="J146" s="58" t="str">
        <x:v>Automated</x:v>
      </x:c>
      <x:c r="K146" s="58" t="str">
        <x:v>Pass</x:v>
      </x:c>
      <x:c r="L146" s="58" t="str">
        <x:v>Relevant automated coverage passed in the 213-test PHP and 39-test frontend baseline.</x:v>
      </x:c>
      <x:c r="M146" s="58" t="str"/>
      <x:c r="N146" s="58" t="str">
        <x:v>Not needed</x:v>
      </x:c>
      <x:c r="O146" s="58" t="str">
        <x:v>Pass</x:v>
      </x:c>
      <x:c r="P146" s="58" t="str">
        <x:v>Pass</x:v>
      </x:c>
      <x:c r="Q146" s="58" t="str">
        <x:v>Final regression passed: Buff PHP 230/230 (1,832 assertions), server PHP 149/149, frontend 44/44, type-check clean, and production build clean as applicable.</x:v>
      </x:c>
    </x:row>
    <x:row r="147" ht="54" customHeight="1">
      <x:c r="A147" s="57" t="str">
        <x:v>SYNC-007</x:v>
      </x:c>
      <x:c r="B147" s="57" t="str">
        <x:v>Security</x:v>
      </x:c>
      <x:c r="C147" s="57" t="str">
        <x:v>Credential bundling</x:v>
      </x:c>
      <x:c r="D147" s="57" t="str">
        <x:v>iOS + Android</x:v>
      </x:c>
      <x:c r="E147" s="58" t="str">
        <x:v>As a user, account credentials and encryption keys are not shipped in native bundles.</x:v>
      </x:c>
      <x:c r="F147" s="58" t="str">
        <x:v>Cleanup/bundle rules exclude tokens, keys, and sensitive local credential material.</x:v>
      </x:c>
      <x:c r="G147" s="58" t="str">
        <x:v>Native bundle</x:v>
      </x:c>
      <x:c r="H147" s="58" t="str">
        <x:v>config/nativephp.php; app/Services/BuffCredentialStore.php</x:v>
      </x:c>
      <x:c r="I147" s="58" t="str">
        <x:v>BuffAuthenticationTest</x:v>
      </x:c>
      <x:c r="J147" s="58" t="str">
        <x:v>Automated</x:v>
      </x:c>
      <x:c r="K147" s="58" t="str">
        <x:v>Pass</x:v>
      </x:c>
      <x:c r="L147" s="58" t="str">
        <x:v>Relevant automated coverage passed in the 213-test PHP and 39-test frontend baseline.</x:v>
      </x:c>
      <x:c r="M147" s="58" t="str"/>
      <x:c r="N147" s="58" t="str">
        <x:v>Not needed</x:v>
      </x:c>
      <x:c r="O147" s="58" t="str">
        <x:v>Pass</x:v>
      </x:c>
      <x:c r="P147" s="58" t="str">
        <x:v>Pass</x:v>
      </x:c>
      <x:c r="Q147" s="58" t="str">
        <x:v>Final regression passed: Buff PHP 230/230 (1,832 assertions), server PHP 149/149, frontend 44/44, type-check clean, and production build clean as applicable.</x:v>
      </x:c>
    </x:row>
  </x:sheetData>
  <x:mergeCells>
    <x:mergeCell ref="A1:Q1"/>
    <x:mergeCell ref="A2:Q2"/>
  </x:mergeCells>
  <x:conditionalFormatting sqref="K5:K147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</x:conditionalFormatting>
  <x:conditionalFormatting sqref="O5:O147">
    <x:cfRule type="containsText" dxfId="3" priority="4" operator="containsText" text="Pass"/>
    <x:cfRule type="containsText" dxfId="4" priority="5" operator="containsText" text="Fail"/>
    <x:cfRule type="containsText" dxfId="5" priority="6" operator="containsText" text="Blocked"/>
  </x:conditionalFormatting>
  <x:conditionalFormatting sqref="P5:P147">
    <x:cfRule type="containsText" dxfId="6" priority="7" operator="containsText" text="Pass"/>
    <x:cfRule type="containsText" dxfId="7" priority="8" operator="containsText" text="Fail"/>
    <x:cfRule type="containsText" dxfId="8" priority="9" operator="containsText" text="Blocked"/>
  </x:conditionalFormatting>
  <x:dataValidations count="3">
    <x:dataValidation type="list" sqref="K5:K147">
      <x:formula1>"Pending,Pass,Fail,Blocked,Not applicable"</x:formula1>
    </x:dataValidation>
    <x:dataValidation type="list" sqref="N5:N147">
      <x:formula1>"Not needed,Pending,In progress,Fixed,Deferred"</x:formula1>
    </x:dataValidation>
    <x:dataValidation type="list" sqref="O5:P147">
      <x:formula1>"Pending,Pass,Fail,Blocked,Not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7fb4fdec9a4d1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0" hidden="0" customWidth="1"/>
    <x:col min="4" max="4" width="18" hidden="0" customWidth="1"/>
    <x:col min="5" max="5" width="34" hidden="0" customWidth="1"/>
    <x:col min="6" max="6" width="42" hidden="0" customWidth="1"/>
    <x:col min="7" max="7" width="45" hidden="0" customWidth="1"/>
    <x:col min="8" max="8" width="48" hidden="0" customWidth="1"/>
    <x:col min="9" max="9" width="16" hidden="0" customWidth="1"/>
    <x:col min="10" max="10" width="20" hidden="0" customWidth="1"/>
    <x:col min="11" max="11" width="38" hidden="0" customWidth="1"/>
    <x:col min="12" max="12" width="16" hidden="0" customWidth="1"/>
    <x:col min="13" max="13" width="40" hidden="0" customWidth="1"/>
    <x:col min="14" max="14" width="16" hidden="0" customWidth="1"/>
    <x:col min="15" max="15" width="48" hidden="0" customWidth="1"/>
    <x:col min="16" max="16" width="14" hidden="0" customWidth="1"/>
  </x:cols>
  <x:sheetData>
    <x:row r="1" ht="32" customHeight="1">
      <x:c r="A1" s="50" t="str">
        <x:v>Defect ledger</x:v>
      </x:c>
      <x:c r="B1" s="50"/>
      <x:c r="C1" s="50"/>
      <x:c r="D1" s="50"/>
      <x:c r="E1" s="50"/>
      <x:c r="F1" s="50"/>
      <x:c r="G1" s="50"/>
      <x:c r="H1" s="50"/>
      <x:c r="I1" s="50"/>
      <x:c r="J1" s="50"/>
      <x:c r="K1" s="50"/>
      <x:c r="L1" s="50"/>
      <x:c r="M1" s="50"/>
      <x:c r="N1" s="50"/>
      <x:c r="O1" s="50"/>
      <x:c r="P1" s="50"/>
    </x:row>
    <x:row r="2" ht="22" customHeight="1">
      <x:c r="A2" s="51" t="str">
        <x:v>Static-review findings begin as Needs reproduction; only executable evidence advances them to Reproduced.</x:v>
      </x:c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  <x:c r="N2" s="51"/>
      <x:c r="O2" s="51"/>
      <x:c r="P2" s="51"/>
    </x:row>
    <x:row r="4" ht="32" customHeight="1">
      <x:c r="A4" s="61" t="str">
        <x:v>Error ID</x:v>
      </x:c>
      <x:c r="B4" s="61" t="str">
        <x:v>Story IDs</x:v>
      </x:c>
      <x:c r="C4" s="61" t="str">
        <x:v>Severity</x:v>
      </x:c>
      <x:c r="D4" s="61" t="str">
        <x:v>Type</x:v>
      </x:c>
      <x:c r="E4" s="61" t="str">
        <x:v>Summary</x:v>
      </x:c>
      <x:c r="F4" s="61" t="str">
        <x:v>Expected behavior</x:v>
      </x:c>
      <x:c r="G4" s="61" t="str">
        <x:v>Observed risk / failure</x:v>
      </x:c>
      <x:c r="H4" s="61" t="str">
        <x:v>Source code</x:v>
      </x:c>
      <x:c r="I4" s="61" t="str">
        <x:v>Discovery</x:v>
      </x:c>
      <x:c r="J4" s="61" t="str">
        <x:v>Reproduction status</x:v>
      </x:c>
      <x:c r="K4" s="61" t="str">
        <x:v>Reproduction evidence</x:v>
      </x:c>
      <x:c r="L4" s="61" t="str">
        <x:v>Fix status</x:v>
      </x:c>
      <x:c r="M4" s="61" t="str">
        <x:v>Fix summary</x:v>
      </x:c>
      <x:c r="N4" s="61" t="str">
        <x:v>Retest status</x:v>
      </x:c>
      <x:c r="O4" s="61" t="str">
        <x:v>Retest evidence</x:v>
      </x:c>
      <x:c r="P4" s="61" t="str">
        <x:v>Final status</x:v>
      </x:c>
    </x:row>
    <x:row r="5" ht="64" customHeight="1">
      <x:c r="A5" s="58" t="str">
        <x:v>ERR-001</x:v>
      </x:c>
      <x:c r="B5" s="58" t="str">
        <x:v>AUTH-009</x:v>
      </x:c>
      <x:c r="C5" s="58" t="str">
        <x:v>P2</x:v>
      </x:c>
      <x:c r="D5" s="58" t="str">
        <x:v>Logic</x:v>
      </x:c>
      <x:c r="E5" s="58" t="str">
        <x:v>Returning social logins keep a stale server timezone.</x:v>
      </x:c>
      <x:c r="F5" s="58" t="str">
        <x:v>Update timezone from the current social sign-in request.</x:v>
      </x:c>
      <x:c r="G5" s="58" t="str">
        <x:v>Daily meal-analysis quota boundaries can use the user’s previous timezone.</x:v>
      </x:c>
      <x:c r="H5" s="58" t="str">
        <x:v>/Users/mason/Sites/buff-server/app/Http/Controllers/Api/V1/SocialAuthenticationController.php</x:v>
      </x:c>
      <x:c r="I5" s="58" t="str">
        <x:v>Static review</x:v>
      </x:c>
      <x:c r="J5" s="58" t="str">
        <x:v>Reproduced</x:v>
      </x:c>
      <x:c r="K5" s="58" t="str">
        <x:v>SocialAuthenticationTest: returning user stayed in America/New_York instead of Europe/London.</x:v>
      </x:c>
      <x:c r="L5" s="58" t="str">
        <x:v>Fixed</x:v>
      </x:c>
      <x:c r="M5" s="58" t="str">
        <x:v>Refresh the server timezone on every successful social sign-in.</x:v>
      </x:c>
      <x:c r="N5" s="58" t="str">
        <x:v>Pass</x:v>
      </x:c>
      <x:c r="O5" s="58" t="str">
        <x:v>Server SocialAuthenticationTest passed for returning-user timezone refresh.</x:v>
      </x:c>
      <x:c r="P5" s="58" t="str">
        <x:v>Resolved</x:v>
      </x:c>
    </x:row>
    <x:row r="6" ht="64" customHeight="1">
      <x:c r="A6" s="58" t="str">
        <x:v>ERR-002</x:v>
      </x:c>
      <x:c r="B6" s="58" t="str">
        <x:v>ONB-007</x:v>
      </x:c>
      <x:c r="C6" s="58" t="str">
        <x:v>P1</x:v>
      </x:c>
      <x:c r="D6" s="58" t="str">
        <x:v>Data integrity</x:v>
      </x:c>
      <x:c r="E6" s="58" t="str">
        <x:v>Onboarding writes are not atomic.</x:v>
      </x:c>
      <x:c r="F6" s="58" t="str">
        <x:v>Commit goals, profile, preferences, and initial weight together.</x:v>
      </x:c>
      <x:c r="G6" s="58" t="str">
        <x:v>A later failure can leave goals present and make onboarding unreachable for retry.</x:v>
      </x:c>
      <x:c r="H6" s="58" t="str">
        <x:v>app/Http/Controllers/OnboardingController.php</x:v>
      </x:c>
      <x:c r="I6" s="58" t="str">
        <x:v>Static review</x:v>
      </x:c>
      <x:c r="J6" s="58" t="str">
        <x:v>Reproduced</x:v>
      </x:c>
      <x:c r="K6" s="58" t="str">
        <x:v>OnboardingTest: simulated profile write failure left one daily_goals row.</x:v>
      </x:c>
      <x:c r="L6" s="58" t="str">
        <x:v>Fixed</x:v>
      </x:c>
      <x:c r="M6" s="58" t="str">
        <x:v>Commit onboarding goals, profile, preferences, and initial metric in one database transaction.</x:v>
      </x:c>
      <x:c r="N6" s="58" t="str">
        <x:v>Pass</x:v>
      </x:c>
      <x:c r="O6" s="58" t="str">
        <x:v>Onboarding rollback regression passed; the complete Buff suite passed 228/228.</x:v>
      </x:c>
      <x:c r="P6" s="58" t="str">
        <x:v>Resolved</x:v>
      </x:c>
    </x:row>
    <x:row r="7" ht="64" customHeight="1">
      <x:c r="A7" s="58" t="str">
        <x:v>ERR-003</x:v>
      </x:c>
      <x:c r="B7" s="58" t="str">
        <x:v>TOD-001; ADD-001; MAC-003</x:v>
      </x:c>
      <x:c r="C7" s="58" t="str">
        <x:v>P1</x:v>
      </x:c>
      <x:c r="D7" s="58" t="str">
        <x:v>Reliability</x:v>
      </x:c>
      <x:c r="E7" s="58" t="str">
        <x:v>Invalid date query values can throw during Carbon parsing.</x:v>
      </x:c>
      <x:c r="F7" s="58" t="str">
        <x:v>Reject or normalize invalid dates with controlled feedback.</x:v>
      </x:c>
      <x:c r="G7" s="58" t="str">
        <x:v>Dashboard, Add, or macro breakdown can return a server error.</x:v>
      </x:c>
      <x:c r="H7" s="58" t="str">
        <x:v>app/Http/Controllers/DashboardController.php; app/Http/Controllers/MealController.php; app/Http/Controllers/MacroController.php</x:v>
      </x:c>
      <x:c r="I7" s="58" t="str">
        <x:v>Static review</x:v>
      </x:c>
      <x:c r="J7" s="58" t="str">
        <x:v>Reproduced</x:v>
      </x:c>
      <x:c r="K7" s="58" t="str">
        <x:v>Dashboard, Add, and macro regression tests each returned HTTP 500 for date=not-a-date.</x:v>
      </x:c>
      <x:c r="L7" s="58" t="str">
        <x:v>Fixed</x:v>
      </x:c>
      <x:c r="M7" s="58" t="str">
        <x:v>Validate nullable date query inputs before Carbon parsing on Today, Add, and Macro routes.</x:v>
      </x:c>
      <x:c r="N7" s="58" t="str">
        <x:v>Pass</x:v>
      </x:c>
      <x:c r="O7" s="58" t="str">
        <x:v>All three invalid-date regressions return controlled redirects/errors; full suite passed.</x:v>
      </x:c>
      <x:c r="P7" s="58" t="str">
        <x:v>Resolved</x:v>
      </x:c>
    </x:row>
    <x:row r="8" ht="64" customHeight="1">
      <x:c r="A8" s="58" t="str">
        <x:v>ERR-004</x:v>
      </x:c>
      <x:c r="B8" s="58" t="str">
        <x:v>WEEK-002</x:v>
      </x:c>
      <x:c r="C8" s="58" t="str">
        <x:v>P2</x:v>
      </x:c>
      <x:c r="D8" s="58" t="str">
        <x:v>Logic</x:v>
      </x:c>
      <x:c r="E8" s="58" t="str">
        <x:v>The advertised 90-day custom range permits 91 inclusive days.</x:v>
      </x:c>
      <x:c r="F8" s="58" t="str">
        <x:v>Treat inclusive start/end as at most 90 calendar dates.</x:v>
      </x:c>
      <x:c r="G8" s="58" t="str">
        <x:v>diffInDays() === 90 accepts 91 dates.</x:v>
      </x:c>
      <x:c r="H8" s="58" t="str">
        <x:v>app/Http/Controllers/WeeklySummaryController.php</x:v>
      </x:c>
      <x:c r="I8" s="58" t="str">
        <x:v>Static review</x:v>
      </x:c>
      <x:c r="J8" s="58" t="str">
        <x:v>Reproduced</x:v>
      </x:c>
      <x:c r="K8" s="58" t="str">
        <x:v>WeeklySummaryTest: a 91-date inclusive range returned HTTP 200.</x:v>
      </x:c>
      <x:c r="L8" s="58" t="str">
        <x:v>Fixed</x:v>
      </x:c>
      <x:c r="M8" s="58" t="str">
        <x:v>Reject ranges whose date difference is 90 days or more, limiting the inclusive period to 90 dates.</x:v>
      </x:c>
      <x:c r="N8" s="58" t="str">
        <x:v>Pass</x:v>
      </x:c>
      <x:c r="O8" s="58" t="str">
        <x:v>Weekly inclusive-range boundary regression passed.</x:v>
      </x:c>
      <x:c r="P8" s="58" t="str">
        <x:v>Resolved</x:v>
      </x:c>
    </x:row>
    <x:row r="9" ht="64" customHeight="1">
      <x:c r="A9" s="58" t="str">
        <x:v>ERR-005</x:v>
      </x:c>
      <x:c r="B9" s="58" t="str">
        <x:v>SET-007</x:v>
      </x:c>
      <x:c r="C9" s="58" t="str">
        <x:v>P2</x:v>
      </x:c>
      <x:c r="D9" s="58" t="str">
        <x:v>UX / logistics</x:v>
      </x:c>
      <x:c r="E9" s="58" t="str">
        <x:v>Reminder settings remain enabled when native scheduling fails.</x:v>
      </x:c>
      <x:c r="F9" s="58" t="str">
        <x:v>Keep the UI aligned with scheduled native state and provide a retry path.</x:v>
      </x:c>
      <x:c r="G9" s="58" t="str">
        <x:v>Only a flash message reports failure while saved settings still claim reminders are on.</x:v>
      </x:c>
      <x:c r="H9" s="58" t="str">
        <x:v>app/Http/Controllers/SettingsController.php; app/Services/MealReminderBridge.php</x:v>
      </x:c>
      <x:c r="I9" s="58" t="str">
        <x:v>Static review</x:v>
      </x:c>
      <x:c r="J9" s="58" t="str">
        <x:v>Reproduced</x:v>
      </x:c>
      <x:c r="K9" s="58" t="str">
        <x:v>SettingsTest: all three failed native reminders remained saved as enabled.</x:v>
      </x:c>
      <x:c r="L9" s="58" t="str">
        <x:v>Fixed</x:v>
      </x:c>
      <x:c r="M9" s="58" t="str">
        <x:v>Schedule native reminders before persisting; scheduling errors leave the prior saved state unchanged.</x:v>
      </x:c>
      <x:c r="N9" s="58" t="str">
        <x:v>Pass</x:v>
      </x:c>
      <x:c r="O9" s="58" t="str">
        <x:v>Reminder scheduling-failure regression preserved the old state.</x:v>
      </x:c>
      <x:c r="P9" s="58" t="str">
        <x:v>Resolved</x:v>
      </x:c>
    </x:row>
    <x:row r="10" ht="64" customHeight="1">
      <x:c r="A10" s="58" t="str">
        <x:v>ERR-006</x:v>
      </x:c>
      <x:c r="B10" s="58" t="str">
        <x:v>RECIPE-005</x:v>
      </x:c>
      <x:c r="C10" s="58" t="str">
        <x:v>P2</x:v>
      </x:c>
      <x:c r="D10" s="58" t="str">
        <x:v>Data integrity</x:v>
      </x:c>
      <x:c r="E10" s="58" t="str">
        <x:v>Recipe can persist before an invalid redirect date throws.</x:v>
      </x:c>
      <x:c r="F10" s="58" t="str">
        <x:v>Validate/parse date before saving.</x:v>
      </x:c>
      <x:c r="G10" s="58" t="str">
        <x:v>The request can report an error after the recipe was created.</x:v>
      </x:c>
      <x:c r="H10" s="58" t="str">
        <x:v>app/Http/Controllers/RecipeController.php</x:v>
      </x:c>
      <x:c r="I10" s="58" t="str">
        <x:v>Static review</x:v>
      </x:c>
      <x:c r="J10" s="58" t="str">
        <x:v>Reproduced</x:v>
      </x:c>
      <x:c r="K10" s="58" t="str">
        <x:v>RecipeTest: invalid date threw HTTP 500 after recipe creation.</x:v>
      </x:c>
      <x:c r="L10" s="58" t="str">
        <x:v>Fixed</x:v>
      </x:c>
      <x:c r="M10" s="58" t="str">
        <x:v>Validate the recipe redirect date before creating the recipe.</x:v>
      </x:c>
      <x:c r="N10" s="58" t="str">
        <x:v>Pass</x:v>
      </x:c>
      <x:c r="O10" s="58" t="str">
        <x:v>Invalid-date recipe regression passed with no persisted recipe.</x:v>
      </x:c>
      <x:c r="P10" s="58" t="str">
        <x:v>Resolved</x:v>
      </x:c>
    </x:row>
    <x:row r="11" ht="64" customHeight="1">
      <x:c r="A11" s="58" t="str">
        <x:v>ERR-007</x:v>
      </x:c>
      <x:c r="B11" s="58" t="str">
        <x:v>RECIPE-006</x:v>
      </x:c>
      <x:c r="C11" s="58" t="str">
        <x:v>P1</x:v>
      </x:c>
      <x:c r="D11" s="58" t="str">
        <x:v>Logic</x:v>
      </x:c>
      <x:c r="E11" s="58" t="str">
        <x:v>Product recipe ingredient unit can disagree with its nutrition unit.</x:v>
      </x:c>
      <x:c r="F11" s="58" t="str">
        <x:v>Require the product nutrition unit unless explicit conversion exists.</x:v>
      </x:c>
      <x:c r="G11" s="58" t="str">
        <x:v>Gram nutrition may be treated as millilitres or vice versa.</x:v>
      </x:c>
      <x:c r="H11" s="58" t="str">
        <x:v>app/Http/Controllers/RecipeController.php; app/Services/NutritionCalculator.php</x:v>
      </x:c>
      <x:c r="I11" s="58" t="str">
        <x:v>Static review</x:v>
      </x:c>
      <x:c r="J11" s="58" t="str">
        <x:v>Reproduced</x:v>
      </x:c>
      <x:c r="K11" s="58" t="str">
        <x:v>RecipeTest: gram-based yoghurt was accepted as a millilitre ingredient.</x:v>
      </x:c>
      <x:c r="L11" s="58" t="str">
        <x:v>Fixed</x:v>
      </x:c>
      <x:c r="M11" s="58" t="str">
        <x:v>Require product ingredient units to equal the product nutrition unit.</x:v>
      </x:c>
      <x:c r="N11" s="58" t="str">
        <x:v>Pass</x:v>
      </x:c>
      <x:c r="O11" s="58" t="str">
        <x:v>Product nutrition-unit mismatch regression passed.</x:v>
      </x:c>
      <x:c r="P11" s="58" t="str">
        <x:v>Resolved</x:v>
      </x:c>
    </x:row>
    <x:row r="12" ht="64" customHeight="1">
      <x:c r="A12" s="58" t="str">
        <x:v>ERR-008</x:v>
      </x:c>
      <x:c r="B12" s="58" t="str">
        <x:v>PHOTO-007</x:v>
      </x:c>
      <x:c r="C12" s="58" t="str">
        <x:v>P1</x:v>
      </x:c>
      <x:c r="D12" s="58" t="str">
        <x:v>Data loss</x:v>
      </x:c>
      <x:c r="E12" s="58" t="str">
        <x:v>Pending meal-photo confirmation is silently removed after one day.</x:v>
      </x:c>
      <x:c r="F12" s="58" t="str">
        <x:v>Retain or visibly expire retry state in agreement with the server draft lifetime.</x:v>
      </x:c>
      <x:c r="G12" s="58" t="str">
        <x:v>Offline users can lose promised meal-photo attachment without feedback.</x:v>
      </x:c>
      <x:c r="H12" s="58" t="str">
        <x:v>app/Services/BuffSyncService.php; /Users/mason/Sites/buff-server/app/Services/MealAnalysisService.php</x:v>
      </x:c>
      <x:c r="I12" s="58" t="str">
        <x:v>Static review</x:v>
      </x:c>
      <x:c r="J12" s="58" t="str">
        <x:v>Reproduced</x:v>
      </x:c>
      <x:c r="K12" s="58" t="str">
        <x:v>MealPhotoIntegrationTest: a two-day-old pending confirmation was deleted without an API retry.</x:v>
      </x:c>
      <x:c r="L12" s="58" t="str">
        <x:v>Fixed</x:v>
      </x:c>
      <x:c r="M12" s="58" t="str">
        <x:v>Retain old pending meal-photo confirmations and keep retrying until the server resolves them.</x:v>
      </x:c>
      <x:c r="N12" s="58" t="str">
        <x:v>Pass</x:v>
      </x:c>
      <x:c r="O12" s="58" t="str">
        <x:v>Two-day-old pending confirmation retried and remained durable until acknowledged.</x:v>
      </x:c>
      <x:c r="P12" s="58" t="str">
        <x:v>Resolved</x:v>
      </x:c>
    </x:row>
    <x:row r="13" ht="64" customHeight="1">
      <x:c r="A13" s="58" t="str">
        <x:v>ERR-009</x:v>
      </x:c>
      <x:c r="B13" s="58" t="str">
        <x:v>HEALTH-005</x:v>
      </x:c>
      <x:c r="C13" s="58" t="str">
        <x:v>P2</x:v>
      </x:c>
      <x:c r="D13" s="58" t="str">
        <x:v>Data integrity</x:v>
      </x:c>
      <x:c r="E13" s="58" t="str">
        <x:v>Imported-workout ignores are not provider-scoped.</x:v>
      </x:c>
      <x:c r="F13" s="58" t="str">
        <x:v>Key ignore records by provider/source and external ID.</x:v>
      </x:c>
      <x:c r="G13" s="58" t="str">
        <x:v>An Apple Health deletion can suppress a Health Connect workout sharing the ID.</x:v>
      </x:c>
      <x:c r="H13" s="58" t="str">
        <x:v>app/Http/Controllers/WorkoutController.php; app/Services/HealthConnectWorkoutImporter.php</x:v>
      </x:c>
      <x:c r="I13" s="58" t="str">
        <x:v>Static review</x:v>
      </x:c>
      <x:c r="J13" s="58" t="str">
        <x:v>Reproduced</x:v>
      </x:c>
      <x:c r="K13" s="58" t="str">
        <x:v>HealthConnectImportTest: an Apple ignore suppressed a Health Connect workout sharing its external ID.</x:v>
      </x:c>
      <x:c r="L13" s="58" t="str">
        <x:v>Fixed</x:v>
      </x:c>
      <x:c r="M13" s="58" t="str">
        <x:v>Add source_type to ignored workouts, use a composite unique key, and filter imports by provider.</x:v>
      </x:c>
      <x:c r="N13" s="58" t="str">
        <x:v>Pass</x:v>
      </x:c>
      <x:c r="O13" s="58" t="str">
        <x:v>Cross-provider shared-ID regression passed; migrations and both provider import suites passed.</x:v>
      </x:c>
      <x:c r="P13" s="58" t="str">
        <x:v>Resolved</x:v>
      </x:c>
    </x:row>
    <x:row r="14" ht="64" customHeight="1">
      <x:c r="A14" s="58" t="str">
        <x:v>ERR-010</x:v>
      </x:c>
      <x:c r="B14" s="58" t="str">
        <x:v>PROG-020; SYNC-003</x:v>
      </x:c>
      <x:c r="C14" s="58" t="str">
        <x:v>P2</x:v>
      </x:c>
      <x:c r="D14" s="58" t="str">
        <x:v>Data integrity</x:v>
      </x:c>
      <x:c r="E14" s="58" t="str">
        <x:v>Database does not enforce one body metric per date.</x:v>
      </x:c>
      <x:c r="F14" s="58" t="str">
        <x:v>Enforce and deterministically reconcile the logical date key locally and on the sync server.</x:v>
      </x:c>
      <x:c r="G14" s="58" t="str">
        <x:v>Multi-device sync can create duplicates and updates can target an arbitrary row.</x:v>
      </x:c>
      <x:c r="H14" s="58" t="str">
        <x:v>database/migrations/2026_08_25_191657_reconcile_duplicate_body_metrics.php; database/migrations/2026_08_25_191658_add_unique_date_to_body_metrics_table.php; app/Services/BuffSyncService.php; /Users/mason/Sites/buff-server/app/Services/SyncService.php</x:v>
      </x:c>
      <x:c r="I14" s="58" t="str">
        <x:v>Static review</x:v>
      </x:c>
      <x:c r="J14" s="58" t="str">
        <x:v>Reproduced</x:v>
      </x:c>
      <x:c r="K14" s="58" t="str">
        <x:v>ProgressTest: the database accepted a second body metric for the same date.</x:v>
      </x:c>
      <x:c r="L14" s="58" t="str">
        <x:v>Fixed</x:v>
      </x:c>
      <x:c r="M14" s="58" t="str">
        <x:v>Reconcile duplicate local dates by latest update, enforce a unique date, canonicalize client IDs, and resolve same-date server writes deterministically.</x:v>
      </x:c>
      <x:c r="N14" s="58" t="str">
        <x:v>Pass</x:v>
      </x:c>
      <x:c r="O14" s="58" t="str">
        <x:v>Local DB unique test, client sync reconciliation, and server canonical-date conflict tests passed; live duplicate was reconciled after backup.</x:v>
      </x:c>
      <x:c r="P14" s="58" t="str">
        <x:v>Resolved</x:v>
      </x:c>
    </x:row>
    <x:row r="15" ht="64" customHeight="1">
      <x:c r="A15" s="58" t="str">
        <x:v>ERR-011</x:v>
      </x:c>
      <x:c r="B15" s="58" t="str">
        <x:v>PROG-017</x:v>
      </x:c>
      <x:c r="C15" s="58" t="str">
        <x:v>P2</x:v>
      </x:c>
      <x:c r="D15" s="58" t="str">
        <x:v>UX / data visibility</x:v>
      </x:c>
      <x:c r="E15" s="58" t="str">
        <x:v>Existing cloud photos can hide staged local photos.</x:v>
      </x:c>
      <x:c r="F15" s="58" t="str">
        <x:v>Merge visible staged and cloud photos by pose/identity.</x:v>
      </x:c>
      <x:c r="G15" s="58" t="str">
        <x:v>Users may believe pending uploads disappeared.</x:v>
      </x:c>
      <x:c r="H15" s="58" t="str">
        <x:v>app/Http/Controllers/BodyMetricPhotoController.php</x:v>
      </x:c>
      <x:c r="I15" s="58" t="str">
        <x:v>Static review</x:v>
      </x:c>
      <x:c r="J15" s="58" t="str">
        <x:v>Reproduced</x:v>
      </x:c>
      <x:c r="K15" s="58" t="str">
        <x:v>ProgressPhotoTest: one cloud photo hid one staged local photo; response count was 1 instead of 2.</x:v>
      </x:c>
      <x:c r="L15" s="58" t="str">
        <x:v>Fixed</x:v>
      </x:c>
      <x:c r="M15" s="58" t="str">
        <x:v>Merge staged and cloud progress photos by pose/identity instead of replacing staged state.</x:v>
      </x:c>
      <x:c r="N15" s="58" t="str">
        <x:v>Pass</x:v>
      </x:c>
      <x:c r="O15" s="58" t="str">
        <x:v>Cloud-plus-staged photo merge regression passed.</x:v>
      </x:c>
      <x:c r="P15" s="58" t="str">
        <x:v>Resolved</x:v>
      </x:c>
    </x:row>
    <x:row r="16" ht="64" customHeight="1">
      <x:c r="A16" s="58" t="str">
        <x:v>ERR-012</x:v>
      </x:c>
      <x:c r="B16" s="58" t="str">
        <x:v>PROG-021</x:v>
      </x:c>
      <x:c r="C16" s="58" t="str">
        <x:v>P1</x:v>
      </x:c>
      <x:c r="D16" s="58" t="str">
        <x:v>Data loss</x:v>
      </x:c>
      <x:c r="E16" s="58" t="str">
        <x:v>Progress-photo staging does not verify file write success.</x:v>
      </x:c>
      <x:c r="F16" s="58" t="str">
        <x:v>Check every write and roll back or return an error on failure.</x:v>
      </x:c>
      <x:c r="G16" s="58" t="str">
        <x:v>The app can claim staging succeeded while no durable file exists.</x:v>
      </x:c>
      <x:c r="H16" s="58" t="str">
        <x:v>app/Http/Controllers/BodyMetricPhotoController.php</x:v>
      </x:c>
      <x:c r="I16" s="58" t="str">
        <x:v>Static review</x:v>
      </x:c>
      <x:c r="J16" s="58" t="str">
        <x:v>Reproduced</x:v>
      </x:c>
      <x:c r="K16" s="58" t="str">
        <x:v>ProgressPhotoTest: a false filesystem write still returned pending=true and persisted the staging row.</x:v>
      </x:c>
      <x:c r="L16" s="58" t="str">
        <x:v>Fixed</x:v>
      </x:c>
      <x:c r="M16" s="58" t="str">
        <x:v>Verify every staged file write and roll back partial files before returning a validation error.</x:v>
      </x:c>
      <x:c r="N16" s="58" t="str">
        <x:v>Pass</x:v>
      </x:c>
      <x:c r="O16" s="58" t="str">
        <x:v>False-write regression returned an error and left no staging row.</x:v>
      </x:c>
      <x:c r="P16" s="58" t="str">
        <x:v>Resolved</x:v>
      </x:c>
    </x:row>
    <x:row r="17" ht="64" customHeight="1">
      <x:c r="A17" s="58" t="str">
        <x:v>ERR-013</x:v>
      </x:c>
      <x:c r="B17" s="58" t="str">
        <x:v>PROG-019</x:v>
      </x:c>
      <x:c r="C17" s="58" t="str">
        <x:v>P2</x:v>
      </x:c>
      <x:c r="D17" s="58" t="str">
        <x:v>UX</x:v>
      </x:c>
      <x:c r="E17" s="58" t="str">
        <x:v>The server supports deleting individual progress photos but the UI exposes no action.</x:v>
      </x:c>
      <x:c r="F17" s="58" t="str">
        <x:v>Offer a deliberate, confirmed delete action in the photo viewer.</x:v>
      </x:c>
      <x:c r="G17" s="58" t="str">
        <x:v>Users cannot remove an incorrect photo from the app.</x:v>
      </x:c>
      <x:c r="H17" s="58" t="str">
        <x:v>resources/js/Pages/Progress.vue; app/Http/Controllers/BodyMetricPhotoController.php</x:v>
      </x:c>
      <x:c r="I17" s="58" t="str">
        <x:v>Static review</x:v>
      </x:c>
      <x:c r="J17" s="58" t="str">
        <x:v>Reproduced</x:v>
      </x:c>
      <x:c r="K17" s="58" t="str">
        <x:v>Source audit: the photo viewer renders images/add controls but no action invokes the existing DELETE endpoint.</x:v>
      </x:c>
      <x:c r="L17" s="58" t="str">
        <x:v>Fixed</x:v>
      </x:c>
      <x:c r="M17" s="58" t="str">
        <x:v>Expose an accessible per-photo delete button with confirmation and visible failure feedback.</x:v>
      </x:c>
      <x:c r="N17" s="58" t="str">
        <x:v>Pass</x:v>
      </x:c>
      <x:c r="O17" s="58" t="str">
        <x:v>Live browser created a temporary cloud photo, showed Delete front photo, required confirmation, deleted it, and returned to zero photos.</x:v>
      </x:c>
      <x:c r="P17" s="58" t="str">
        <x:v>Resolved</x:v>
      </x:c>
    </x:row>
    <x:row r="18" ht="64" customHeight="1">
      <x:c r="A18" s="58" t="str">
        <x:v>ERR-014</x:v>
      </x:c>
      <x:c r="B18" s="58" t="str">
        <x:v>RECIPE-009</x:v>
      </x:c>
      <x:c r="C18" s="58" t="str">
        <x:v>P2</x:v>
      </x:c>
      <x:c r="D18" s="58" t="str">
        <x:v>UX</x:v>
      </x:c>
      <x:c r="E18" s="58" t="str">
        <x:v>Recipe delete is immediate with no confirmation.</x:v>
      </x:c>
      <x:c r="F18" s="58" t="str">
        <x:v>Require deliberate confirmation before deleting a reusable recipe.</x:v>
      </x:c>
      <x:c r="G18" s="58" t="str">
        <x:v>A single tap permanently removes the recipe.</x:v>
      </x:c>
      <x:c r="H18" s="58" t="str">
        <x:v>resources/js/Components/RecipeMode.vue</x:v>
      </x:c>
      <x:c r="I18" s="58" t="str">
        <x:v>Static review</x:v>
      </x:c>
      <x:c r="J18" s="58" t="str">
        <x:v>Reproduced</x:v>
      </x:c>
      <x:c r="K18" s="58" t="str">
        <x:v>Source audit: Delete recipe calls form.delete directly with no confirmation state or dialog.</x:v>
      </x:c>
      <x:c r="L18" s="58" t="str">
        <x:v>Fixed</x:v>
      </x:c>
      <x:c r="M18" s="58" t="str">
        <x:v>Route recipe deletion through a named confirmation dialog.</x:v>
      </x:c>
      <x:c r="N18" s="58" t="str">
        <x:v>Pass</x:v>
      </x:c>
      <x:c r="O18" s="58" t="str">
        <x:v>Live browser created a temporary recipe, required Delete recipe confirmation, deleted it, and returned to an empty list.</x:v>
      </x:c>
      <x:c r="P18" s="58" t="str">
        <x:v>Resolved</x:v>
      </x:c>
    </x:row>
    <x:row r="19" ht="64" customHeight="1">
      <x:c r="A19" s="58" t="str">
        <x:v>ERR-015</x:v>
      </x:c>
      <x:c r="B19" s="58" t="str">
        <x:v>AUTH-001; ONB-006</x:v>
      </x:c>
      <x:c r="C19" s="58" t="str">
        <x:v>P3</x:v>
      </x:c>
      <x:c r="D19" s="58" t="str">
        <x:v>Test logistics</x:v>
      </x:c>
      <x:c r="E19" s="58" t="str">
        <x:v>The combined registration/onboarding test omits required current weight.</x:v>
      </x:c>
      <x:c r="F19" s="58" t="str">
        <x:v>Keep the scenario payload aligned with the onboarding contract.</x:v>
      </x:c>
      <x:c r="G19" s="58" t="str">
        <x:v>The suite fails after successful registration because the stale fixture receives the intended validation error.</x:v>
      </x:c>
      <x:c r="H19" s="58" t="str">
        <x:v>tests/Feature/BuffAuthenticationTest.php</x:v>
      </x:c>
      <x:c r="I19" s="58" t="str">
        <x:v>Automated test</x:v>
      </x:c>
      <x:c r="J19" s="58" t="str">
        <x:v>Reproduced</x:v>
      </x:c>
      <x:c r="K19" s="58" t="str">
        <x:v>BuffAuthenticationTest: 212/213 passed; the stale scenario failed with current_weight_kg required.</x:v>
      </x:c>
      <x:c r="L19" s="58" t="str">
        <x:v>Fixed</x:v>
      </x:c>
      <x:c r="M19" s="58" t="str">
        <x:v>Supply current_weight_kg in the combined registration/onboarding fixture.</x:v>
      </x:c>
      <x:c r="N19" s="58" t="str">
        <x:v>Pass</x:v>
      </x:c>
      <x:c r="O19" s="58" t="str">
        <x:v>Complete Buff PHP suite passed 228/228.</x:v>
      </x:c>
      <x:c r="P19" s="58" t="str">
        <x:v>Resolved</x:v>
      </x:c>
    </x:row>
    <x:row r="20" ht="64" customHeight="1">
      <x:c r="A20" s="58" t="str">
        <x:v>ERR-016</x:v>
      </x:c>
      <x:c r="B20" s="58" t="str">
        <x:v>PROG-007</x:v>
      </x:c>
      <x:c r="C20" s="58" t="str">
        <x:v>P2</x:v>
      </x:c>
      <x:c r="D20" s="58" t="str">
        <x:v>Type contract</x:v>
      </x:c>
      <x:c r="E20" s="58" t="str">
        <x:v>The chart tooltip helper erases the supported icon field from its returned config type.</x:v>
      </x:c>
      <x:c r="F20" s="58" t="str">
        <x:v>Preserve the icon type already accepted by ChartConfig.</x:v>
      </x:c>
      <x:c r="G20" s="58" t="str">
        <x:v>vue-tsc rejects ChartTooltipContent.vue even though the production build succeeds.</x:v>
      </x:c>
      <x:c r="H20" s="58" t="str">
        <x:v>resources/js/chartTooltip.ts; resources/js/Components/ui/chart/ChartTooltipContent.vue</x:v>
      </x:c>
      <x:c r="I20" s="58" t="str">
        <x:v>Type check</x:v>
      </x:c>
      <x:c r="J20" s="58" t="str">
        <x:v>Reproduced</x:v>
      </x:c>
      <x:c r="K20" s="58" t="str">
        <x:v>pnpm run type-check: ChartTooltipContent.vue reports Property icon does not exist.</x:v>
      </x:c>
      <x:c r="L20" s="58" t="str">
        <x:v>Fixed</x:v>
      </x:c>
      <x:c r="M20" s="58" t="str">
        <x:v>Preserve the optional Vue component icon in the tooltip series type.</x:v>
      </x:c>
      <x:c r="N20" s="58" t="str">
        <x:v>Pass</x:v>
      </x:c>
      <x:c r="O20" s="58" t="str">
        <x:v>pnpm run type-check passed.</x:v>
      </x:c>
      <x:c r="P20" s="58" t="str">
        <x:v>Resolved</x:v>
      </x:c>
    </x:row>
    <x:row r="21" ht="64" customHeight="1">
      <x:c r="A21" s="58" t="str">
        <x:v>ERR-017</x:v>
      </x:c>
      <x:c r="B21" s="58" t="str">
        <x:v>APP-001</x:v>
      </x:c>
      <x:c r="C21" s="58" t="str">
        <x:v>P3</x:v>
      </x:c>
      <x:c r="D21" s="58" t="str">
        <x:v>Build logistics</x:v>
      </x:c>
      <x:c r="E21" s="58" t="str">
        <x:v>Vite flags __dirname as incompatible with its native config loader.</x:v>
      </x:c>
      <x:c r="F21" s="58" t="str">
        <x:v>Resolve the resources alias with the ESM-native config directory.</x:v>
      </x:c>
      <x:c r="G21" s="58" t="str">
        <x:v>Production builds succeed with a forward-compatibility warning.</x:v>
      </x:c>
      <x:c r="H21" s="58" t="str">
        <x:v>vite.config.ts</x:v>
      </x:c>
      <x:c r="I21" s="58" t="str">
        <x:v>Production build</x:v>
      </x:c>
      <x:c r="J21" s="58" t="str">
        <x:v>Reproduced</x:v>
      </x:c>
      <x:c r="K21" s="58" t="str">
        <x:v>pnpm run build: Vite warns that __dirname prevents the native config loader.</x:v>
      </x:c>
      <x:c r="L21" s="58" t="str">
        <x:v>Fixed</x:v>
      </x:c>
      <x:c r="M21" s="58" t="str">
        <x:v>Resolve the Vite alias with import.meta.dirname.</x:v>
      </x:c>
      <x:c r="N21" s="58" t="str">
        <x:v>Pass</x:v>
      </x:c>
      <x:c r="O21" s="58" t="str">
        <x:v>Clean pnpm run build completed without the config-loader warning.</x:v>
      </x:c>
      <x:c r="P21" s="58" t="str">
        <x:v>Resolved</x:v>
      </x:c>
    </x:row>
    <x:row r="22" ht="64" customHeight="1">
      <x:c r="A22" s="58" t="str">
        <x:v>ERR-018</x:v>
      </x:c>
      <x:c r="B22" s="58" t="str">
        <x:v>APP-001</x:v>
      </x:c>
      <x:c r="C22" s="58" t="str">
        <x:v>P3</x:v>
      </x:c>
      <x:c r="D22" s="58" t="str">
        <x:v>Development logistics</x:v>
      </x:c>
      <x:c r="E22" s="58" t="str">
        <x:v>Inertia server recording is enabled while client development hooks are not detected.</x:v>
      </x:c>
      <x:c r="F22" s="58" t="str">
        <x:v>Enable the server recorder only when the Vite development client and its hooks are running, unless explicitly configured.</x:v>
      </x:c>
      <x:c r="G22" s="58" t="str">
        <x:v>Every live browser page logs that request lineage is not being recorded.</x:v>
      </x:c>
      <x:c r="H22" s="58" t="str">
        <x:v>resources/js/app.ts; app/Providers/AppServiceProvider.php</x:v>
      </x:c>
      <x:c r="I22" s="58" t="str">
        <x:v>Browser console</x:v>
      </x:c>
      <x:c r="J22" s="58" t="str">
        <x:v>Reproduced</x:v>
      </x:c>
      <x:c r="K22" s="58" t="str">
        <x:v>Live desktop/mobile browser sweep logged the Inertia request-lineage warning on every visited page.</x:v>
      </x:c>
      <x:c r="L22" s="58" t="str">
        <x:v>Fixed</x:v>
      </x:c>
      <x:c r="M22" s="58" t="str">
        <x:v>Keep client hooks tied to Vite development mode and default the server recorder to the same hot-file state.</x:v>
      </x:c>
      <x:c r="N22" s="58" t="str">
        <x:v>Pass</x:v>
      </x:c>
      <x:c r="O22" s="58" t="str">
        <x:v>Fresh desktop/mobile route sweep produced zero browser warnings or errors.</x:v>
      </x:c>
      <x:c r="P22" s="58" t="str">
        <x:v>Resolved</x:v>
      </x:c>
    </x:row>
    <x:row r="23" ht="64" customHeight="1">
      <x:c r="A23" s="58" t="str">
        <x:v>ERR-019</x:v>
      </x:c>
      <x:c r="B23" s="58" t="str">
        <x:v>APP-001</x:v>
      </x:c>
      <x:c r="C23" s="58" t="str">
        <x:v>P3</x:v>
      </x:c>
      <x:c r="D23" s="58" t="str">
        <x:v>Build logistics</x:v>
      </x:c>
      <x:c r="E23" s="58" t="str">
        <x:v>Optional optimized font fallbacks warn because Fontaine is not installed.</x:v>
      </x:c>
      <x:c r="F23" s="58" t="str">
        <x:v>Disable the optional fallback optimization when the optional optimizer is absent.</x:v>
      </x:c>
      <x:c r="G23" s="58" t="str">
        <x:v>Production builds succeed but emit avoidable font-plugin warnings.</x:v>
      </x:c>
      <x:c r="H23" s="58" t="str">
        <x:v>vite.config.ts</x:v>
      </x:c>
      <x:c r="I23" s="58" t="str">
        <x:v>Production build</x:v>
      </x:c>
      <x:c r="J23" s="58" t="str">
        <x:v>Reproduced</x:v>
      </x:c>
      <x:c r="K23" s="58" t="str">
        <x:v>pnpm run build warned that optimizedFallbacks requires the optional fontaine package.</x:v>
      </x:c>
      <x:c r="L23" s="58" t="str">
        <x:v>Fixed</x:v>
      </x:c>
      <x:c r="M23" s="58" t="str">
        <x:v>Disable the optional optimizedFallbacks setting for both bundled fonts.</x:v>
      </x:c>
      <x:c r="N23" s="58" t="str">
        <x:v>Pass</x:v>
      </x:c>
      <x:c r="O23" s="58" t="str">
        <x:v>Clean pnpm run build completed without the optional Fontaine warning.</x:v>
      </x:c>
      <x:c r="P23" s="58" t="str">
        <x:v>Resolved</x:v>
      </x:c>
    </x:row>
    <x:row r="24" ht="64" customHeight="1">
      <x:c r="A24" s="58" t="str">
        <x:v>ERR-020</x:v>
      </x:c>
      <x:c r="B24" s="58" t="str">
        <x:v>APP-003; FOOD-006</x:v>
      </x:c>
      <x:c r="C24" s="58" t="str">
        <x:v>P2</x:v>
      </x:c>
      <x:c r="D24" s="58" t="str">
        <x:v>Native logistics</x:v>
      </x:c>
      <x:c r="E24" s="58" t="str">
        <x:v>Android launcher shortcuts are not registered on the app entry activity.</x:v>
      </x:c>
      <x:c r="F24" s="58" t="str">
        <x:v>Expose Add, Scan, and Workout shortcuts from MainActivity.</x:v>
      </x:c>
      <x:c r="G24" s="58" t="str">
        <x:v>Shortcut metadata is duplicated on Health Connect activities and Android reports no Buff shortcuts.</x:v>
      </x:c>
      <x:c r="H24" s="58" t="str">
        <x:v>native-plugins/native-refresh/src/Commands/InstallNativePullRefreshCommand.php</x:v>
      </x:c>
      <x:c r="I24" s="58" t="str">
        <x:v>Android emulator</x:v>
      </x:c>
      <x:c r="J24" s="58" t="str">
        <x:v>Reproduced</x:v>
      </x:c>
      <x:c r="K24" s="58" t="str">
        <x:v>Generated manifest placed shortcut metadata on Health Connect activities; dumpsys shortcut contained no Buff package.</x:v>
      </x:c>
      <x:c r="L24" s="58" t="str">
        <x:v>Fixed</x:v>
      </x:c>
      <x:c r="M24" s="58" t="str">
        <x:v>Install shortcut metadata exactly once on MainActivity and remove misplaced duplicates.</x:v>
      </x:c>
      <x:c r="N24" s="58" t="str">
        <x:v>Pass</x:v>
      </x:c>
      <x:c r="O24" s="58" t="str">
        <x:v>Regenerated manifest has one MainActivity declaration; Android registers Add, Scan, and Workout, and each deep link reached its intended destination.</x:v>
      </x:c>
      <x:c r="P24" s="58" t="str">
        <x:v>Resolved</x:v>
      </x:c>
    </x:row>
    <x:row r="25" ht="64" customHeight="1">
      <x:c r="A25" s="58" t="str">
        <x:v>ERR-021</x:v>
      </x:c>
      <x:c r="B25" s="58" t="str">
        <x:v>SET-005; SET-007</x:v>
      </x:c>
      <x:c r="C25" s="58" t="str">
        <x:v>P2</x:v>
      </x:c>
      <x:c r="D25" s="58" t="str">
        <x:v>Native bridge logic</x:v>
      </x:c>
      <x:c r="E25" s="58" t="str">
        <x:v>The meal-reminder bridge rejects an available Android background-task capability.</x:v>
      </x:c>
      <x:c r="F25" s="58" t="str">
        <x:v>Invoke the exact native capability and keep persisted settings aligned with scheduled work.</x:v>
      </x:c>
      <x:c r="G25" s="58" t="str">
        <x:v>A valid Android runtime reports reminder scheduling unavailable and creates no worker.</x:v>
      </x:c>
      <x:c r="H25" s="58" t="str">
        <x:v>app/Services/MealReminderBridge.php</x:v>
      </x:c>
      <x:c r="I25" s="58" t="str">
        <x:v>Android emulator</x:v>
      </x:c>
      <x:c r="J25" s="58" t="str">
        <x:v>Reproduced</x:v>
      </x:c>
      <x:c r="K25" s="58" t="str">
        <x:v>Enabling a meal reminder reported native scheduling unavailable and created no MealReminderWorker despite the registered capability.</x:v>
      </x:c>
      <x:c r="L25" s="58" t="str">
        <x:v>Fixed</x:v>
      </x:c>
      <x:c r="M25" s="58" t="str">
        <x:v>Trust nativephp_call/nativephp_can and invoke the exact BackgroundTasks.RegisterMealReminders capability.</x:v>
      </x:c>
      <x:c r="N25" s="58" t="str">
        <x:v>Pass</x:v>
      </x:c>
      <x:c r="O25" s="58" t="str">
        <x:v>Android scheduled MealReminderWorker, persisted the enabled state, and cancelled it when toggled off; failure regression also passed.</x:v>
      </x:c>
      <x:c r="P25" s="58" t="str">
        <x:v>Resolved</x:v>
      </x:c>
    </x:row>
    <x:row r="26" ht="64" customHeight="1">
      <x:c r="A26" s="58" t="str">
        <x:v>ERR-022</x:v>
      </x:c>
      <x:c r="B26" s="58" t="str">
        <x:v>APP-004; PROG-012</x:v>
      </x:c>
      <x:c r="C26" s="58" t="str">
        <x:v>P2</x:v>
      </x:c>
      <x:c r="D26" s="58" t="str">
        <x:v>UX / navigation</x:v>
      </x:c>
      <x:c r="E26" s="58" t="str">
        <x:v>Android Back bypasses app overlays and Settings hierarchy.</x:v>
      </x:c>
      <x:c r="F26" s="58" t="str">
        <x:v>Close the topmost overlay, return Settings subpages to Settings, then use history or exit.</x:v>
      </x:c>
      <x:c r="G26" s="58" t="str">
        <x:v>Back can leave the camera for Home, remain on a Settings subpage, or exit the app unexpectedly.</x:v>
      </x:c>
      <x:c r="H26" s="58" t="str">
        <x:v>native-plugins/native-refresh/src/Commands/InstallNativePullRefreshCommand.php; resources/js/Layouts/AppShell.vue; resources/js/Pages/Progress.vue</x:v>
      </x:c>
      <x:c r="I26" s="58" t="str">
        <x:v>Android emulator</x:v>
      </x:c>
      <x:c r="J26" s="58" t="str">
        <x:v>Reproduced</x:v>
      </x:c>
      <x:c r="K26" s="58" t="str">
        <x:v>One Back remained on a Settings subpage and the next exited; camera Back navigated to Home instead of closing the camera.</x:v>
      </x:c>
      <x:c r="L26" s="58" t="str">
        <x:v>Fixed</x:v>
      </x:c>
      <x:c r="M26" s="58" t="str">
        <x:v>Delegate Back to a cancelable app event before the WebView history fallback; overlays consume it and Settings subpages replace to Settings.</x:v>
      </x:c>
      <x:c r="N26" s="58" t="str">
        <x:v>Pass</x:v>
      </x:c>
      <x:c r="O26" s="58" t="str">
        <x:v>Android Back closed the Add drawer and progress camera and returned Meal reminders to Settings without exiting.</x:v>
      </x:c>
      <x:c r="P26" s="58" t="str">
        <x:v>Resolved</x:v>
      </x:c>
    </x:row>
    <x:row r="27" ht="64" customHeight="1">
      <x:c r="A27" s="58" t="str">
        <x:v>ERR-023</x:v>
      </x:c>
      <x:c r="B27" s="58" t="str">
        <x:v>PROG-012; PROG-013</x:v>
      </x:c>
      <x:c r="C27" s="58" t="str">
        <x:v>P1</x:v>
      </x:c>
      <x:c r="D27" s="58" t="str">
        <x:v>UX / accessibility</x:v>
      </x:c>
      <x:c r="E27" s="58" t="str">
        <x:v>Progress-camera chrome uses foreground text on a foreground background.</x:v>
      </x:c>
      <x:c r="F27" s="58" t="str">
        <x:v>Keep camera status, pose controls, flip, library, capture, and close controls legible.</x:v>
      </x:c>
      <x:c r="G27" s="58" t="str">
        <x:v>Critical camera labels and controls are effectively invisible in the native overlay.</x:v>
      </x:c>
      <x:c r="H27" s="58" t="str">
        <x:v>resources/js/Pages/Progress.vue</x:v>
      </x:c>
      <x:c r="I27" s="58" t="str">
        <x:v>Android emulator</x:v>
      </x:c>
      <x:c r="J27" s="58" t="str">
        <x:v>Reproduced</x:v>
      </x:c>
      <x:c r="K27" s="58" t="str">
        <x:v>Native screenshots showed navy camera labels and controls on the same navy camera chrome.</x:v>
      </x:c>
      <x:c r="L27" s="58" t="str">
        <x:v>Fixed</x:v>
      </x:c>
      <x:c r="M27" s="58" t="str">
        <x:v>Use contrasting camera-shell tokens and a light status/header surface with readable system chrome.</x:v>
      </x:c>
      <x:c r="N27" s="58" t="str">
        <x:v>Pass</x:v>
      </x:c>
      <x:c r="O27" s="58" t="str">
        <x:v>Post-fix Android screenshots show readable camera header, pose state, flip, library, capture, and close controls.</x:v>
      </x:c>
      <x:c r="P27" s="58" t="str">
        <x:v>Resolved</x:v>
      </x:c>
    </x:row>
    <x:row r="28" ht="64" customHeight="1">
      <x:c r="A28" s="58" t="str">
        <x:v>ERR-024</x:v>
      </x:c>
      <x:c r="B28" s="58" t="str">
        <x:v>AUTH-018</x:v>
      </x:c>
      <x:c r="C28" s="58" t="str">
        <x:v>P1</x:v>
      </x:c>
      <x:c r="D28" s="58" t="str">
        <x:v>Native request transport</x:v>
      </x:c>
      <x:c r="E28" s="58" t="str">
        <x:v>Android account deletion loses the password body on a native DELETE request.</x:v>
      </x:c>
      <x:c r="F28" s="58" t="str">
        <x:v>Transport the password to the existing DELETE route without placing credentials in the URL.</x:v>
      </x:c>
      <x:c r="G28" s="58" t="str">
        <x:v>A visibly filled confirmation field returns “The password field is required” and the account remains.</x:v>
      </x:c>
      <x:c r="H28" s="58" t="str">
        <x:v>resources/js/Pages/Settings.vue</x:v>
      </x:c>
      <x:c r="I28" s="58" t="str">
        <x:v>Android emulator</x:v>
      </x:c>
      <x:c r="J28" s="58" t="str">
        <x:v>Reproduced</x:v>
      </x:c>
      <x:c r="K28" s="58" t="str">
        <x:v>Android showed a filled password field but returned password-required; CDP confirmed the WebView issued a JSON DELETE request.</x:v>
      </x:c>
      <x:c r="L28" s="58" t="str">
        <x:v>Fixed</x:v>
      </x:c>
      <x:c r="M28" s="58" t="str">
        <x:v>POST the form with Laravel’s standard _method=delete override so the embedded server receives the password body.</x:v>
      </x:c>
      <x:c r="N28" s="58" t="str">
        <x:v>Pass</x:v>
      </x:c>
      <x:c r="O28" s="58" t="str">
        <x:v>Frontend regression, type-check, build, and authentication tests passed; Android deleted the temporary account and returned to Create account.</x:v>
      </x:c>
      <x:c r="P28" s="58" t="str">
        <x:v>Resolved</x:v>
      </x:c>
    </x:row>
    <x:row r="29" ht="64" customHeight="1">
      <x:c r="A29" s="58" t="str">
        <x:v>ERR-025</x:v>
      </x:c>
      <x:c r="B29" s="58" t="str">
        <x:v>APP-001</x:v>
      </x:c>
      <x:c r="C29" s="58" t="str">
        <x:v>P2</x:v>
      </x:c>
      <x:c r="D29" s="58" t="str">
        <x:v>Native asset URL</x:v>
      </x:c>
      <x:c r="E29" s="58" t="str">
        <x:v>Root-relative account artwork does not load through the iOS php scheme.</x:v>
      </x:c>
      <x:c r="F29" s="58" t="str">
        <x:v>Resolve public assets through the active NativePHP asset prefix.</x:v>
      </x:c>
      <x:c r="G29" s="58" t="str">
        <x:v>The registration and sign-in logo requests bypass /_assets and render broken artwork on iOS.</x:v>
      </x:c>
      <x:c r="H29" s="58" t="str">
        <x:v>resources/js/Pages/Account.vue; resources/js/publicAssetUrl.ts</x:v>
      </x:c>
      <x:c r="I29" s="58" t="str">
        <x:v>iOS simulator</x:v>
      </x:c>
      <x:c r="J29" s="58" t="str">
        <x:v>Reproduced</x:v>
      </x:c>
      <x:c r="K29" s="58" t="str">
        <x:v>The iOS account screen requested /icon.png directly under the php scheme and displayed broken artwork.</x:v>
      </x:c>
      <x:c r="L29" s="58" t="str">
        <x:v>Fixed</x:v>
      </x:c>
      <x:c r="M29" s="58" t="str">
        <x:v>Resolve account artwork through the NativePHP-aware publicAssetUrl helper.</x:v>
      </x:c>
      <x:c r="N29" s="58" t="str">
        <x:v>Pass</x:v>
      </x:c>
      <x:c r="O29" s="58" t="str">
        <x:v>publicAssetUrl regression passed; a fresh post-fix iOS build rendered both light and dark account artwork through /_assets.</x:v>
      </x:c>
      <x:c r="P29" s="58" t="str">
        <x:v>Resolved</x:v>
      </x:c>
    </x:row>
    <x:row r="30" ht="64" customHeight="1">
      <x:c r="A30" s="58" t="str">
        <x:v>ERR-026</x:v>
      </x:c>
      <x:c r="B30" s="58" t="str">
        <x:v>APP-009</x:v>
      </x:c>
      <x:c r="C30" s="58" t="str">
        <x:v>P3</x:v>
      </x:c>
      <x:c r="D30" s="58" t="str">
        <x:v>Test interpretation</x:v>
      </x:c>
      <x:c r="E30" s="58" t="str">
        <x:v>Rotating the simulator frame appears to put Buff into landscape.</x:v>
      </x:c>
      <x:c r="F30" s="58" t="str">
        <x:v>Judge orientation from the app window geometry and supported-orientation mask, not the physical simulator frame.</x:v>
      </x:c>
      <x:c r="G30" s="58" t="str">
        <x:v>The device frame rotates while Buff retains portrait bounds and portrait interface orientation.</x:v>
      </x:c>
      <x:c r="H30" s="58" t="str">
        <x:v>config/nativephp.php</x:v>
      </x:c>
      <x:c r="I30" s="58" t="str">
        <x:v>iOS simulator</x:v>
      </x:c>
      <x:c r="J30" s="58" t="str">
        <x:v>Not reproducible</x:v>
      </x:c>
      <x:c r="K30" s="58" t="str">
        <x:v>LLDB reported portrait interface orientation, a 402×874 app window, and the portrait-only supported mask while the simulator frame rotated.</x:v>
      </x:c>
      <x:c r="L30" s="58" t="str">
        <x:v>Not needed</x:v>
      </x:c>
      <x:c r="M30" s="58" t="str">
        <x:v>No code change; classify orientation from effective app geometry and supported masks.</x:v>
      </x:c>
      <x:c r="N30" s="58" t="str">
        <x:v>Pass</x:v>
      </x:c>
      <x:c r="O30" s="58" t="str">
        <x:v>Runtime inspection confirmed Buff remained portrait after both simulator rotation directions.</x:v>
      </x:c>
      <x:c r="P30" s="58" t="str">
        <x:v>Resolved</x:v>
      </x:c>
    </x:row>
    <x:row r="31" ht="64" customHeight="1">
      <x:c r="A31" s="58" t="str">
        <x:v>ERR-027</x:v>
      </x:c>
      <x:c r="B31" s="58" t="str">
        <x:v>APP-010</x:v>
      </x:c>
      <x:c r="C31" s="58" t="str">
        <x:v>P2</x:v>
      </x:c>
      <x:c r="D31" s="58" t="str">
        <x:v>Native logistics</x:v>
      </x:c>
      <x:c r="E31" s="58" t="str">
        <x:v>The native refresh installer is Android-only, so iOS has no pull-to-refresh control.</x:v>
      </x:c>
      <x:c r="F31" s="58" t="str">
        <x:v>Install one UIRefreshControl on each iOS WKWebView and end it after navigation completes.</x:v>
      </x:c>
      <x:c r="G31" s="58" t="str">
        <x:v>Dragging down on iOS produces no refresh indicator or reload.</x:v>
      </x:c>
      <x:c r="H31" s="58" t="str">
        <x:v>native-plugins/native-refresh/nativephp.json; native-plugins/native-refresh/src/Commands/InstallNativePullRefreshCommand.php</x:v>
      </x:c>
      <x:c r="I31" s="58" t="str">
        <x:v>iOS simulator</x:v>
      </x:c>
      <x:c r="J31" s="58" t="str">
        <x:v>Reproduced</x:v>
      </x:c>
      <x:c r="K31" s="58" t="str">
        <x:v>The plugin manifest declared Android only and the generated iOS WKWebView had no UIRefreshControl.</x:v>
      </x:c>
      <x:c r="L31" s="58" t="str">
        <x:v>Fixed</x:v>
      </x:c>
      <x:c r="M31" s="58" t="str">
        <x:v>Enable the plugin on iOS and install one WKWebView UIRefreshControl with completion cleanup.</x:v>
      </x:c>
      <x:c r="N31" s="58" t="str">
        <x:v>Pass</x:v>
      </x:c>
      <x:c r="O31" s="58" t="str">
        <x:v>Native installer regression passed; the iOS pull gesture displayed, reloaded, and ended cleanly.</x:v>
      </x:c>
      <x:c r="P31" s="58" t="str">
        <x:v>Resolved</x:v>
      </x:c>
    </x:row>
    <x:row r="32" ht="64" customHeight="1">
      <x:c r="A32" s="58" t="str">
        <x:v>ERR-028</x:v>
      </x:c>
      <x:c r="B32" s="58" t="str">
        <x:v>WORK-001</x:v>
      </x:c>
      <x:c r="C32" s="58" t="str">
        <x:v>P1</x:v>
      </x:c>
      <x:c r="D32" s="58" t="str">
        <x:v>Native navigation</x:v>
      </x:c>
      <x:c r="E32" s="58" t="str">
        <x:v>iOS redirect handling can forward an empty or absolute Location value as the PHP request URI.</x:v>
      </x:c>
      <x:c r="F32" s="58" t="str">
        <x:v>Normalize redirect paths and queries so successful writes can return to the root Today screen.</x:v>
      </x:c>
      <x:c r="G32" s="58" t="str">
        <x:v>A successful workout create can remain on Add or fail to resolve the root redirect.</x:v>
      </x:c>
      <x:c r="H32" s="58" t="str">
        <x:v>native-plugins/native-refresh/src/Commands/InstallNativePullRefreshCommand.php</x:v>
      </x:c>
      <x:c r="I32" s="58" t="str">
        <x:v>iOS simulator</x:v>
      </x:c>
      <x:c r="J32" s="58" t="str">
        <x:v>Reproduced</x:v>
      </x:c>
      <x:c r="K32" s="58" t="str">
        <x:v>The generated iOS scheme handler reused redirect Location values instead of normalizing root path and query components.</x:v>
      </x:c>
      <x:c r="L32" s="58" t="str">
        <x:v>Fixed</x:v>
      </x:c>
      <x:c r="M32" s="58" t="str">
        <x:v>Normalize empty, relative, and absolute redirects to a path plus query before the next PHP request.</x:v>
      </x:c>
      <x:c r="N32" s="58" t="str">
        <x:v>Pass</x:v>
      </x:c>
      <x:c r="O32" s="58" t="str">
        <x:v>Installer regression passed; creating IOS Redirect Final returned to Today and persisted the workout.</x:v>
      </x:c>
      <x:c r="P32" s="58" t="str">
        <x:v>Resolved</x:v>
      </x:c>
    </x:row>
    <x:row r="33" ht="64" customHeight="1">
      <x:c r="A33" s="58" t="str">
        <x:v>ERR-029</x:v>
      </x:c>
      <x:c r="B33" s="58" t="str">
        <x:v>APP-003; FOOD-006</x:v>
      </x:c>
      <x:c r="C33" s="58" t="str">
        <x:v>P2</x:v>
      </x:c>
      <x:c r="D33" s="58" t="str">
        <x:v>Native logistics</x:v>
      </x:c>
      <x:c r="E33" s="58" t="str">
        <x:v>iOS home-screen quick actions are not installed or dispatched.</x:v>
      </x:c>
      <x:c r="F33" s="58" t="str">
        <x:v>Install Add, Scan, and Workout shortcut metadata and send selected shortcut URLs through the existing deep-link router.</x:v>
      </x:c>
      <x:c r="G33" s="58" t="str">
        <x:v>The generated iOS shell exposes no Buff quick actions.</x:v>
      </x:c>
      <x:c r="H33" s="58" t="str">
        <x:v>native-plugins/native-refresh/src/Commands/InstallNativePullRefreshCommand.php</x:v>
      </x:c>
      <x:c r="I33" s="58" t="str">
        <x:v>iOS build artifact</x:v>
      </x:c>
      <x:c r="J33" s="58" t="str">
        <x:v>Reproduced</x:v>
      </x:c>
      <x:c r="K33" s="58" t="str">
        <x:v>Generated iOS plists contained no UIApplicationShortcutItems and AppDelegate had no shortcut callback.</x:v>
      </x:c>
      <x:c r="L33" s="58" t="str">
        <x:v>Fixed</x:v>
      </x:c>
      <x:c r="M33" s="58" t="str">
        <x:v>Install iOS shortcut plist entries and dispatch UIApplicationShortcutItem URLs through DeepLinkRouter.</x:v>
      </x:c>
      <x:c r="N33" s="58" t="str">
        <x:v>Pass</x:v>
      </x:c>
      <x:c r="O33" s="58" t="str">
        <x:v>Both iOS plists contain Add, Scan, and Workout entries and AppDelegate dispatches them through the deep-link router.</x:v>
      </x:c>
      <x:c r="P33" s="58" t="str">
        <x:v>Resolved</x:v>
      </x:c>
    </x:row>
    <x:row r="34" ht="64" customHeight="1">
      <x:c r="A34" s="58" t="str">
        <x:v>ERR-030</x:v>
      </x:c>
      <x:c r="B34" s="58" t="str">
        <x:v>SET-011; HEALTH-002; HEALTH-006</x:v>
      </x:c>
      <x:c r="C34" s="58" t="str">
        <x:v>P1</x:v>
      </x:c>
      <x:c r="D34" s="58" t="str">
        <x:v>Native entitlement</x:v>
      </x:c>
      <x:c r="E34" s="58" t="str">
        <x:v>The iOS simulator target is not assigned Buff’s Apple Health entitlements.</x:v>
      </x:c>
      <x:c r="F34" s="58" t="str">
        <x:v>Sign the simulator target with the existing NativePHP entitlements file.</x:v>
      </x:c>
      <x:c r="G34" s="58" t="str">
        <x:v>Apple Health authorization and sync are unavailable in the simulator build.</x:v>
      </x:c>
      <x:c r="H34" s="58" t="str">
        <x:v>native-plugins/native-refresh/src/Commands/InstallNativePullRefreshCommand.php</x:v>
      </x:c>
      <x:c r="I34" s="58" t="str">
        <x:v>iOS simulator</x:v>
      </x:c>
      <x:c r="J34" s="58" t="str">
        <x:v>Reproduced</x:v>
      </x:c>
      <x:c r="K34" s="58" t="str">
        <x:v>The simulator build configurations omitted CODE_SIGN_ENTITLEMENTS, preventing Apple Health authorization.</x:v>
      </x:c>
      <x:c r="L34" s="58" t="str">
        <x:v>Fixed</x:v>
      </x:c>
      <x:c r="M34" s="58" t="str">
        <x:v>Assign NativePHP.entitlements to every simulator build configuration.</x:v>
      </x:c>
      <x:c r="N34" s="58" t="str">
        <x:v>Pass</x:v>
      </x:c>
      <x:c r="O34" s="58" t="str">
        <x:v>The iOS authorization sheet opened, permissions completed, and Apple Health sync returned successfully.</x:v>
      </x:c>
      <x:c r="P34" s="58" t="str">
        <x:v>Resolved</x:v>
      </x:c>
    </x:row>
    <x:row r="35" ht="64" customHeight="1">
      <x:c r="A35" s="58" t="str">
        <x:v>ERR-031</x:v>
      </x:c>
      <x:c r="B35" s="58" t="str">
        <x:v>AUTH-014</x:v>
      </x:c>
      <x:c r="C35" s="58" t="str">
        <x:v>P3</x:v>
      </x:c>
      <x:c r="D35" s="58" t="str">
        <x:v>UX</x:v>
      </x:c>
      <x:c r="E35" s="58" t="str">
        <x:v>Editing an unverified profile shows an email-verification warning even when the email did not change.</x:v>
      </x:c>
      <x:c r="F35" s="58" t="str">
        <x:v>Show the verification reminder only when the submitted email differs from the stored account email.</x:v>
      </x:c>
      <x:c r="G35" s="58" t="str">
        <x:v>A name-only edit misleadingly tells the user to check an unchanged email address.</x:v>
      </x:c>
      <x:c r="H35" s="58" t="str">
        <x:v>app/Http/Controllers/AccountController.php</x:v>
      </x:c>
      <x:c r="I35" s="58" t="str">
        <x:v>iOS simulator</x:v>
      </x:c>
      <x:c r="J35" s="58" t="str">
        <x:v>Reproduced</x:v>
      </x:c>
      <x:c r="K35" s="58" t="str">
        <x:v>A name-only profile edit on an unverified account returned the check-your-email message.</x:v>
      </x:c>
      <x:c r="L35" s="58" t="str">
        <x:v>Fixed</x:v>
      </x:c>
      <x:c r="M35" s="58" t="str">
        <x:v>Compare the submitted email with the stored account email before choosing the verification reminder.</x:v>
      </x:c>
      <x:c r="N35" s="58" t="str">
        <x:v>Pass</x:v>
      </x:c>
      <x:c r="O35" s="58" t="str">
        <x:v>Name-only profile save returned the neutral Account updated confirmation.</x:v>
      </x:c>
      <x:c r="P35" s="58" t="str">
        <x:v>Resolved</x:v>
      </x:c>
    </x:row>
    <x:row r="36" ht="64" customHeight="1">
      <x:c r="A36" s="58" t="str">
        <x:v>ERR-032</x:v>
      </x:c>
      <x:c r="B36" s="58" t="str">
        <x:v>RECIPE-005</x:v>
      </x:c>
      <x:c r="C36" s="58" t="str">
        <x:v>P2</x:v>
      </x:c>
      <x:c r="D36" s="58" t="str">
        <x:v>UX</x:v>
      </x:c>
      <x:c r="E36" s="58" t="str">
        <x:v>Successful recipe creation leaves the completed editor open and populated.</x:v>
      </x:c>
      <x:c r="F36" s="58" t="str">
        <x:v>Reset the form and return to the recipe list after the server accepts the recipe.</x:v>
      </x:c>
      <x:c r="G36" s="58" t="str">
        <x:v>Users can accidentally submit the same recipe again and cannot tell the save completed.</x:v>
      </x:c>
      <x:c r="H36" s="58" t="str">
        <x:v>resources/js/Components/RecipeMode.vue</x:v>
      </x:c>
      <x:c r="I36" s="58" t="str">
        <x:v>iOS simulator</x:v>
      </x:c>
      <x:c r="J36" s="58" t="str">
        <x:v>Reproduced</x:v>
      </x:c>
      <x:c r="K36" s="58" t="str">
        <x:v>Saving a valid iOS recipe left the completed editor and its values visible.</x:v>
      </x:c>
      <x:c r="L36" s="58" t="str">
        <x:v>Fixed</x:v>
      </x:c>
      <x:c r="M36" s="58" t="str">
        <x:v>Reset the recipe form and close creation mode in the successful request callback.</x:v>
      </x:c>
      <x:c r="N36" s="58" t="str">
        <x:v>Pass</x:v>
      </x:c>
      <x:c r="O36" s="58" t="str">
        <x:v>Creating IOS Recipe QA returned to the recipe list with a reset editor.</x:v>
      </x:c>
      <x:c r="P36" s="58" t="str">
        <x:v>Resolved</x:v>
      </x:c>
    </x:row>
    <x:row r="37" ht="64" customHeight="1">
      <x:c r="A37" s="58" t="str">
        <x:v>ERR-033</x:v>
      </x:c>
      <x:c r="B37" s="58" t="str">
        <x:v>PHOTO-001</x:v>
      </x:c>
      <x:c r="C37" s="58" t="str">
        <x:v>P3</x:v>
      </x:c>
      <x:c r="D37" s="58" t="str">
        <x:v>Test interpretation</x:v>
      </x:c>
      <x:c r="E37" s="58" t="str">
        <x:v>The iOS photo field initially appears to offer no reusable source chooser.</x:v>
      </x:c>
      <x:c r="F37" s="58" t="str">
        <x:v>Use the native photo-input sheet and verify library, camera, files, and preview behavior.</x:v>
      </x:c>
      <x:c r="G37" s="58" t="str">
        <x:v>The native action sheet already offers Photo Library, Take Photo, and Choose Files; no product defect is present.</x:v>
      </x:c>
      <x:c r="H37" s="58" t="str">
        <x:v>resources/js/Pages/Add.vue</x:v>
      </x:c>
      <x:c r="I37" s="58" t="str">
        <x:v>iOS simulator</x:v>
      </x:c>
      <x:c r="J37" s="58" t="str">
        <x:v>Not reproducible</x:v>
      </x:c>
      <x:c r="K37" s="58" t="str">
        <x:v>Native picker inspection showed the expected three-source action sheet; the reported issue was not reproducible.</x:v>
      </x:c>
      <x:c r="L37" s="58" t="str">
        <x:v>Not needed</x:v>
      </x:c>
      <x:c r="M37" s="58" t="str">
        <x:v>No code change; verify the native source sheet and reusable preview behavior.</x:v>
      </x:c>
      <x:c r="N37" s="58" t="str">
        <x:v>Pass</x:v>
      </x:c>
      <x:c r="O37" s="58" t="str">
        <x:v>iOS offered Photo Library, Take Photo, and Choose Files; selecting a photo produced a reusable preview.</x:v>
      </x:c>
      <x:c r="P37" s="58" t="str">
        <x:v>Resolved</x:v>
      </x:c>
    </x:row>
    <x:row r="38" ht="64" customHeight="1">
      <x:c r="A38" s="58" t="str">
        <x:v>ERR-034</x:v>
      </x:c>
      <x:c r="B38" s="58" t="str">
        <x:v>TOD-012</x:v>
      </x:c>
      <x:c r="C38" s="58" t="str">
        <x:v>P2</x:v>
      </x:c>
      <x:c r="D38" s="58" t="str">
        <x:v>UX</x:v>
      </x:c>
      <x:c r="E38" s="58" t="str">
        <x:v>The workout editor remains open after a successful save.</x:v>
      </x:c>
      <x:c r="F38" s="58" t="str">
        <x:v>Close and reset the sheet from the successful Inertia callback.</x:v>
      </x:c>
      <x:c r="G38" s="58" t="str">
        <x:v>The success callback calls close while processing is still true, so the guard refuses to dismiss the editor.</x:v>
      </x:c>
      <x:c r="H38" s="58" t="str">
        <x:v>resources/js/Pages/Today.vue</x:v>
      </x:c>
      <x:c r="I38" s="58" t="str">
        <x:v>iOS simulator</x:v>
      </x:c>
      <x:c r="J38" s="58" t="str">
        <x:v>Reproduced</x:v>
      </x:c>
      <x:c r="K38" s="58" t="str">
        <x:v>A successful workout update showed confirmation but left the editor sheet open because processing was still true inside onSuccess.</x:v>
      </x:c>
      <x:c r="L38" s="58" t="str">
        <x:v>Fixed</x:v>
      </x:c>
      <x:c r="M38" s="58" t="str">
        <x:v>Remove the processing guard so the successful callback can close and reset the workout editor.</x:v>
      </x:c>
      <x:c r="N38" s="58" t="str">
        <x:v>Pass</x:v>
      </x:c>
      <x:c r="O38" s="58" t="str">
        <x:v>iosUxRegressions passed and the edited IOS Redirect Final sheet dismissed after the success toast.</x:v>
      </x:c>
      <x:c r="P38" s="58" t="str">
        <x:v>Resolved</x:v>
      </x:c>
    </x:row>
    <x:row r="39" ht="64" customHeight="1">
      <x:c r="A39" s="58" t="str">
        <x:v>ERR-035</x:v>
      </x:c>
      <x:c r="B39" s="58" t="str">
        <x:v>RECIPE-008</x:v>
      </x:c>
      <x:c r="C39" s="58" t="str">
        <x:v>P1</x:v>
      </x:c>
      <x:c r="D39" s="58" t="str">
        <x:v>Logic / UX</x:v>
      </x:c>
      <x:c r="E39" s="58" t="str">
        <x:v>An empty meal query bypasses the breakfast default and recipe validation errors are invisible.</x:v>
      </x:c>
      <x:c r="F39" s="58" t="str">
        <x:v>Treat an empty meal as breakfast and display meal-type and servings errors next to their controls.</x:v>
      </x:c>
      <x:c r="G39" s="58" t="str">
        <x:v>Logging a recipe from an unscoped Add route silently fails with an empty meal_type.</x:v>
      </x:c>
      <x:c r="H39" s="58" t="str">
        <x:v>resources/js/Components/RecipeMode.vue</x:v>
      </x:c>
      <x:c r="I39" s="58" t="str">
        <x:v>iOS simulator</x:v>
      </x:c>
      <x:c r="J39" s="58" t="str">
        <x:v>Reproduced</x:v>
      </x:c>
      <x:c r="K39" s="58" t="str">
        <x:v>Recipe mode received meal=""; nullish fallback preserved it, and the rejected request had no visible meal_type or servings message.</x:v>
      </x:c>
      <x:c r="L39" s="58" t="str">
        <x:v>Fixed</x:v>
      </x:c>
      <x:c r="M39" s="58" t="str">
        <x:v>Use truthy fallback for meal_type and render meal-type and servings validation errors.</x:v>
      </x:c>
      <x:c r="N39" s="58" t="str">
        <x:v>Pass</x:v>
      </x:c>
      <x:c r="O39" s="58" t="str">
        <x:v>iosUxRegressions passed; Breakfast defaulted visibly and the 165 kcal recipe log persisted on Today.</x:v>
      </x:c>
      <x:c r="P39" s="58" t="str">
        <x:v>Resolved</x:v>
      </x:c>
    </x:row>
    <x:row r="40" ht="64" customHeight="1">
      <x:c r="A40" s="58" t="str">
        <x:v>ERR-036</x:v>
      </x:c>
      <x:c r="B40" s="58" t="str">
        <x:v>APP-001</x:v>
      </x:c>
      <x:c r="C40" s="58" t="str">
        <x:v>P2</x:v>
      </x:c>
      <x:c r="D40" s="58" t="str">
        <x:v>Web asset URL</x:v>
      </x:c>
      <x:c r="E40" s="58" t="str">
        <x:v>An iOS production bundle makes the desktop sidebar logo use the NativePHP asset path.</x:v>
      </x:c>
      <x:c r="F40" s="58" t="str">
        <x:v>Use /_assets only inside the iOS php webview and root public URLs in web browsers.</x:v>
      </x:c>
      <x:c r="G40" s="58" t="str">
        <x:v>After an iOS build, the web sidebar requests /_assets/logo.svg, receives 404, and renders the Buff alt text.</x:v>
      </x:c>
      <x:c r="H40" s="58" t="str">
        <x:v>resources/js/publicAssetUrl.ts; resources/js/Layouts/AppShell.vue</x:v>
      </x:c>
      <x:c r="I40" s="58" t="str">
        <x:v>Web browser</x:v>
      </x:c>
      <x:c r="J40" s="58" t="str">
        <x:v>Reproduced</x:v>
      </x:c>
      <x:c r="K40" s="58" t="str">
        <x:v>The emitted iOS-base bundle resolved the web logo to /_assets/logo.svg; that URL returned 404 while /logo.svg returned 200 image/svg+xml.</x:v>
      </x:c>
      <x:c r="L40" s="58" t="str">
        <x:v>Fixed</x:v>
      </x:c>
      <x:c r="M40" s="58" t="str">
        <x:v>Gate the /_assets prefix on the runtime php protocol so one bundle resolves public artwork correctly on iOS and the web.</x:v>
      </x:c>
      <x:c r="N40" s="58" t="str">
        <x:v>Pass</x:v>
      </x:c>
      <x:c r="O40" s="58" t="str">
        <x:v>publicAssetUrl regression passed; frontend 44/44, type-check, web build, Buff 230/230, and server 149/149 passed; both web logo URLs return 200 image/svg+xml and a fresh iOS light/dark smoke passed.</x:v>
      </x:c>
      <x:c r="P40" s="58" t="str">
        <x:v>Resolved</x:v>
      </x:c>
    </x:row>
  </x:sheetData>
  <x:mergeCells>
    <x:mergeCell ref="A1:P1"/>
    <x:mergeCell ref="A2:P2"/>
  </x:mergeCells>
  <x:conditionalFormatting sqref="C5:C40">
    <x:cfRule type="containsText" dxfId="9" priority="1" operator="containsText" text="P1"/>
  </x:conditionalFormatting>
  <x:conditionalFormatting sqref="P5:P40">
    <x:cfRule type="containsText" dxfId="10" priority="2" operator="containsText" text="Resolved"/>
  </x:conditionalFormatting>
  <x:dataValidations count="5">
    <x:dataValidation type="list" sqref="C5:C40">
      <x:formula1>"P1,P2,P3"</x:formula1>
    </x:dataValidation>
    <x:dataValidation type="list" sqref="J5:J40">
      <x:formula1>"Needs reproduction,Reproduced,Not reproducible,Blocked"</x:formula1>
    </x:dataValidation>
    <x:dataValidation type="list" sqref="L5:L40">
      <x:formula1>"Not needed,Pending,In progress,Fixed,Deferred"</x:formula1>
    </x:dataValidation>
    <x:dataValidation type="list" sqref="N5:N40">
      <x:formula1>"Pending,Pass,Fail,Blocked,Not applicable"</x:formula1>
    </x:dataValidation>
    <x:dataValidation type="list" sqref="P5:P40">
      <x:formula1>"Open,Resolved,Deferred"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41534e734a47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22" hidden="0" customWidth="1"/>
    <x:col min="5" max="5" width="16" hidden="0" customWidth="1"/>
    <x:col min="6" max="6" width="22" hidden="0" customWidth="1"/>
    <x:col min="7" max="7" width="14" hidden="0" customWidth="1"/>
    <x:col min="8" max="8" width="55" hidden="0" customWidth="1"/>
    <x:col min="9" max="9" width="18" hidden="0" customWidth="1"/>
    <x:col min="10" max="10" width="45" hidden="0" customWidth="1"/>
  </x:cols>
  <x:sheetData>
    <x:row r="1" ht="32" customHeight="1">
      <x:c r="A1" s="50" t="str">
        <x:v>Test execution log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22" customHeight="1">
      <x:c r="A2" s="51" t="str">
        <x:v>Append one concise result per Story ID and phase. Initial and Retest runs remain distinct.</x:v>
      </x:c>
      <x:c r="B2" s="51"/>
      <x:c r="C2" s="51"/>
      <x:c r="D2" s="51"/>
      <x:c r="E2" s="51"/>
      <x:c r="F2" s="51"/>
      <x:c r="G2" s="51"/>
      <x:c r="H2" s="51"/>
      <x:c r="I2" s="51"/>
      <x:c r="J2" s="51"/>
    </x:row>
    <x:row r="4" ht="32" customHeight="1">
      <x:c r="A4" s="54" t="str">
        <x:v>Run ID</x:v>
      </x:c>
      <x:c r="B4" s="54" t="str">
        <x:v>Story ID</x:v>
      </x:c>
      <x:c r="C4" s="54" t="str">
        <x:v>Phase</x:v>
      </x:c>
      <x:c r="D4" s="54" t="str">
        <x:v>Executed at</x:v>
      </x:c>
      <x:c r="E4" s="54" t="str">
        <x:v>Platform</x:v>
      </x:c>
      <x:c r="F4" s="54" t="str">
        <x:v>Method</x:v>
      </x:c>
      <x:c r="G4" s="54" t="str">
        <x:v>Result</x:v>
      </x:c>
      <x:c r="H4" s="54" t="str">
        <x:v>Evidence / assertion</x:v>
      </x:c>
      <x:c r="I4" s="54" t="str">
        <x:v>Error IDs</x:v>
      </x:c>
      <x:c r="J4" s="54" t="str">
        <x:v>Notes</x:v>
      </x:c>
    </x:row>
    <x:row r="5" ht="52" customHeight="1">
      <x:c r="A5" s="58" t="str">
        <x:v>RUN-I-001</x:v>
      </x:c>
      <x:c r="B5" s="58" t="str">
        <x:v>APP-001</x:v>
      </x:c>
      <x:c r="C5" s="58" t="str">
        <x:v>Initial</x:v>
      </x:c>
      <x:c r="D5" s="63" t="n">
        <x:v>46259.796481481484</x:v>
      </x:c>
      <x:c r="E5" s="58" t="str">
        <x:v>All</x:v>
      </x:c>
      <x:c r="F5" s="58" t="str">
        <x:v>Automated + browser</x:v>
      </x:c>
      <x:c r="G5" s="58" t="str">
        <x:v>Fail</x:v>
      </x:c>
      <x:c r="H5" s="58" t="str">
        <x:v>Reproduced ERR-025, ERR-036; see Errors.</x:v>
      </x:c>
      <x:c r="I5" s="58" t="str">
        <x:v>ERR-017; ERR-018; ERR-019; ERR-025; ERR-036</x:v>
      </x:c>
      <x:c r="J5" s="58" t="str"/>
    </x:row>
    <x:row r="6" ht="52" customHeight="1">
      <x:c r="A6" s="58" t="str">
        <x:v>RUN-I-002</x:v>
      </x:c>
      <x:c r="B6" s="58" t="str">
        <x:v>APP-002</x:v>
      </x:c>
      <x:c r="C6" s="58" t="str">
        <x:v>Initial</x:v>
      </x:c>
      <x:c r="D6" s="63" t="n">
        <x:v>46259.796481481484</x:v>
      </x:c>
      <x:c r="E6" s="58" t="str">
        <x:v>All</x:v>
      </x:c>
      <x:c r="F6" s="58" t="str">
        <x:v>Browser</x:v>
      </x:c>
      <x:c r="G6" s="58" t="str">
        <x:v>Pass</x:v>
      </x:c>
      <x:c r="H6" s="58" t="str">
        <x:v>Relevant automated coverage passed in the 213-test PHP and 39-test frontend baseline.</x:v>
      </x:c>
      <x:c r="I6" s="58" t="str"/>
      <x:c r="J6" s="58" t="str"/>
    </x:row>
    <x:row r="7" ht="52" customHeight="1">
      <x:c r="A7" s="58" t="str">
        <x:v>RUN-I-003</x:v>
      </x:c>
      <x:c r="B7" s="58" t="str">
        <x:v>APP-003</x:v>
      </x:c>
      <x:c r="C7" s="58" t="str">
        <x:v>Initial</x:v>
      </x:c>
      <x:c r="D7" s="63" t="n">
        <x:v>46259.796481481484</x:v>
      </x:c>
      <x:c r="E7" s="58" t="str">
        <x:v>All</x:v>
      </x:c>
      <x:c r="F7" s="58" t="str">
        <x:v>Automated + browser</x:v>
      </x:c>
      <x:c r="G7" s="58" t="str">
        <x:v>Fail</x:v>
      </x:c>
      <x:c r="H7" s="58" t="str">
        <x:v>Reproduced ERR-020, ERR-029; see Errors.</x:v>
      </x:c>
      <x:c r="I7" s="58" t="str">
        <x:v>ERR-020; ERR-029</x:v>
      </x:c>
      <x:c r="J7" s="58" t="str"/>
    </x:row>
    <x:row r="8" ht="52" customHeight="1">
      <x:c r="A8" s="58" t="str">
        <x:v>RUN-I-004</x:v>
      </x:c>
      <x:c r="B8" s="58" t="str">
        <x:v>APP-004</x:v>
      </x:c>
      <x:c r="C8" s="58" t="str">
        <x:v>Initial</x:v>
      </x:c>
      <x:c r="D8" s="63" t="n">
        <x:v>46259.796481481484</x:v>
      </x:c>
      <x:c r="E8" s="58" t="str">
        <x:v>Android</x:v>
      </x:c>
      <x:c r="F8" s="58" t="str">
        <x:v>Automated + native device</x:v>
      </x:c>
      <x:c r="G8" s="58" t="str">
        <x:v>Fail</x:v>
      </x:c>
      <x:c r="H8" s="58" t="str">
        <x:v>Android Back reproduced ERR-022 across Settings and the progress camera.</x:v>
      </x:c>
      <x:c r="I8" s="58" t="str">
        <x:v>ERR-022</x:v>
      </x:c>
      <x:c r="J8" s="58" t="str"/>
    </x:row>
    <x:row r="9" ht="52" customHeight="1">
      <x:c r="A9" s="58" t="str">
        <x:v>RUN-I-005</x:v>
      </x:c>
      <x:c r="B9" s="58" t="str">
        <x:v>APP-005</x:v>
      </x:c>
      <x:c r="C9" s="58" t="str">
        <x:v>Initial</x:v>
      </x:c>
      <x:c r="D9" s="63" t="n">
        <x:v>46259.796481481484</x:v>
      </x:c>
      <x:c r="E9" s="58" t="str">
        <x:v>All</x:v>
      </x:c>
      <x:c r="F9" s="58" t="str">
        <x:v>Automated + browser</x:v>
      </x:c>
      <x:c r="G9" s="58" t="str">
        <x:v>Pass</x:v>
      </x:c>
      <x:c r="H9" s="58" t="str">
        <x:v>Relevant automated coverage passed and the live desktop/mobile surface and safe interactions were verified.</x:v>
      </x:c>
      <x:c r="I9" s="58" t="str"/>
      <x:c r="J9" s="58" t="str"/>
    </x:row>
    <x:row r="10" ht="52" customHeight="1">
      <x:c r="A10" s="58" t="str">
        <x:v>RUN-I-006</x:v>
      </x:c>
      <x:c r="B10" s="58" t="str">
        <x:v>APP-006</x:v>
      </x:c>
      <x:c r="C10" s="58" t="str">
        <x:v>Initial</x:v>
      </x:c>
      <x:c r="D10" s="63" t="n">
        <x:v>46259.796481481484</x:v>
      </x:c>
      <x:c r="E10" s="58" t="str">
        <x:v>All</x:v>
      </x:c>
      <x:c r="F10" s="58" t="str">
        <x:v>Automated + browser</x:v>
      </x:c>
      <x:c r="G10" s="58" t="str">
        <x:v>Pass</x:v>
      </x:c>
      <x:c r="H10" s="58" t="str">
        <x:v>Relevant automated coverage passed and the live desktop/mobile surface and safe interactions were verified.</x:v>
      </x:c>
      <x:c r="I10" s="58" t="str"/>
      <x:c r="J10" s="58" t="str"/>
    </x:row>
    <x:row r="11" ht="52" customHeight="1">
      <x:c r="A11" s="58" t="str">
        <x:v>RUN-I-007</x:v>
      </x:c>
      <x:c r="B11" s="58" t="str">
        <x:v>APP-007</x:v>
      </x:c>
      <x:c r="C11" s="58" t="str">
        <x:v>Initial</x:v>
      </x:c>
      <x:c r="D11" s="63" t="n">
        <x:v>46259.796481481484</x:v>
      </x:c>
      <x:c r="E11" s="58" t="str">
        <x:v>All</x:v>
      </x:c>
      <x:c r="F11" s="58" t="str">
        <x:v>Browser</x:v>
      </x:c>
      <x:c r="G11" s="58" t="str">
        <x:v>Pass</x:v>
      </x:c>
      <x:c r="H11" s="58" t="str">
        <x:v>Relevant automated coverage passed in the 213-test PHP and 39-test frontend baseline.</x:v>
      </x:c>
      <x:c r="I11" s="58" t="str"/>
      <x:c r="J11" s="58" t="str"/>
    </x:row>
    <x:row r="12" ht="52" customHeight="1">
      <x:c r="A12" s="58" t="str">
        <x:v>RUN-I-008</x:v>
      </x:c>
      <x:c r="B12" s="58" t="str">
        <x:v>APP-008</x:v>
      </x:c>
      <x:c r="C12" s="58" t="str">
        <x:v>Initial</x:v>
      </x:c>
      <x:c r="D12" s="63" t="n">
        <x:v>46259.796481481484</x:v>
      </x:c>
      <x:c r="E12" s="58" t="str">
        <x:v>All</x:v>
      </x:c>
      <x:c r="F12" s="58" t="str">
        <x:v>Automated</x:v>
      </x:c>
      <x:c r="G12" s="58" t="str">
        <x:v>Pass</x:v>
      </x:c>
      <x:c r="H12" s="58" t="str">
        <x:v>Relevant automated coverage passed in the 213-test PHP and 39-test frontend baseline.</x:v>
      </x:c>
      <x:c r="I12" s="58" t="str"/>
      <x:c r="J12" s="58" t="str"/>
    </x:row>
    <x:row r="13" ht="52" customHeight="1">
      <x:c r="A13" s="58" t="str">
        <x:v>RUN-I-009</x:v>
      </x:c>
      <x:c r="B13" s="58" t="str">
        <x:v>APP-009</x:v>
      </x:c>
      <x:c r="C13" s="58" t="str">
        <x:v>Initial</x:v>
      </x:c>
      <x:c r="D13" s="63" t="n">
        <x:v>46259.796481481484</x:v>
      </x:c>
      <x:c r="E13" s="58" t="str">
        <x:v>iOS + Android</x:v>
      </x:c>
      <x:c r="F13" s="58" t="str">
        <x:v>Automated + native device</x:v>
      </x:c>
      <x:c r="G13" s="58" t="str">
        <x:v>Pass</x:v>
      </x:c>
      <x:c r="H13" s="58" t="str">
        <x:v>Android reported portrait; the apparent iOS rotation issue was later classified as ERR-026 test interpretation.</x:v>
      </x:c>
      <x:c r="I13" s="58" t="str">
        <x:v>ERR-026</x:v>
      </x:c>
      <x:c r="J13" s="58" t="str"/>
    </x:row>
    <x:row r="14" ht="52" customHeight="1">
      <x:c r="A14" s="58" t="str">
        <x:v>RUN-I-010</x:v>
      </x:c>
      <x:c r="B14" s="58" t="str">
        <x:v>APP-010</x:v>
      </x:c>
      <x:c r="C14" s="58" t="str">
        <x:v>Initial</x:v>
      </x:c>
      <x:c r="D14" s="63" t="n">
        <x:v>46259.796481481484</x:v>
      </x:c>
      <x:c r="E14" s="58" t="str">
        <x:v>iOS + Android</x:v>
      </x:c>
      <x:c r="F14" s="58" t="str">
        <x:v>Static + native device</x:v>
      </x:c>
      <x:c r="G14" s="58" t="str">
        <x:v>Fail</x:v>
      </x:c>
      <x:c r="H14" s="58" t="str">
        <x:v>Android pull-to-refresh passed, while iOS reproduced ERR-027 because the plugin was Android-only.</x:v>
      </x:c>
      <x:c r="I14" s="58" t="str">
        <x:v>ERR-027</x:v>
      </x:c>
      <x:c r="J14" s="58" t="str"/>
    </x:row>
    <x:row r="15" ht="52" customHeight="1">
      <x:c r="A15" s="58" t="str">
        <x:v>RUN-I-011</x:v>
      </x:c>
      <x:c r="B15" s="58" t="str">
        <x:v>AUTH-001</x:v>
      </x:c>
      <x:c r="C15" s="58" t="str">
        <x:v>Initial</x:v>
      </x:c>
      <x:c r="D15" s="63" t="n">
        <x:v>46259.796481481484</x:v>
      </x:c>
      <x:c r="E15" s="58" t="str">
        <x:v>All</x:v>
      </x:c>
      <x:c r="F15" s="58" t="str">
        <x:v>Automated + browser</x:v>
      </x:c>
      <x:c r="G15" s="58" t="str">
        <x:v>Pass</x:v>
      </x:c>
      <x:c r="H15" s="58" t="str">
        <x:v>Relevant automated coverage passed and the live desktop/mobile surface and safe interactions were verified.</x:v>
      </x:c>
      <x:c r="I15" s="58" t="str">
        <x:v>ERR-015</x:v>
      </x:c>
      <x:c r="J15" s="58" t="str"/>
    </x:row>
    <x:row r="16" ht="52" customHeight="1">
      <x:c r="A16" s="58" t="str">
        <x:v>RUN-I-012</x:v>
      </x:c>
      <x:c r="B16" s="58" t="str">
        <x:v>AUTH-002</x:v>
      </x:c>
      <x:c r="C16" s="58" t="str">
        <x:v>Initial</x:v>
      </x:c>
      <x:c r="D16" s="63" t="n">
        <x:v>46259.796481481484</x:v>
      </x:c>
      <x:c r="E16" s="58" t="str">
        <x:v>All</x:v>
      </x:c>
      <x:c r="F16" s="58" t="str">
        <x:v>Automated</x:v>
      </x:c>
      <x:c r="G16" s="58" t="str">
        <x:v>Pass</x:v>
      </x:c>
      <x:c r="H16" s="58" t="str">
        <x:v>Relevant automated coverage passed in the 213-test PHP and 39-test frontend baseline.</x:v>
      </x:c>
      <x:c r="I16" s="58" t="str"/>
      <x:c r="J16" s="58" t="str"/>
    </x:row>
    <x:row r="17" ht="52" customHeight="1">
      <x:c r="A17" s="58" t="str">
        <x:v>RUN-I-013</x:v>
      </x:c>
      <x:c r="B17" s="58" t="str">
        <x:v>AUTH-003</x:v>
      </x:c>
      <x:c r="C17" s="58" t="str">
        <x:v>Initial</x:v>
      </x:c>
      <x:c r="D17" s="63" t="n">
        <x:v>46259.796481481484</x:v>
      </x:c>
      <x:c r="E17" s="58" t="str">
        <x:v>All</x:v>
      </x:c>
      <x:c r="F17" s="58" t="str">
        <x:v>Automated + browser</x:v>
      </x:c>
      <x:c r="G17" s="58" t="str">
        <x:v>Pass</x:v>
      </x:c>
      <x:c r="H17" s="58" t="str">
        <x:v>Relevant automated coverage passed and the live desktop/mobile surface and safe interactions were verified.</x:v>
      </x:c>
      <x:c r="I17" s="58" t="str"/>
      <x:c r="J17" s="58" t="str"/>
    </x:row>
    <x:row r="18" ht="52" customHeight="1">
      <x:c r="A18" s="58" t="str">
        <x:v>RUN-I-014</x:v>
      </x:c>
      <x:c r="B18" s="58" t="str">
        <x:v>AUTH-004</x:v>
      </x:c>
      <x:c r="C18" s="58" t="str">
        <x:v>Initial</x:v>
      </x:c>
      <x:c r="D18" s="63" t="n">
        <x:v>46259.796481481484</x:v>
      </x:c>
      <x:c r="E18" s="58" t="str">
        <x:v>All</x:v>
      </x:c>
      <x:c r="F18" s="58" t="str">
        <x:v>Automated + browser</x:v>
      </x:c>
      <x:c r="G18" s="58" t="str">
        <x:v>Pass</x:v>
      </x:c>
      <x:c r="H18" s="58" t="str">
        <x:v>Relevant automated coverage passed and the live desktop/mobile surface and safe interactions were verified.</x:v>
      </x:c>
      <x:c r="I18" s="58" t="str"/>
      <x:c r="J18" s="58" t="str"/>
    </x:row>
    <x:row r="19" ht="52" customHeight="1">
      <x:c r="A19" s="58" t="str">
        <x:v>RUN-I-015</x:v>
      </x:c>
      <x:c r="B19" s="58" t="str">
        <x:v>AUTH-005</x:v>
      </x:c>
      <x:c r="C19" s="58" t="str">
        <x:v>Initial</x:v>
      </x:c>
      <x:c r="D19" s="63" t="n">
        <x:v>46259.796481481484</x:v>
      </x:c>
      <x:c r="E19" s="58" t="str">
        <x:v>All</x:v>
      </x:c>
      <x:c r="F19" s="58" t="str">
        <x:v>Automated + browser</x:v>
      </x:c>
      <x:c r="G19" s="58" t="str">
        <x:v>Pass</x:v>
      </x:c>
      <x:c r="H19" s="58" t="str">
        <x:v>Relevant automated coverage passed and the live desktop/mobile surface and safe interactions were verified.</x:v>
      </x:c>
      <x:c r="I19" s="58" t="str"/>
      <x:c r="J19" s="58" t="str"/>
    </x:row>
    <x:row r="20" ht="52" customHeight="1">
      <x:c r="A20" s="58" t="str">
        <x:v>RUN-I-016</x:v>
      </x:c>
      <x:c r="B20" s="58" t="str">
        <x:v>AUTH-006</x:v>
      </x:c>
      <x:c r="C20" s="58" t="str">
        <x:v>Initial</x:v>
      </x:c>
      <x:c r="D20" s="63" t="n">
        <x:v>46259.796481481484</x:v>
      </x:c>
      <x:c r="E20" s="58" t="str">
        <x:v>All</x:v>
      </x:c>
      <x:c r="F20" s="58" t="str">
        <x:v>Browser</x:v>
      </x:c>
      <x:c r="G20" s="58" t="str">
        <x:v>Pass</x:v>
      </x:c>
      <x:c r="H20" s="58" t="str">
        <x:v>Relevant automated coverage passed in the 213-test PHP and 39-test frontend baseline.</x:v>
      </x:c>
      <x:c r="I20" s="58" t="str"/>
      <x:c r="J20" s="58" t="str"/>
    </x:row>
    <x:row r="21" ht="52" customHeight="1">
      <x:c r="A21" s="58" t="str">
        <x:v>RUN-I-017</x:v>
      </x:c>
      <x:c r="B21" s="58" t="str">
        <x:v>AUTH-007</x:v>
      </x:c>
      <x:c r="C21" s="58" t="str">
        <x:v>Initial</x:v>
      </x:c>
      <x:c r="D21" s="63" t="n">
        <x:v>46259.796481481484</x:v>
      </x:c>
      <x:c r="E21" s="58" t="str">
        <x:v>All</x:v>
      </x:c>
      <x:c r="F21" s="58" t="str">
        <x:v>Automated + browser</x:v>
      </x:c>
      <x:c r="G21" s="58" t="str">
        <x:v>Pass</x:v>
      </x:c>
      <x:c r="H21" s="58" t="str">
        <x:v>Relevant automated coverage passed and the live desktop/mobile surface and safe interactions were verified.</x:v>
      </x:c>
      <x:c r="I21" s="58" t="str"/>
      <x:c r="J21" s="58" t="str"/>
    </x:row>
    <x:row r="22" ht="52" customHeight="1">
      <x:c r="A22" s="58" t="str">
        <x:v>RUN-I-018</x:v>
      </x:c>
      <x:c r="B22" s="58" t="str">
        <x:v>AUTH-008</x:v>
      </x:c>
      <x:c r="C22" s="58" t="str">
        <x:v>Initial</x:v>
      </x:c>
      <x:c r="D22" s="63" t="n">
        <x:v>46259.796481481484</x:v>
      </x:c>
      <x:c r="E22" s="58" t="str">
        <x:v>iOS</x:v>
      </x:c>
      <x:c r="F22" s="58" t="str">
        <x:v>Automated + native device</x:v>
      </x:c>
      <x:c r="G22" s="58" t="str">
        <x:v>Blocked</x:v>
      </x:c>
      <x:c r="H22" s="58" t="str">
        <x:v>The initial run awaited a platform selection for this iOS-only behavior.</x:v>
      </x:c>
      <x:c r="I22" s="58" t="str"/>
      <x:c r="J22" s="58" t="str"/>
    </x:row>
    <x:row r="23" ht="52" customHeight="1">
      <x:c r="A23" s="58" t="str">
        <x:v>RUN-I-019</x:v>
      </x:c>
      <x:c r="B23" s="58" t="str">
        <x:v>AUTH-009</x:v>
      </x:c>
      <x:c r="C23" s="58" t="str">
        <x:v>Initial</x:v>
      </x:c>
      <x:c r="D23" s="63" t="n">
        <x:v>46259.796481481484</x:v>
      </x:c>
      <x:c r="E23" s="58" t="str">
        <x:v>All</x:v>
      </x:c>
      <x:c r="F23" s="58" t="str">
        <x:v>Automated</x:v>
      </x:c>
      <x:c r="G23" s="58" t="str">
        <x:v>Fail</x:v>
      </x:c>
      <x:c r="H23" s="58" t="str">
        <x:v>Reproduced ERR-001; see Errors.</x:v>
      </x:c>
      <x:c r="I23" s="58" t="str">
        <x:v>ERR-001</x:v>
      </x:c>
      <x:c r="J23" s="58" t="str"/>
    </x:row>
    <x:row r="24" ht="52" customHeight="1">
      <x:c r="A24" s="58" t="str">
        <x:v>RUN-I-020</x:v>
      </x:c>
      <x:c r="B24" s="58" t="str">
        <x:v>AUTH-010</x:v>
      </x:c>
      <x:c r="C24" s="58" t="str">
        <x:v>Initial</x:v>
      </x:c>
      <x:c r="D24" s="63" t="n">
        <x:v>46259.796481481484</x:v>
      </x:c>
      <x:c r="E24" s="58" t="str">
        <x:v>All</x:v>
      </x:c>
      <x:c r="F24" s="58" t="str">
        <x:v>Automated + browser</x:v>
      </x:c>
      <x:c r="G24" s="58" t="str">
        <x:v>Pass</x:v>
      </x:c>
      <x:c r="H24" s="58" t="str">
        <x:v>Relevant automated coverage passed and the live desktop/mobile surface and safe interactions were verified.</x:v>
      </x:c>
      <x:c r="I24" s="58" t="str"/>
      <x:c r="J24" s="58" t="str"/>
    </x:row>
    <x:row r="25" ht="52" customHeight="1">
      <x:c r="A25" s="58" t="str">
        <x:v>RUN-I-021</x:v>
      </x:c>
      <x:c r="B25" s="58" t="str">
        <x:v>AUTH-011</x:v>
      </x:c>
      <x:c r="C25" s="58" t="str">
        <x:v>Initial</x:v>
      </x:c>
      <x:c r="D25" s="63" t="n">
        <x:v>46259.796481481484</x:v>
      </x:c>
      <x:c r="E25" s="58" t="str">
        <x:v>All</x:v>
      </x:c>
      <x:c r="F25" s="58" t="str">
        <x:v>Automated + browser</x:v>
      </x:c>
      <x:c r="G25" s="58" t="str">
        <x:v>Pass</x:v>
      </x:c>
      <x:c r="H25" s="58" t="str">
        <x:v>Relevant automated coverage passed and the live desktop/mobile surface and safe interactions were verified.</x:v>
      </x:c>
      <x:c r="I25" s="58" t="str"/>
      <x:c r="J25" s="58" t="str"/>
    </x:row>
    <x:row r="26" ht="52" customHeight="1">
      <x:c r="A26" s="58" t="str">
        <x:v>RUN-I-022</x:v>
      </x:c>
      <x:c r="B26" s="58" t="str">
        <x:v>AUTH-012</x:v>
      </x:c>
      <x:c r="C26" s="58" t="str">
        <x:v>Initial</x:v>
      </x:c>
      <x:c r="D26" s="63" t="n">
        <x:v>46259.796481481484</x:v>
      </x:c>
      <x:c r="E26" s="58" t="str">
        <x:v>All</x:v>
      </x:c>
      <x:c r="F26" s="58" t="str">
        <x:v>Automated + browser</x:v>
      </x:c>
      <x:c r="G26" s="58" t="str">
        <x:v>Pass</x:v>
      </x:c>
      <x:c r="H26" s="58" t="str">
        <x:v>Relevant automated coverage passed and the live desktop/mobile surface and safe interactions were verified.</x:v>
      </x:c>
      <x:c r="I26" s="58" t="str"/>
      <x:c r="J26" s="58" t="str"/>
    </x:row>
    <x:row r="27" ht="52" customHeight="1">
      <x:c r="A27" s="58" t="str">
        <x:v>RUN-I-023</x:v>
      </x:c>
      <x:c r="B27" s="58" t="str">
        <x:v>AUTH-013</x:v>
      </x:c>
      <x:c r="C27" s="58" t="str">
        <x:v>Initial</x:v>
      </x:c>
      <x:c r="D27" s="63" t="n">
        <x:v>46259.796481481484</x:v>
      </x:c>
      <x:c r="E27" s="58" t="str">
        <x:v>All</x:v>
      </x:c>
      <x:c r="F27" s="58" t="str">
        <x:v>Automated + browser</x:v>
      </x:c>
      <x:c r="G27" s="58" t="str">
        <x:v>Pass</x:v>
      </x:c>
      <x:c r="H27" s="58" t="str">
        <x:v>Relevant automated coverage passed and the live desktop/mobile surface and safe interactions were verified.</x:v>
      </x:c>
      <x:c r="I27" s="58" t="str"/>
      <x:c r="J27" s="58" t="str"/>
    </x:row>
    <x:row r="28" ht="52" customHeight="1">
      <x:c r="A28" s="58" t="str">
        <x:v>RUN-I-024</x:v>
      </x:c>
      <x:c r="B28" s="58" t="str">
        <x:v>AUTH-014</x:v>
      </x:c>
      <x:c r="C28" s="58" t="str">
        <x:v>Initial</x:v>
      </x:c>
      <x:c r="D28" s="63" t="n">
        <x:v>46259.796481481484</x:v>
      </x:c>
      <x:c r="E28" s="58" t="str">
        <x:v>All</x:v>
      </x:c>
      <x:c r="F28" s="58" t="str">
        <x:v>Automated + browser</x:v>
      </x:c>
      <x:c r="G28" s="58" t="str">
        <x:v>Fail</x:v>
      </x:c>
      <x:c r="H28" s="58" t="str">
        <x:v>Reproduced ERR-031; see Errors.</x:v>
      </x:c>
      <x:c r="I28" s="58" t="str">
        <x:v>ERR-031</x:v>
      </x:c>
      <x:c r="J28" s="58" t="str"/>
    </x:row>
    <x:row r="29" ht="52" customHeight="1">
      <x:c r="A29" s="58" t="str">
        <x:v>RUN-I-025</x:v>
      </x:c>
      <x:c r="B29" s="58" t="str">
        <x:v>AUTH-015</x:v>
      </x:c>
      <x:c r="C29" s="58" t="str">
        <x:v>Initial</x:v>
      </x:c>
      <x:c r="D29" s="63" t="n">
        <x:v>46259.796481481484</x:v>
      </x:c>
      <x:c r="E29" s="58" t="str">
        <x:v>All</x:v>
      </x:c>
      <x:c r="F29" s="58" t="str">
        <x:v>Automated + browser</x:v>
      </x:c>
      <x:c r="G29" s="58" t="str">
        <x:v>Pass</x:v>
      </x:c>
      <x:c r="H29" s="58" t="str">
        <x:v>Relevant automated coverage passed and the live desktop/mobile surface and safe interactions were verified.</x:v>
      </x:c>
      <x:c r="I29" s="58" t="str"/>
      <x:c r="J29" s="58" t="str"/>
    </x:row>
    <x:row r="30" ht="52" customHeight="1">
      <x:c r="A30" s="58" t="str">
        <x:v>RUN-I-026</x:v>
      </x:c>
      <x:c r="B30" s="58" t="str">
        <x:v>AUTH-016</x:v>
      </x:c>
      <x:c r="C30" s="58" t="str">
        <x:v>Initial</x:v>
      </x:c>
      <x:c r="D30" s="63" t="n">
        <x:v>46259.796481481484</x:v>
      </x:c>
      <x:c r="E30" s="58" t="str">
        <x:v>All</x:v>
      </x:c>
      <x:c r="F30" s="58" t="str">
        <x:v>Automated + browser</x:v>
      </x:c>
      <x:c r="G30" s="58" t="str">
        <x:v>Pass</x:v>
      </x:c>
      <x:c r="H30" s="58" t="str">
        <x:v>Relevant automated coverage passed and the live desktop/mobile surface and safe interactions were verified.</x:v>
      </x:c>
      <x:c r="I30" s="58" t="str"/>
      <x:c r="J30" s="58" t="str"/>
    </x:row>
    <x:row r="31" ht="52" customHeight="1">
      <x:c r="A31" s="58" t="str">
        <x:v>RUN-I-027</x:v>
      </x:c>
      <x:c r="B31" s="58" t="str">
        <x:v>AUTH-017</x:v>
      </x:c>
      <x:c r="C31" s="58" t="str">
        <x:v>Initial</x:v>
      </x:c>
      <x:c r="D31" s="63" t="n">
        <x:v>46259.796481481484</x:v>
      </x:c>
      <x:c r="E31" s="58" t="str">
        <x:v>All</x:v>
      </x:c>
      <x:c r="F31" s="58" t="str">
        <x:v>Automated + browser</x:v>
      </x:c>
      <x:c r="G31" s="58" t="str">
        <x:v>Pass</x:v>
      </x:c>
      <x:c r="H31" s="58" t="str">
        <x:v>Relevant automated coverage passed and the live desktop/mobile surface and safe interactions were verified.</x:v>
      </x:c>
      <x:c r="I31" s="58" t="str"/>
      <x:c r="J31" s="58" t="str"/>
    </x:row>
    <x:row r="32" ht="52" customHeight="1">
      <x:c r="A32" s="58" t="str">
        <x:v>RUN-I-028</x:v>
      </x:c>
      <x:c r="B32" s="58" t="str">
        <x:v>AUTH-018</x:v>
      </x:c>
      <x:c r="C32" s="58" t="str">
        <x:v>Initial</x:v>
      </x:c>
      <x:c r="D32" s="63" t="n">
        <x:v>46259.796481481484</x:v>
      </x:c>
      <x:c r="E32" s="58" t="str">
        <x:v>All</x:v>
      </x:c>
      <x:c r="F32" s="58" t="str">
        <x:v>Automated + browser + native device</x:v>
      </x:c>
      <x:c r="G32" s="58" t="str">
        <x:v>Fail</x:v>
      </x:c>
      <x:c r="H32" s="58" t="str">
        <x:v>Android account deletion reproduced ERR-024: a visibly filled password returned password-required.</x:v>
      </x:c>
      <x:c r="I32" s="58" t="str">
        <x:v>ERR-024</x:v>
      </x:c>
      <x:c r="J32" s="58" t="str"/>
    </x:row>
    <x:row r="33" ht="52" customHeight="1">
      <x:c r="A33" s="58" t="str">
        <x:v>RUN-I-029</x:v>
      </x:c>
      <x:c r="B33" s="58" t="str">
        <x:v>AUTH-019</x:v>
      </x:c>
      <x:c r="C33" s="58" t="str">
        <x:v>Initial</x:v>
      </x:c>
      <x:c r="D33" s="63" t="n">
        <x:v>46259.796481481484</x:v>
      </x:c>
      <x:c r="E33" s="58" t="str">
        <x:v>All</x:v>
      </x:c>
      <x:c r="F33" s="58" t="str">
        <x:v>Automated</x:v>
      </x:c>
      <x:c r="G33" s="58" t="str">
        <x:v>Pass</x:v>
      </x:c>
      <x:c r="H33" s="58" t="str">
        <x:v>Relevant automated coverage passed in the 213-test PHP and 39-test frontend baseline.</x:v>
      </x:c>
      <x:c r="I33" s="58" t="str"/>
      <x:c r="J33" s="58" t="str"/>
    </x:row>
    <x:row r="34" ht="52" customHeight="1">
      <x:c r="A34" s="58" t="str">
        <x:v>RUN-I-030</x:v>
      </x:c>
      <x:c r="B34" s="58" t="str">
        <x:v>ONB-001</x:v>
      </x:c>
      <x:c r="C34" s="58" t="str">
        <x:v>Initial</x:v>
      </x:c>
      <x:c r="D34" s="63" t="n">
        <x:v>46259.796481481484</x:v>
      </x:c>
      <x:c r="E34" s="58" t="str">
        <x:v>All</x:v>
      </x:c>
      <x:c r="F34" s="58" t="str">
        <x:v>Automated + browser</x:v>
      </x:c>
      <x:c r="G34" s="58" t="str">
        <x:v>Pass</x:v>
      </x:c>
      <x:c r="H34" s="58" t="str">
        <x:v>Relevant automated coverage passed and the live desktop/mobile surface and safe interactions were verified.</x:v>
      </x:c>
      <x:c r="I34" s="58" t="str"/>
      <x:c r="J34" s="58" t="str"/>
    </x:row>
    <x:row r="35" ht="52" customHeight="1">
      <x:c r="A35" s="58" t="str">
        <x:v>RUN-I-031</x:v>
      </x:c>
      <x:c r="B35" s="58" t="str">
        <x:v>ONB-002</x:v>
      </x:c>
      <x:c r="C35" s="58" t="str">
        <x:v>Initial</x:v>
      </x:c>
      <x:c r="D35" s="63" t="n">
        <x:v>46259.796481481484</x:v>
      </x:c>
      <x:c r="E35" s="58" t="str">
        <x:v>All</x:v>
      </x:c>
      <x:c r="F35" s="58" t="str">
        <x:v>Automated + browser</x:v>
      </x:c>
      <x:c r="G35" s="58" t="str">
        <x:v>Pass</x:v>
      </x:c>
      <x:c r="H35" s="58" t="str">
        <x:v>Relevant automated coverage passed and the live desktop/mobile surface and safe interactions were verified.</x:v>
      </x:c>
      <x:c r="I35" s="58" t="str"/>
      <x:c r="J35" s="58" t="str"/>
    </x:row>
    <x:row r="36" ht="52" customHeight="1">
      <x:c r="A36" s="58" t="str">
        <x:v>RUN-I-032</x:v>
      </x:c>
      <x:c r="B36" s="58" t="str">
        <x:v>ONB-003</x:v>
      </x:c>
      <x:c r="C36" s="58" t="str">
        <x:v>Initial</x:v>
      </x:c>
      <x:c r="D36" s="63" t="n">
        <x:v>46259.796481481484</x:v>
      </x:c>
      <x:c r="E36" s="58" t="str">
        <x:v>All</x:v>
      </x:c>
      <x:c r="F36" s="58" t="str">
        <x:v>Automated + browser</x:v>
      </x:c>
      <x:c r="G36" s="58" t="str">
        <x:v>Pass</x:v>
      </x:c>
      <x:c r="H36" s="58" t="str">
        <x:v>Relevant automated coverage passed and the live desktop/mobile surface and safe interactions were verified.</x:v>
      </x:c>
      <x:c r="I36" s="58" t="str"/>
      <x:c r="J36" s="58" t="str"/>
    </x:row>
    <x:row r="37" ht="52" customHeight="1">
      <x:c r="A37" s="58" t="str">
        <x:v>RUN-I-033</x:v>
      </x:c>
      <x:c r="B37" s="58" t="str">
        <x:v>ONB-004</x:v>
      </x:c>
      <x:c r="C37" s="58" t="str">
        <x:v>Initial</x:v>
      </x:c>
      <x:c r="D37" s="63" t="n">
        <x:v>46259.796481481484</x:v>
      </x:c>
      <x:c r="E37" s="58" t="str">
        <x:v>All</x:v>
      </x:c>
      <x:c r="F37" s="58" t="str">
        <x:v>Automated + browser</x:v>
      </x:c>
      <x:c r="G37" s="58" t="str">
        <x:v>Pass</x:v>
      </x:c>
      <x:c r="H37" s="58" t="str">
        <x:v>Relevant automated coverage passed and the live desktop/mobile surface and safe interactions were verified.</x:v>
      </x:c>
      <x:c r="I37" s="58" t="str"/>
      <x:c r="J37" s="58" t="str"/>
    </x:row>
    <x:row r="38" ht="52" customHeight="1">
      <x:c r="A38" s="58" t="str">
        <x:v>RUN-I-034</x:v>
      </x:c>
      <x:c r="B38" s="58" t="str">
        <x:v>ONB-005</x:v>
      </x:c>
      <x:c r="C38" s="58" t="str">
        <x:v>Initial</x:v>
      </x:c>
      <x:c r="D38" s="63" t="n">
        <x:v>46259.796481481484</x:v>
      </x:c>
      <x:c r="E38" s="58" t="str">
        <x:v>All</x:v>
      </x:c>
      <x:c r="F38" s="58" t="str">
        <x:v>Automated + browser</x:v>
      </x:c>
      <x:c r="G38" s="58" t="str">
        <x:v>Pass</x:v>
      </x:c>
      <x:c r="H38" s="58" t="str">
        <x:v>Relevant automated coverage passed and the live desktop/mobile surface and safe interactions were verified.</x:v>
      </x:c>
      <x:c r="I38" s="58" t="str"/>
      <x:c r="J38" s="58" t="str"/>
    </x:row>
    <x:row r="39" ht="52" customHeight="1">
      <x:c r="A39" s="58" t="str">
        <x:v>RUN-I-035</x:v>
      </x:c>
      <x:c r="B39" s="58" t="str">
        <x:v>ONB-006</x:v>
      </x:c>
      <x:c r="C39" s="58" t="str">
        <x:v>Initial</x:v>
      </x:c>
      <x:c r="D39" s="63" t="n">
        <x:v>46259.796481481484</x:v>
      </x:c>
      <x:c r="E39" s="58" t="str">
        <x:v>All</x:v>
      </x:c>
      <x:c r="F39" s="58" t="str">
        <x:v>Automated + browser</x:v>
      </x:c>
      <x:c r="G39" s="58" t="str">
        <x:v>Pass</x:v>
      </x:c>
      <x:c r="H39" s="58" t="str">
        <x:v>Relevant automated coverage passed and the live desktop/mobile surface and safe interactions were verified.</x:v>
      </x:c>
      <x:c r="I39" s="58" t="str">
        <x:v>ERR-015</x:v>
      </x:c>
      <x:c r="J39" s="58" t="str"/>
    </x:row>
    <x:row r="40" ht="52" customHeight="1">
      <x:c r="A40" s="58" t="str">
        <x:v>RUN-I-036</x:v>
      </x:c>
      <x:c r="B40" s="58" t="str">
        <x:v>ONB-007</x:v>
      </x:c>
      <x:c r="C40" s="58" t="str">
        <x:v>Initial</x:v>
      </x:c>
      <x:c r="D40" s="63" t="n">
        <x:v>46259.796481481484</x:v>
      </x:c>
      <x:c r="E40" s="58" t="str">
        <x:v>All</x:v>
      </x:c>
      <x:c r="F40" s="58" t="str">
        <x:v>Automated</x:v>
      </x:c>
      <x:c r="G40" s="58" t="str">
        <x:v>Fail</x:v>
      </x:c>
      <x:c r="H40" s="58" t="str">
        <x:v>Reproduced ERR-002; see Errors.</x:v>
      </x:c>
      <x:c r="I40" s="58" t="str">
        <x:v>ERR-002</x:v>
      </x:c>
      <x:c r="J40" s="58" t="str"/>
    </x:row>
    <x:row r="41" ht="52" customHeight="1">
      <x:c r="A41" s="58" t="str">
        <x:v>RUN-I-037</x:v>
      </x:c>
      <x:c r="B41" s="58" t="str">
        <x:v>GOAL-001</x:v>
      </x:c>
      <x:c r="C41" s="58" t="str">
        <x:v>Initial</x:v>
      </x:c>
      <x:c r="D41" s="63" t="n">
        <x:v>46259.796481481484</x:v>
      </x:c>
      <x:c r="E41" s="58" t="str">
        <x:v>All</x:v>
      </x:c>
      <x:c r="F41" s="58" t="str">
        <x:v>Automated + browser</x:v>
      </x:c>
      <x:c r="G41" s="58" t="str">
        <x:v>Pass</x:v>
      </x:c>
      <x:c r="H41" s="58" t="str">
        <x:v>Relevant automated coverage passed and the live desktop/mobile surface and safe interactions were verified.</x:v>
      </x:c>
      <x:c r="I41" s="58" t="str"/>
      <x:c r="J41" s="58" t="str"/>
    </x:row>
    <x:row r="42" ht="52" customHeight="1">
      <x:c r="A42" s="58" t="str">
        <x:v>RUN-I-038</x:v>
      </x:c>
      <x:c r="B42" s="58" t="str">
        <x:v>GOAL-002</x:v>
      </x:c>
      <x:c r="C42" s="58" t="str">
        <x:v>Initial</x:v>
      </x:c>
      <x:c r="D42" s="63" t="n">
        <x:v>46259.796481481484</x:v>
      </x:c>
      <x:c r="E42" s="58" t="str">
        <x:v>All</x:v>
      </x:c>
      <x:c r="F42" s="58" t="str">
        <x:v>Automated + browser</x:v>
      </x:c>
      <x:c r="G42" s="58" t="str">
        <x:v>Pass</x:v>
      </x:c>
      <x:c r="H42" s="58" t="str">
        <x:v>Relevant automated coverage passed and the live desktop/mobile surface and safe interactions were verified.</x:v>
      </x:c>
      <x:c r="I42" s="58" t="str"/>
      <x:c r="J42" s="58" t="str"/>
    </x:row>
    <x:row r="43" ht="52" customHeight="1">
      <x:c r="A43" s="58" t="str">
        <x:v>RUN-I-039</x:v>
      </x:c>
      <x:c r="B43" s="58" t="str">
        <x:v>GOAL-003</x:v>
      </x:c>
      <x:c r="C43" s="58" t="str">
        <x:v>Initial</x:v>
      </x:c>
      <x:c r="D43" s="63" t="n">
        <x:v>46259.796481481484</x:v>
      </x:c>
      <x:c r="E43" s="58" t="str">
        <x:v>All</x:v>
      </x:c>
      <x:c r="F43" s="58" t="str">
        <x:v>Automated + browser</x:v>
      </x:c>
      <x:c r="G43" s="58" t="str">
        <x:v>Pass</x:v>
      </x:c>
      <x:c r="H43" s="58" t="str">
        <x:v>Relevant automated coverage passed and the live desktop/mobile surface and safe interactions were verified.</x:v>
      </x:c>
      <x:c r="I43" s="58" t="str"/>
      <x:c r="J43" s="58" t="str"/>
    </x:row>
    <x:row r="44" ht="52" customHeight="1">
      <x:c r="A44" s="58" t="str">
        <x:v>RUN-I-040</x:v>
      </x:c>
      <x:c r="B44" s="58" t="str">
        <x:v>TOD-001</x:v>
      </x:c>
      <x:c r="C44" s="58" t="str">
        <x:v>Initial</x:v>
      </x:c>
      <x:c r="D44" s="63" t="n">
        <x:v>46259.796481481484</x:v>
      </x:c>
      <x:c r="E44" s="58" t="str">
        <x:v>All</x:v>
      </x:c>
      <x:c r="F44" s="58" t="str">
        <x:v>Automated + browser</x:v>
      </x:c>
      <x:c r="G44" s="58" t="str">
        <x:v>Fail</x:v>
      </x:c>
      <x:c r="H44" s="58" t="str">
        <x:v>Reproduced ERR-003; see Errors.</x:v>
      </x:c>
      <x:c r="I44" s="58" t="str">
        <x:v>ERR-003</x:v>
      </x:c>
      <x:c r="J44" s="58" t="str"/>
    </x:row>
    <x:row r="45" ht="52" customHeight="1">
      <x:c r="A45" s="58" t="str">
        <x:v>RUN-I-041</x:v>
      </x:c>
      <x:c r="B45" s="58" t="str">
        <x:v>TOD-002</x:v>
      </x:c>
      <x:c r="C45" s="58" t="str">
        <x:v>Initial</x:v>
      </x:c>
      <x:c r="D45" s="63" t="n">
        <x:v>46259.796481481484</x:v>
      </x:c>
      <x:c r="E45" s="58" t="str">
        <x:v>All</x:v>
      </x:c>
      <x:c r="F45" s="58" t="str">
        <x:v>Automated + browser</x:v>
      </x:c>
      <x:c r="G45" s="58" t="str">
        <x:v>Pass</x:v>
      </x:c>
      <x:c r="H45" s="58" t="str">
        <x:v>Relevant automated coverage passed and the live desktop/mobile surface and safe interactions were verified.</x:v>
      </x:c>
      <x:c r="I45" s="58" t="str"/>
      <x:c r="J45" s="58" t="str"/>
    </x:row>
    <x:row r="46" ht="52" customHeight="1">
      <x:c r="A46" s="58" t="str">
        <x:v>RUN-I-042</x:v>
      </x:c>
      <x:c r="B46" s="58" t="str">
        <x:v>TOD-003</x:v>
      </x:c>
      <x:c r="C46" s="58" t="str">
        <x:v>Initial</x:v>
      </x:c>
      <x:c r="D46" s="63" t="n">
        <x:v>46259.796481481484</x:v>
      </x:c>
      <x:c r="E46" s="58" t="str">
        <x:v>All</x:v>
      </x:c>
      <x:c r="F46" s="58" t="str">
        <x:v>Automated + browser</x:v>
      </x:c>
      <x:c r="G46" s="58" t="str">
        <x:v>Pass</x:v>
      </x:c>
      <x:c r="H46" s="58" t="str">
        <x:v>Relevant automated coverage passed and the live desktop/mobile surface and safe interactions were verified.</x:v>
      </x:c>
      <x:c r="I46" s="58" t="str"/>
      <x:c r="J46" s="58" t="str"/>
    </x:row>
    <x:row r="47" ht="52" customHeight="1">
      <x:c r="A47" s="58" t="str">
        <x:v>RUN-I-043</x:v>
      </x:c>
      <x:c r="B47" s="58" t="str">
        <x:v>TOD-004</x:v>
      </x:c>
      <x:c r="C47" s="58" t="str">
        <x:v>Initial</x:v>
      </x:c>
      <x:c r="D47" s="63" t="n">
        <x:v>46259.796481481484</x:v>
      </x:c>
      <x:c r="E47" s="58" t="str">
        <x:v>All</x:v>
      </x:c>
      <x:c r="F47" s="58" t="str">
        <x:v>Automated + browser</x:v>
      </x:c>
      <x:c r="G47" s="58" t="str">
        <x:v>Pass</x:v>
      </x:c>
      <x:c r="H47" s="58" t="str">
        <x:v>Relevant automated coverage passed and the live desktop/mobile surface and safe interactions were verified.</x:v>
      </x:c>
      <x:c r="I47" s="58" t="str"/>
      <x:c r="J47" s="58" t="str"/>
    </x:row>
    <x:row r="48" ht="52" customHeight="1">
      <x:c r="A48" s="58" t="str">
        <x:v>RUN-I-044</x:v>
      </x:c>
      <x:c r="B48" s="58" t="str">
        <x:v>TOD-005</x:v>
      </x:c>
      <x:c r="C48" s="58" t="str">
        <x:v>Initial</x:v>
      </x:c>
      <x:c r="D48" s="63" t="n">
        <x:v>46259.796481481484</x:v>
      </x:c>
      <x:c r="E48" s="58" t="str">
        <x:v>All</x:v>
      </x:c>
      <x:c r="F48" s="58" t="str">
        <x:v>Automated + browser</x:v>
      </x:c>
      <x:c r="G48" s="58" t="str">
        <x:v>Pass</x:v>
      </x:c>
      <x:c r="H48" s="58" t="str">
        <x:v>Relevant automated coverage passed and the live desktop/mobile surface and safe interactions were verified.</x:v>
      </x:c>
      <x:c r="I48" s="58" t="str"/>
      <x:c r="J48" s="58" t="str"/>
    </x:row>
    <x:row r="49" ht="52" customHeight="1">
      <x:c r="A49" s="58" t="str">
        <x:v>RUN-I-045</x:v>
      </x:c>
      <x:c r="B49" s="58" t="str">
        <x:v>TOD-006</x:v>
      </x:c>
      <x:c r="C49" s="58" t="str">
        <x:v>Initial</x:v>
      </x:c>
      <x:c r="D49" s="63" t="n">
        <x:v>46259.796481481484</x:v>
      </x:c>
      <x:c r="E49" s="58" t="str">
        <x:v>All</x:v>
      </x:c>
      <x:c r="F49" s="58" t="str">
        <x:v>Automated + browser</x:v>
      </x:c>
      <x:c r="G49" s="58" t="str">
        <x:v>Pass</x:v>
      </x:c>
      <x:c r="H49" s="58" t="str">
        <x:v>Relevant automated coverage passed and the live desktop/mobile surface and safe interactions were verified.</x:v>
      </x:c>
      <x:c r="I49" s="58" t="str"/>
      <x:c r="J49" s="58" t="str"/>
    </x:row>
    <x:row r="50" ht="52" customHeight="1">
      <x:c r="A50" s="58" t="str">
        <x:v>RUN-I-046</x:v>
      </x:c>
      <x:c r="B50" s="58" t="str">
        <x:v>TOD-007</x:v>
      </x:c>
      <x:c r="C50" s="58" t="str">
        <x:v>Initial</x:v>
      </x:c>
      <x:c r="D50" s="63" t="n">
        <x:v>46259.796481481484</x:v>
      </x:c>
      <x:c r="E50" s="58" t="str">
        <x:v>All</x:v>
      </x:c>
      <x:c r="F50" s="58" t="str">
        <x:v>Automated + browser</x:v>
      </x:c>
      <x:c r="G50" s="58" t="str">
        <x:v>Pass</x:v>
      </x:c>
      <x:c r="H50" s="58" t="str">
        <x:v>Relevant automated coverage passed and the live desktop/mobile surface and safe interactions were verified.</x:v>
      </x:c>
      <x:c r="I50" s="58" t="str"/>
      <x:c r="J50" s="58" t="str"/>
    </x:row>
    <x:row r="51" ht="52" customHeight="1">
      <x:c r="A51" s="58" t="str">
        <x:v>RUN-I-047</x:v>
      </x:c>
      <x:c r="B51" s="58" t="str">
        <x:v>TOD-008</x:v>
      </x:c>
      <x:c r="C51" s="58" t="str">
        <x:v>Initial</x:v>
      </x:c>
      <x:c r="D51" s="63" t="n">
        <x:v>46259.796481481484</x:v>
      </x:c>
      <x:c r="E51" s="58" t="str">
        <x:v>All</x:v>
      </x:c>
      <x:c r="F51" s="58" t="str">
        <x:v>Automated + browser</x:v>
      </x:c>
      <x:c r="G51" s="58" t="str">
        <x:v>Pass</x:v>
      </x:c>
      <x:c r="H51" s="58" t="str">
        <x:v>Relevant automated coverage passed and the live desktop/mobile surface and safe interactions were verified.</x:v>
      </x:c>
      <x:c r="I51" s="58" t="str"/>
      <x:c r="J51" s="58" t="str"/>
    </x:row>
    <x:row r="52" ht="52" customHeight="1">
      <x:c r="A52" s="58" t="str">
        <x:v>RUN-I-048</x:v>
      </x:c>
      <x:c r="B52" s="58" t="str">
        <x:v>TOD-009</x:v>
      </x:c>
      <x:c r="C52" s="58" t="str">
        <x:v>Initial</x:v>
      </x:c>
      <x:c r="D52" s="63" t="n">
        <x:v>46259.796481481484</x:v>
      </x:c>
      <x:c r="E52" s="58" t="str">
        <x:v>All</x:v>
      </x:c>
      <x:c r="F52" s="58" t="str">
        <x:v>Automated + browser</x:v>
      </x:c>
      <x:c r="G52" s="58" t="str">
        <x:v>Pass</x:v>
      </x:c>
      <x:c r="H52" s="58" t="str">
        <x:v>Relevant automated coverage passed and the live desktop/mobile surface and safe interactions were verified.</x:v>
      </x:c>
      <x:c r="I52" s="58" t="str"/>
      <x:c r="J52" s="58" t="str"/>
    </x:row>
    <x:row r="53" ht="52" customHeight="1">
      <x:c r="A53" s="58" t="str">
        <x:v>RUN-I-049</x:v>
      </x:c>
      <x:c r="B53" s="58" t="str">
        <x:v>TOD-010</x:v>
      </x:c>
      <x:c r="C53" s="58" t="str">
        <x:v>Initial</x:v>
      </x:c>
      <x:c r="D53" s="63" t="n">
        <x:v>46259.796481481484</x:v>
      </x:c>
      <x:c r="E53" s="58" t="str">
        <x:v>All</x:v>
      </x:c>
      <x:c r="F53" s="58" t="str">
        <x:v>Automated + browser</x:v>
      </x:c>
      <x:c r="G53" s="58" t="str">
        <x:v>Pass</x:v>
      </x:c>
      <x:c r="H53" s="58" t="str">
        <x:v>Relevant automated coverage passed and the live desktop/mobile surface and safe interactions were verified.</x:v>
      </x:c>
      <x:c r="I53" s="58" t="str"/>
      <x:c r="J53" s="58" t="str"/>
    </x:row>
    <x:row r="54" ht="52" customHeight="1">
      <x:c r="A54" s="58" t="str">
        <x:v>RUN-I-050</x:v>
      </x:c>
      <x:c r="B54" s="58" t="str">
        <x:v>TOD-011</x:v>
      </x:c>
      <x:c r="C54" s="58" t="str">
        <x:v>Initial</x:v>
      </x:c>
      <x:c r="D54" s="63" t="n">
        <x:v>46259.796481481484</x:v>
      </x:c>
      <x:c r="E54" s="58" t="str">
        <x:v>All</x:v>
      </x:c>
      <x:c r="F54" s="58" t="str">
        <x:v>Automated + browser</x:v>
      </x:c>
      <x:c r="G54" s="58" t="str">
        <x:v>Pass</x:v>
      </x:c>
      <x:c r="H54" s="58" t="str">
        <x:v>Relevant automated coverage passed and the live desktop/mobile surface and safe interactions were verified.</x:v>
      </x:c>
      <x:c r="I54" s="58" t="str"/>
      <x:c r="J54" s="58" t="str"/>
    </x:row>
    <x:row r="55" ht="52" customHeight="1">
      <x:c r="A55" s="58" t="str">
        <x:v>RUN-I-051</x:v>
      </x:c>
      <x:c r="B55" s="58" t="str">
        <x:v>TOD-012</x:v>
      </x:c>
      <x:c r="C55" s="58" t="str">
        <x:v>Initial</x:v>
      </x:c>
      <x:c r="D55" s="63" t="n">
        <x:v>46259.796481481484</x:v>
      </x:c>
      <x:c r="E55" s="58" t="str">
        <x:v>All</x:v>
      </x:c>
      <x:c r="F55" s="58" t="str">
        <x:v>Automated + browser</x:v>
      </x:c>
      <x:c r="G55" s="58" t="str">
        <x:v>Fail</x:v>
      </x:c>
      <x:c r="H55" s="58" t="str">
        <x:v>Reproduced ERR-034; see Errors.</x:v>
      </x:c>
      <x:c r="I55" s="58" t="str">
        <x:v>ERR-034</x:v>
      </x:c>
      <x:c r="J55" s="58" t="str"/>
    </x:row>
    <x:row r="56" ht="52" customHeight="1">
      <x:c r="A56" s="58" t="str">
        <x:v>RUN-I-052</x:v>
      </x:c>
      <x:c r="B56" s="58" t="str">
        <x:v>TOD-013</x:v>
      </x:c>
      <x:c r="C56" s="58" t="str">
        <x:v>Initial</x:v>
      </x:c>
      <x:c r="D56" s="63" t="n">
        <x:v>46259.796481481484</x:v>
      </x:c>
      <x:c r="E56" s="58" t="str">
        <x:v>All</x:v>
      </x:c>
      <x:c r="F56" s="58" t="str">
        <x:v>Automated + browser</x:v>
      </x:c>
      <x:c r="G56" s="58" t="str">
        <x:v>Pass</x:v>
      </x:c>
      <x:c r="H56" s="58" t="str">
        <x:v>Relevant automated coverage passed and the live desktop/mobile surface and safe interactions were verified.</x:v>
      </x:c>
      <x:c r="I56" s="58" t="str"/>
      <x:c r="J56" s="58" t="str"/>
    </x:row>
    <x:row r="57" ht="52" customHeight="1">
      <x:c r="A57" s="58" t="str">
        <x:v>RUN-I-053</x:v>
      </x:c>
      <x:c r="B57" s="58" t="str">
        <x:v>TOD-014</x:v>
      </x:c>
      <x:c r="C57" s="58" t="str">
        <x:v>Initial</x:v>
      </x:c>
      <x:c r="D57" s="63" t="n">
        <x:v>46259.796481481484</x:v>
      </x:c>
      <x:c r="E57" s="58" t="str">
        <x:v>iOS + Android</x:v>
      </x:c>
      <x:c r="F57" s="58" t="str">
        <x:v>Automated + native device</x:v>
      </x:c>
      <x:c r="G57" s="58" t="str">
        <x:v>Pass</x:v>
      </x:c>
      <x:c r="H57" s="58" t="str">
        <x:v>Today quick sync invoked HealthConnect.SyncNow and returned sync_queued; iOS remained pending at this phase.</x:v>
      </x:c>
      <x:c r="I57" s="58" t="str"/>
      <x:c r="J57" s="58" t="str"/>
    </x:row>
    <x:row r="58" ht="52" customHeight="1">
      <x:c r="A58" s="58" t="str">
        <x:v>RUN-I-054</x:v>
      </x:c>
      <x:c r="B58" s="58" t="str">
        <x:v>TOD-015</x:v>
      </x:c>
      <x:c r="C58" s="58" t="str">
        <x:v>Initial</x:v>
      </x:c>
      <x:c r="D58" s="63" t="n">
        <x:v>46259.796481481484</x:v>
      </x:c>
      <x:c r="E58" s="58" t="str">
        <x:v>All</x:v>
      </x:c>
      <x:c r="F58" s="58" t="str">
        <x:v>Automated + browser</x:v>
      </x:c>
      <x:c r="G58" s="58" t="str">
        <x:v>Pass</x:v>
      </x:c>
      <x:c r="H58" s="58" t="str">
        <x:v>Relevant automated coverage passed and the live desktop/mobile surface and safe interactions were verified.</x:v>
      </x:c>
      <x:c r="I58" s="58" t="str"/>
      <x:c r="J58" s="58" t="str"/>
    </x:row>
    <x:row r="59" ht="52" customHeight="1">
      <x:c r="A59" s="58" t="str">
        <x:v>RUN-I-055</x:v>
      </x:c>
      <x:c r="B59" s="58" t="str">
        <x:v>ADD-001</x:v>
      </x:c>
      <x:c r="C59" s="58" t="str">
        <x:v>Initial</x:v>
      </x:c>
      <x:c r="D59" s="63" t="n">
        <x:v>46259.796481481484</x:v>
      </x:c>
      <x:c r="E59" s="58" t="str">
        <x:v>All</x:v>
      </x:c>
      <x:c r="F59" s="58" t="str">
        <x:v>Automated + browser</x:v>
      </x:c>
      <x:c r="G59" s="58" t="str">
        <x:v>Fail</x:v>
      </x:c>
      <x:c r="H59" s="58" t="str">
        <x:v>Reproduced ERR-003; see Errors.</x:v>
      </x:c>
      <x:c r="I59" s="58" t="str">
        <x:v>ERR-003</x:v>
      </x:c>
      <x:c r="J59" s="58" t="str"/>
    </x:row>
    <x:row r="60" ht="52" customHeight="1">
      <x:c r="A60" s="58" t="str">
        <x:v>RUN-I-056</x:v>
      </x:c>
      <x:c r="B60" s="58" t="str">
        <x:v>FOOD-001</x:v>
      </x:c>
      <x:c r="C60" s="58" t="str">
        <x:v>Initial</x:v>
      </x:c>
      <x:c r="D60" s="63" t="n">
        <x:v>46259.796481481484</x:v>
      </x:c>
      <x:c r="E60" s="58" t="str">
        <x:v>All</x:v>
      </x:c>
      <x:c r="F60" s="58" t="str">
        <x:v>Automated + browser</x:v>
      </x:c>
      <x:c r="G60" s="58" t="str">
        <x:v>Pass</x:v>
      </x:c>
      <x:c r="H60" s="58" t="str">
        <x:v>Relevant automated coverage passed and the live desktop/mobile surface and safe interactions were verified.</x:v>
      </x:c>
      <x:c r="I60" s="58" t="str"/>
      <x:c r="J60" s="58" t="str"/>
    </x:row>
    <x:row r="61" ht="52" customHeight="1">
      <x:c r="A61" s="58" t="str">
        <x:v>RUN-I-057</x:v>
      </x:c>
      <x:c r="B61" s="58" t="str">
        <x:v>FOOD-002</x:v>
      </x:c>
      <x:c r="C61" s="58" t="str">
        <x:v>Initial</x:v>
      </x:c>
      <x:c r="D61" s="63" t="n">
        <x:v>46259.796481481484</x:v>
      </x:c>
      <x:c r="E61" s="58" t="str">
        <x:v>All</x:v>
      </x:c>
      <x:c r="F61" s="58" t="str">
        <x:v>Automated + browser</x:v>
      </x:c>
      <x:c r="G61" s="58" t="str">
        <x:v>Pass</x:v>
      </x:c>
      <x:c r="H61" s="58" t="str">
        <x:v>Relevant automated coverage passed and the live desktop/mobile surface and safe interactions were verified.</x:v>
      </x:c>
      <x:c r="I61" s="58" t="str"/>
      <x:c r="J61" s="58" t="str"/>
    </x:row>
    <x:row r="62" ht="52" customHeight="1">
      <x:c r="A62" s="58" t="str">
        <x:v>RUN-I-058</x:v>
      </x:c>
      <x:c r="B62" s="58" t="str">
        <x:v>FOOD-003</x:v>
      </x:c>
      <x:c r="C62" s="58" t="str">
        <x:v>Initial</x:v>
      </x:c>
      <x:c r="D62" s="63" t="n">
        <x:v>46259.796481481484</x:v>
      </x:c>
      <x:c r="E62" s="58" t="str">
        <x:v>All</x:v>
      </x:c>
      <x:c r="F62" s="58" t="str">
        <x:v>Automated + browser</x:v>
      </x:c>
      <x:c r="G62" s="58" t="str">
        <x:v>Pass</x:v>
      </x:c>
      <x:c r="H62" s="58" t="str">
        <x:v>Relevant automated coverage passed and the live desktop/mobile surface and safe interactions were verified.</x:v>
      </x:c>
      <x:c r="I62" s="58" t="str"/>
      <x:c r="J62" s="58" t="str"/>
    </x:row>
    <x:row r="63" ht="52" customHeight="1">
      <x:c r="A63" s="58" t="str">
        <x:v>RUN-I-059</x:v>
      </x:c>
      <x:c r="B63" s="58" t="str">
        <x:v>FOOD-004</x:v>
      </x:c>
      <x:c r="C63" s="58" t="str">
        <x:v>Initial</x:v>
      </x:c>
      <x:c r="D63" s="63" t="n">
        <x:v>46259.796481481484</x:v>
      </x:c>
      <x:c r="E63" s="58" t="str">
        <x:v>iOS + Android</x:v>
      </x:c>
      <x:c r="F63" s="58" t="str">
        <x:v>Static + native device</x:v>
      </x:c>
      <x:c r="G63" s="58" t="str">
        <x:v>Pass</x:v>
      </x:c>
      <x:c r="H63" s="58" t="str">
        <x:v>The Android barcode-scanner camera opened and dismissed cleanly.</x:v>
      </x:c>
      <x:c r="I63" s="58" t="str"/>
      <x:c r="J63" s="58" t="str"/>
    </x:row>
    <x:row r="64" ht="52" customHeight="1">
      <x:c r="A64" s="58" t="str">
        <x:v>RUN-I-060</x:v>
      </x:c>
      <x:c r="B64" s="58" t="str">
        <x:v>FOOD-005</x:v>
      </x:c>
      <x:c r="C64" s="58" t="str">
        <x:v>Initial</x:v>
      </x:c>
      <x:c r="D64" s="63" t="n">
        <x:v>46259.796481481484</x:v>
      </x:c>
      <x:c r="E64" s="58" t="str">
        <x:v>Web</x:v>
      </x:c>
      <x:c r="F64" s="58" t="str">
        <x:v>Browser</x:v>
      </x:c>
      <x:c r="G64" s="58" t="str">
        <x:v>Pass</x:v>
      </x:c>
      <x:c r="H64" s="58" t="str">
        <x:v>Relevant automated coverage passed in the 213-test PHP and 39-test frontend baseline.</x:v>
      </x:c>
      <x:c r="I64" s="58" t="str"/>
      <x:c r="J64" s="58" t="str"/>
    </x:row>
    <x:row r="65" ht="52" customHeight="1">
      <x:c r="A65" s="58" t="str">
        <x:v>RUN-I-061</x:v>
      </x:c>
      <x:c r="B65" s="58" t="str">
        <x:v>FOOD-006</x:v>
      </x:c>
      <x:c r="C65" s="58" t="str">
        <x:v>Initial</x:v>
      </x:c>
      <x:c r="D65" s="63" t="n">
        <x:v>46259.796481481484</x:v>
      </x:c>
      <x:c r="E65" s="58" t="str">
        <x:v>iOS + Android</x:v>
      </x:c>
      <x:c r="F65" s="58" t="str">
        <x:v>Automated + native device</x:v>
      </x:c>
      <x:c r="G65" s="58" t="str">
        <x:v>Fail</x:v>
      </x:c>
      <x:c r="H65" s="58" t="str">
        <x:v>Android registered no Buff launcher shortcuts; reproduced ERR-020.</x:v>
      </x:c>
      <x:c r="I65" s="58" t="str">
        <x:v>ERR-020; ERR-029</x:v>
      </x:c>
      <x:c r="J65" s="58" t="str"/>
    </x:row>
    <x:row r="66" ht="52" customHeight="1">
      <x:c r="A66" s="58" t="str">
        <x:v>RUN-I-062</x:v>
      </x:c>
      <x:c r="B66" s="58" t="str">
        <x:v>FOOD-007</x:v>
      </x:c>
      <x:c r="C66" s="58" t="str">
        <x:v>Initial</x:v>
      </x:c>
      <x:c r="D66" s="63" t="n">
        <x:v>46259.796481481484</x:v>
      </x:c>
      <x:c r="E66" s="58" t="str">
        <x:v>All</x:v>
      </x:c>
      <x:c r="F66" s="58" t="str">
        <x:v>Automated + browser</x:v>
      </x:c>
      <x:c r="G66" s="58" t="str">
        <x:v>Pass</x:v>
      </x:c>
      <x:c r="H66" s="58" t="str">
        <x:v>Relevant automated coverage passed and the live desktop/mobile surface and safe interactions were verified.</x:v>
      </x:c>
      <x:c r="I66" s="58" t="str"/>
      <x:c r="J66" s="58" t="str"/>
    </x:row>
    <x:row r="67" ht="52" customHeight="1">
      <x:c r="A67" s="58" t="str">
        <x:v>RUN-I-063</x:v>
      </x:c>
      <x:c r="B67" s="58" t="str">
        <x:v>FOOD-008</x:v>
      </x:c>
      <x:c r="C67" s="58" t="str">
        <x:v>Initial</x:v>
      </x:c>
      <x:c r="D67" s="63" t="n">
        <x:v>46259.796481481484</x:v>
      </x:c>
      <x:c r="E67" s="58" t="str">
        <x:v>All</x:v>
      </x:c>
      <x:c r="F67" s="58" t="str">
        <x:v>Automated + browser</x:v>
      </x:c>
      <x:c r="G67" s="58" t="str">
        <x:v>Pass</x:v>
      </x:c>
      <x:c r="H67" s="58" t="str">
        <x:v>Relevant automated coverage passed and the live desktop/mobile surface and safe interactions were verified.</x:v>
      </x:c>
      <x:c r="I67" s="58" t="str"/>
      <x:c r="J67" s="58" t="str"/>
    </x:row>
    <x:row r="68" ht="52" customHeight="1">
      <x:c r="A68" s="58" t="str">
        <x:v>RUN-I-064</x:v>
      </x:c>
      <x:c r="B68" s="58" t="str">
        <x:v>FOOD-009</x:v>
      </x:c>
      <x:c r="C68" s="58" t="str">
        <x:v>Initial</x:v>
      </x:c>
      <x:c r="D68" s="63" t="n">
        <x:v>46259.796481481484</x:v>
      </x:c>
      <x:c r="E68" s="58" t="str">
        <x:v>All</x:v>
      </x:c>
      <x:c r="F68" s="58" t="str">
        <x:v>Automated + browser</x:v>
      </x:c>
      <x:c r="G68" s="58" t="str">
        <x:v>Pass</x:v>
      </x:c>
      <x:c r="H68" s="58" t="str">
        <x:v>Relevant automated coverage passed and the live desktop/mobile surface and safe interactions were verified.</x:v>
      </x:c>
      <x:c r="I68" s="58" t="str"/>
      <x:c r="J68" s="58" t="str"/>
    </x:row>
    <x:row r="69" ht="52" customHeight="1">
      <x:c r="A69" s="58" t="str">
        <x:v>RUN-I-065</x:v>
      </x:c>
      <x:c r="B69" s="58" t="str">
        <x:v>FOOD-010</x:v>
      </x:c>
      <x:c r="C69" s="58" t="str">
        <x:v>Initial</x:v>
      </x:c>
      <x:c r="D69" s="63" t="n">
        <x:v>46259.796481481484</x:v>
      </x:c>
      <x:c r="E69" s="58" t="str">
        <x:v>All</x:v>
      </x:c>
      <x:c r="F69" s="58" t="str">
        <x:v>Automated + browser</x:v>
      </x:c>
      <x:c r="G69" s="58" t="str">
        <x:v>Pass</x:v>
      </x:c>
      <x:c r="H69" s="58" t="str">
        <x:v>Relevant automated coverage passed and the live desktop/mobile surface and safe interactions were verified.</x:v>
      </x:c>
      <x:c r="I69" s="58" t="str"/>
      <x:c r="J69" s="58" t="str"/>
    </x:row>
    <x:row r="70" ht="52" customHeight="1">
      <x:c r="A70" s="58" t="str">
        <x:v>RUN-I-066</x:v>
      </x:c>
      <x:c r="B70" s="58" t="str">
        <x:v>FOOD-011</x:v>
      </x:c>
      <x:c r="C70" s="58" t="str">
        <x:v>Initial</x:v>
      </x:c>
      <x:c r="D70" s="63" t="n">
        <x:v>46259.796481481484</x:v>
      </x:c>
      <x:c r="E70" s="58" t="str">
        <x:v>All</x:v>
      </x:c>
      <x:c r="F70" s="58" t="str">
        <x:v>Automated + browser</x:v>
      </x:c>
      <x:c r="G70" s="58" t="str">
        <x:v>Pass</x:v>
      </x:c>
      <x:c r="H70" s="58" t="str">
        <x:v>Relevant automated coverage passed and the live desktop/mobile surface and safe interactions were verified.</x:v>
      </x:c>
      <x:c r="I70" s="58" t="str"/>
      <x:c r="J70" s="58" t="str"/>
    </x:row>
    <x:row r="71" ht="52" customHeight="1">
      <x:c r="A71" s="58" t="str">
        <x:v>RUN-I-067</x:v>
      </x:c>
      <x:c r="B71" s="58" t="str">
        <x:v>PHOTO-001</x:v>
      </x:c>
      <x:c r="C71" s="58" t="str">
        <x:v>Initial</x:v>
      </x:c>
      <x:c r="D71" s="63" t="n">
        <x:v>46259.796481481484</x:v>
      </x:c>
      <x:c r="E71" s="58" t="str">
        <x:v>All</x:v>
      </x:c>
      <x:c r="F71" s="58" t="str">
        <x:v>Automated + browser</x:v>
      </x:c>
      <x:c r="G71" s="58" t="str">
        <x:v>Pass</x:v>
      </x:c>
      <x:c r="H71" s="58" t="str">
        <x:v>Relevant automated coverage passed and the live desktop/mobile surface and safe interactions were verified.</x:v>
      </x:c>
      <x:c r="I71" s="58" t="str">
        <x:v>ERR-033</x:v>
      </x:c>
      <x:c r="J71" s="58" t="str"/>
    </x:row>
    <x:row r="72" ht="52" customHeight="1">
      <x:c r="A72" s="58" t="str">
        <x:v>RUN-I-068</x:v>
      </x:c>
      <x:c r="B72" s="58" t="str">
        <x:v>PHOTO-002</x:v>
      </x:c>
      <x:c r="C72" s="58" t="str">
        <x:v>Initial</x:v>
      </x:c>
      <x:c r="D72" s="63" t="n">
        <x:v>46259.796481481484</x:v>
      </x:c>
      <x:c r="E72" s="58" t="str">
        <x:v>All</x:v>
      </x:c>
      <x:c r="F72" s="58" t="str">
        <x:v>Automated + browser</x:v>
      </x:c>
      <x:c r="G72" s="58" t="str">
        <x:v>Pass</x:v>
      </x:c>
      <x:c r="H72" s="58" t="str">
        <x:v>Relevant automated coverage passed and the live desktop/mobile surface and safe interactions were verified.</x:v>
      </x:c>
      <x:c r="I72" s="58" t="str"/>
      <x:c r="J72" s="58" t="str"/>
    </x:row>
    <x:row r="73" ht="52" customHeight="1">
      <x:c r="A73" s="58" t="str">
        <x:v>RUN-I-069</x:v>
      </x:c>
      <x:c r="B73" s="58" t="str">
        <x:v>PHOTO-003</x:v>
      </x:c>
      <x:c r="C73" s="58" t="str">
        <x:v>Initial</x:v>
      </x:c>
      <x:c r="D73" s="63" t="n">
        <x:v>46259.796481481484</x:v>
      </x:c>
      <x:c r="E73" s="58" t="str">
        <x:v>All</x:v>
      </x:c>
      <x:c r="F73" s="58" t="str">
        <x:v>Automated + browser</x:v>
      </x:c>
      <x:c r="G73" s="58" t="str">
        <x:v>Pass</x:v>
      </x:c>
      <x:c r="H73" s="58" t="str">
        <x:v>Relevant automated coverage passed and the live desktop/mobile surface and safe interactions were verified.</x:v>
      </x:c>
      <x:c r="I73" s="58" t="str"/>
      <x:c r="J73" s="58" t="str"/>
    </x:row>
    <x:row r="74" ht="52" customHeight="1">
      <x:c r="A74" s="58" t="str">
        <x:v>RUN-I-070</x:v>
      </x:c>
      <x:c r="B74" s="58" t="str">
        <x:v>PHOTO-004</x:v>
      </x:c>
      <x:c r="C74" s="58" t="str">
        <x:v>Initial</x:v>
      </x:c>
      <x:c r="D74" s="63" t="n">
        <x:v>46259.796481481484</x:v>
      </x:c>
      <x:c r="E74" s="58" t="str">
        <x:v>All</x:v>
      </x:c>
      <x:c r="F74" s="58" t="str">
        <x:v>Automated + browser</x:v>
      </x:c>
      <x:c r="G74" s="58" t="str">
        <x:v>Pass</x:v>
      </x:c>
      <x:c r="H74" s="58" t="str">
        <x:v>Relevant automated coverage passed and the live desktop/mobile surface and safe interactions were verified.</x:v>
      </x:c>
      <x:c r="I74" s="58" t="str"/>
      <x:c r="J74" s="58" t="str"/>
    </x:row>
    <x:row r="75" ht="52" customHeight="1">
      <x:c r="A75" s="58" t="str">
        <x:v>RUN-I-071</x:v>
      </x:c>
      <x:c r="B75" s="58" t="str">
        <x:v>PHOTO-005</x:v>
      </x:c>
      <x:c r="C75" s="58" t="str">
        <x:v>Initial</x:v>
      </x:c>
      <x:c r="D75" s="63" t="n">
        <x:v>46259.796481481484</x:v>
      </x:c>
      <x:c r="E75" s="58" t="str">
        <x:v>All</x:v>
      </x:c>
      <x:c r="F75" s="58" t="str">
        <x:v>Automated + browser</x:v>
      </x:c>
      <x:c r="G75" s="58" t="str">
        <x:v>Pass</x:v>
      </x:c>
      <x:c r="H75" s="58" t="str">
        <x:v>Relevant automated coverage passed and the live desktop/mobile surface and safe interactions were verified.</x:v>
      </x:c>
      <x:c r="I75" s="58" t="str"/>
      <x:c r="J75" s="58" t="str"/>
    </x:row>
    <x:row r="76" ht="52" customHeight="1">
      <x:c r="A76" s="58" t="str">
        <x:v>RUN-I-072</x:v>
      </x:c>
      <x:c r="B76" s="58" t="str">
        <x:v>PHOTO-006</x:v>
      </x:c>
      <x:c r="C76" s="58" t="str">
        <x:v>Initial</x:v>
      </x:c>
      <x:c r="D76" s="63" t="n">
        <x:v>46259.796481481484</x:v>
      </x:c>
      <x:c r="E76" s="58" t="str">
        <x:v>All</x:v>
      </x:c>
      <x:c r="F76" s="58" t="str">
        <x:v>Automated</x:v>
      </x:c>
      <x:c r="G76" s="58" t="str">
        <x:v>Pass</x:v>
      </x:c>
      <x:c r="H76" s="58" t="str">
        <x:v>Relevant automated coverage passed in the 213-test PHP and 39-test frontend baseline.</x:v>
      </x:c>
      <x:c r="I76" s="58" t="str"/>
      <x:c r="J76" s="58" t="str"/>
    </x:row>
    <x:row r="77" ht="52" customHeight="1">
      <x:c r="A77" s="58" t="str">
        <x:v>RUN-I-073</x:v>
      </x:c>
      <x:c r="B77" s="58" t="str">
        <x:v>PHOTO-007</x:v>
      </x:c>
      <x:c r="C77" s="58" t="str">
        <x:v>Initial</x:v>
      </x:c>
      <x:c r="D77" s="63" t="n">
        <x:v>46259.796481481484</x:v>
      </x:c>
      <x:c r="E77" s="58" t="str">
        <x:v>All</x:v>
      </x:c>
      <x:c r="F77" s="58" t="str">
        <x:v>Automated</x:v>
      </x:c>
      <x:c r="G77" s="58" t="str">
        <x:v>Fail</x:v>
      </x:c>
      <x:c r="H77" s="58" t="str">
        <x:v>Reproduced ERR-008; see Errors.</x:v>
      </x:c>
      <x:c r="I77" s="58" t="str">
        <x:v>ERR-008</x:v>
      </x:c>
      <x:c r="J77" s="58" t="str"/>
    </x:row>
    <x:row r="78" ht="52" customHeight="1">
      <x:c r="A78" s="58" t="str">
        <x:v>RUN-I-074</x:v>
      </x:c>
      <x:c r="B78" s="58" t="str">
        <x:v>RECIPE-001</x:v>
      </x:c>
      <x:c r="C78" s="58" t="str">
        <x:v>Initial</x:v>
      </x:c>
      <x:c r="D78" s="63" t="n">
        <x:v>46259.796481481484</x:v>
      </x:c>
      <x:c r="E78" s="58" t="str">
        <x:v>All</x:v>
      </x:c>
      <x:c r="F78" s="58" t="str">
        <x:v>Automated + browser</x:v>
      </x:c>
      <x:c r="G78" s="58" t="str">
        <x:v>Pass</x:v>
      </x:c>
      <x:c r="H78" s="58" t="str">
        <x:v>Relevant automated coverage passed and the live desktop/mobile surface and safe interactions were verified.</x:v>
      </x:c>
      <x:c r="I78" s="58" t="str"/>
      <x:c r="J78" s="58" t="str"/>
    </x:row>
    <x:row r="79" ht="52" customHeight="1">
      <x:c r="A79" s="58" t="str">
        <x:v>RUN-I-075</x:v>
      </x:c>
      <x:c r="B79" s="58" t="str">
        <x:v>RECIPE-002</x:v>
      </x:c>
      <x:c r="C79" s="58" t="str">
        <x:v>Initial</x:v>
      </x:c>
      <x:c r="D79" s="63" t="n">
        <x:v>46259.796481481484</x:v>
      </x:c>
      <x:c r="E79" s="58" t="str">
        <x:v>All</x:v>
      </x:c>
      <x:c r="F79" s="58" t="str">
        <x:v>Automated + browser</x:v>
      </x:c>
      <x:c r="G79" s="58" t="str">
        <x:v>Pass</x:v>
      </x:c>
      <x:c r="H79" s="58" t="str">
        <x:v>Relevant automated coverage passed and the live desktop/mobile surface and safe interactions were verified.</x:v>
      </x:c>
      <x:c r="I79" s="58" t="str"/>
      <x:c r="J79" s="58" t="str"/>
    </x:row>
    <x:row r="80" ht="52" customHeight="1">
      <x:c r="A80" s="58" t="str">
        <x:v>RUN-I-076</x:v>
      </x:c>
      <x:c r="B80" s="58" t="str">
        <x:v>RECIPE-003</x:v>
      </x:c>
      <x:c r="C80" s="58" t="str">
        <x:v>Initial</x:v>
      </x:c>
      <x:c r="D80" s="63" t="n">
        <x:v>46259.796481481484</x:v>
      </x:c>
      <x:c r="E80" s="58" t="str">
        <x:v>All</x:v>
      </x:c>
      <x:c r="F80" s="58" t="str">
        <x:v>Automated + browser</x:v>
      </x:c>
      <x:c r="G80" s="58" t="str">
        <x:v>Pass</x:v>
      </x:c>
      <x:c r="H80" s="58" t="str">
        <x:v>Relevant automated coverage passed and the live desktop/mobile surface and safe interactions were verified.</x:v>
      </x:c>
      <x:c r="I80" s="58" t="str"/>
      <x:c r="J80" s="58" t="str"/>
    </x:row>
    <x:row r="81" ht="52" customHeight="1">
      <x:c r="A81" s="58" t="str">
        <x:v>RUN-I-077</x:v>
      </x:c>
      <x:c r="B81" s="58" t="str">
        <x:v>RECIPE-004</x:v>
      </x:c>
      <x:c r="C81" s="58" t="str">
        <x:v>Initial</x:v>
      </x:c>
      <x:c r="D81" s="63" t="n">
        <x:v>46259.796481481484</x:v>
      </x:c>
      <x:c r="E81" s="58" t="str">
        <x:v>All</x:v>
      </x:c>
      <x:c r="F81" s="58" t="str">
        <x:v>Browser</x:v>
      </x:c>
      <x:c r="G81" s="58" t="str">
        <x:v>Pass</x:v>
      </x:c>
      <x:c r="H81" s="58" t="str">
        <x:v>Relevant automated coverage passed in the 213-test PHP and 39-test frontend baseline.</x:v>
      </x:c>
      <x:c r="I81" s="58" t="str"/>
      <x:c r="J81" s="58" t="str"/>
    </x:row>
    <x:row r="82" ht="52" customHeight="1">
      <x:c r="A82" s="58" t="str">
        <x:v>RUN-I-078</x:v>
      </x:c>
      <x:c r="B82" s="58" t="str">
        <x:v>RECIPE-005</x:v>
      </x:c>
      <x:c r="C82" s="58" t="str">
        <x:v>Initial</x:v>
      </x:c>
      <x:c r="D82" s="63" t="n">
        <x:v>46259.796481481484</x:v>
      </x:c>
      <x:c r="E82" s="58" t="str">
        <x:v>All</x:v>
      </x:c>
      <x:c r="F82" s="58" t="str">
        <x:v>Automated + browser</x:v>
      </x:c>
      <x:c r="G82" s="58" t="str">
        <x:v>Fail</x:v>
      </x:c>
      <x:c r="H82" s="58" t="str">
        <x:v>Reproduced ERR-006, ERR-032; see Errors.</x:v>
      </x:c>
      <x:c r="I82" s="58" t="str">
        <x:v>ERR-006; ERR-032</x:v>
      </x:c>
      <x:c r="J82" s="58" t="str"/>
    </x:row>
    <x:row r="83" ht="52" customHeight="1">
      <x:c r="A83" s="58" t="str">
        <x:v>RUN-I-079</x:v>
      </x:c>
      <x:c r="B83" s="58" t="str">
        <x:v>RECIPE-006</x:v>
      </x:c>
      <x:c r="C83" s="58" t="str">
        <x:v>Initial</x:v>
      </x:c>
      <x:c r="D83" s="63" t="n">
        <x:v>46259.796481481484</x:v>
      </x:c>
      <x:c r="E83" s="58" t="str">
        <x:v>All</x:v>
      </x:c>
      <x:c r="F83" s="58" t="str">
        <x:v>Automated</x:v>
      </x:c>
      <x:c r="G83" s="58" t="str">
        <x:v>Fail</x:v>
      </x:c>
      <x:c r="H83" s="58" t="str">
        <x:v>Reproduced ERR-007; see Errors.</x:v>
      </x:c>
      <x:c r="I83" s="58" t="str">
        <x:v>ERR-007</x:v>
      </x:c>
      <x:c r="J83" s="58" t="str"/>
    </x:row>
    <x:row r="84" ht="52" customHeight="1">
      <x:c r="A84" s="58" t="str">
        <x:v>RUN-I-080</x:v>
      </x:c>
      <x:c r="B84" s="58" t="str">
        <x:v>RECIPE-007</x:v>
      </x:c>
      <x:c r="C84" s="58" t="str">
        <x:v>Initial</x:v>
      </x:c>
      <x:c r="D84" s="63" t="n">
        <x:v>46259.796481481484</x:v>
      </x:c>
      <x:c r="E84" s="58" t="str">
        <x:v>All</x:v>
      </x:c>
      <x:c r="F84" s="58" t="str">
        <x:v>Automated</x:v>
      </x:c>
      <x:c r="G84" s="58" t="str">
        <x:v>Pass</x:v>
      </x:c>
      <x:c r="H84" s="58" t="str">
        <x:v>Relevant automated coverage passed in the 213-test PHP and 39-test frontend baseline.</x:v>
      </x:c>
      <x:c r="I84" s="58" t="str"/>
      <x:c r="J84" s="58" t="str"/>
    </x:row>
    <x:row r="85" ht="52" customHeight="1">
      <x:c r="A85" s="58" t="str">
        <x:v>RUN-I-081</x:v>
      </x:c>
      <x:c r="B85" s="58" t="str">
        <x:v>RECIPE-008</x:v>
      </x:c>
      <x:c r="C85" s="58" t="str">
        <x:v>Initial</x:v>
      </x:c>
      <x:c r="D85" s="63" t="n">
        <x:v>46259.796481481484</x:v>
      </x:c>
      <x:c r="E85" s="58" t="str">
        <x:v>All</x:v>
      </x:c>
      <x:c r="F85" s="58" t="str">
        <x:v>Automated + browser</x:v>
      </x:c>
      <x:c r="G85" s="58" t="str">
        <x:v>Fail</x:v>
      </x:c>
      <x:c r="H85" s="58" t="str">
        <x:v>Reproduced ERR-035; see Errors.</x:v>
      </x:c>
      <x:c r="I85" s="58" t="str">
        <x:v>ERR-035</x:v>
      </x:c>
      <x:c r="J85" s="58" t="str"/>
    </x:row>
    <x:row r="86" ht="52" customHeight="1">
      <x:c r="A86" s="58" t="str">
        <x:v>RUN-I-082</x:v>
      </x:c>
      <x:c r="B86" s="58" t="str">
        <x:v>RECIPE-009</x:v>
      </x:c>
      <x:c r="C86" s="58" t="str">
        <x:v>Initial</x:v>
      </x:c>
      <x:c r="D86" s="63" t="n">
        <x:v>46259.796481481484</x:v>
      </x:c>
      <x:c r="E86" s="58" t="str">
        <x:v>All</x:v>
      </x:c>
      <x:c r="F86" s="58" t="str">
        <x:v>Automated + browser</x:v>
      </x:c>
      <x:c r="G86" s="58" t="str">
        <x:v>Fail</x:v>
      </x:c>
      <x:c r="H86" s="58" t="str">
        <x:v>Reproduced ERR-014; see Errors.</x:v>
      </x:c>
      <x:c r="I86" s="58" t="str">
        <x:v>ERR-014</x:v>
      </x:c>
      <x:c r="J86" s="58" t="str"/>
    </x:row>
    <x:row r="87" ht="52" customHeight="1">
      <x:c r="A87" s="58" t="str">
        <x:v>RUN-I-083</x:v>
      </x:c>
      <x:c r="B87" s="58" t="str">
        <x:v>WORK-001</x:v>
      </x:c>
      <x:c r="C87" s="58" t="str">
        <x:v>Initial</x:v>
      </x:c>
      <x:c r="D87" s="63" t="n">
        <x:v>46259.796481481484</x:v>
      </x:c>
      <x:c r="E87" s="58" t="str">
        <x:v>All</x:v>
      </x:c>
      <x:c r="F87" s="58" t="str">
        <x:v>Automated + browser</x:v>
      </x:c>
      <x:c r="G87" s="58" t="str">
        <x:v>Fail</x:v>
      </x:c>
      <x:c r="H87" s="58" t="str">
        <x:v>Reproduced ERR-028; see Errors.</x:v>
      </x:c>
      <x:c r="I87" s="58" t="str">
        <x:v>ERR-028</x:v>
      </x:c>
      <x:c r="J87" s="58" t="str"/>
    </x:row>
    <x:row r="88" ht="52" customHeight="1">
      <x:c r="A88" s="58" t="str">
        <x:v>RUN-I-084</x:v>
      </x:c>
      <x:c r="B88" s="58" t="str">
        <x:v>WEEK-001</x:v>
      </x:c>
      <x:c r="C88" s="58" t="str">
        <x:v>Initial</x:v>
      </x:c>
      <x:c r="D88" s="63" t="n">
        <x:v>46259.796481481484</x:v>
      </x:c>
      <x:c r="E88" s="58" t="str">
        <x:v>All</x:v>
      </x:c>
      <x:c r="F88" s="58" t="str">
        <x:v>Automated + browser</x:v>
      </x:c>
      <x:c r="G88" s="58" t="str">
        <x:v>Pass</x:v>
      </x:c>
      <x:c r="H88" s="58" t="str">
        <x:v>Relevant automated coverage passed and the live desktop/mobile surface and safe interactions were verified.</x:v>
      </x:c>
      <x:c r="I88" s="58" t="str"/>
      <x:c r="J88" s="58" t="str"/>
    </x:row>
    <x:row r="89" ht="52" customHeight="1">
      <x:c r="A89" s="58" t="str">
        <x:v>RUN-I-085</x:v>
      </x:c>
      <x:c r="B89" s="58" t="str">
        <x:v>WEEK-002</x:v>
      </x:c>
      <x:c r="C89" s="58" t="str">
        <x:v>Initial</x:v>
      </x:c>
      <x:c r="D89" s="63" t="n">
        <x:v>46259.796481481484</x:v>
      </x:c>
      <x:c r="E89" s="58" t="str">
        <x:v>All</x:v>
      </x:c>
      <x:c r="F89" s="58" t="str">
        <x:v>Automated + browser</x:v>
      </x:c>
      <x:c r="G89" s="58" t="str">
        <x:v>Fail</x:v>
      </x:c>
      <x:c r="H89" s="58" t="str">
        <x:v>Reproduced ERR-004; see Errors.</x:v>
      </x:c>
      <x:c r="I89" s="58" t="str">
        <x:v>ERR-004</x:v>
      </x:c>
      <x:c r="J89" s="58" t="str"/>
    </x:row>
    <x:row r="90" ht="52" customHeight="1">
      <x:c r="A90" s="58" t="str">
        <x:v>RUN-I-086</x:v>
      </x:c>
      <x:c r="B90" s="58" t="str">
        <x:v>WEEK-003</x:v>
      </x:c>
      <x:c r="C90" s="58" t="str">
        <x:v>Initial</x:v>
      </x:c>
      <x:c r="D90" s="63" t="n">
        <x:v>46259.796481481484</x:v>
      </x:c>
      <x:c r="E90" s="58" t="str">
        <x:v>All</x:v>
      </x:c>
      <x:c r="F90" s="58" t="str">
        <x:v>Automated + browser</x:v>
      </x:c>
      <x:c r="G90" s="58" t="str">
        <x:v>Pass</x:v>
      </x:c>
      <x:c r="H90" s="58" t="str">
        <x:v>Relevant automated coverage passed and the live desktop/mobile surface and safe interactions were verified.</x:v>
      </x:c>
      <x:c r="I90" s="58" t="str"/>
      <x:c r="J90" s="58" t="str"/>
    </x:row>
    <x:row r="91" ht="52" customHeight="1">
      <x:c r="A91" s="58" t="str">
        <x:v>RUN-I-087</x:v>
      </x:c>
      <x:c r="B91" s="58" t="str">
        <x:v>WEEK-004</x:v>
      </x:c>
      <x:c r="C91" s="58" t="str">
        <x:v>Initial</x:v>
      </x:c>
      <x:c r="D91" s="63" t="n">
        <x:v>46259.796481481484</x:v>
      </x:c>
      <x:c r="E91" s="58" t="str">
        <x:v>All</x:v>
      </x:c>
      <x:c r="F91" s="58" t="str">
        <x:v>Automated + browser</x:v>
      </x:c>
      <x:c r="G91" s="58" t="str">
        <x:v>Pass</x:v>
      </x:c>
      <x:c r="H91" s="58" t="str">
        <x:v>Relevant automated coverage passed and the live desktop/mobile surface and safe interactions were verified.</x:v>
      </x:c>
      <x:c r="I91" s="58" t="str"/>
      <x:c r="J91" s="58" t="str"/>
    </x:row>
    <x:row r="92" ht="52" customHeight="1">
      <x:c r="A92" s="58" t="str">
        <x:v>RUN-I-088</x:v>
      </x:c>
      <x:c r="B92" s="58" t="str">
        <x:v>WEEK-005</x:v>
      </x:c>
      <x:c r="C92" s="58" t="str">
        <x:v>Initial</x:v>
      </x:c>
      <x:c r="D92" s="63" t="n">
        <x:v>46259.796481481484</x:v>
      </x:c>
      <x:c r="E92" s="58" t="str">
        <x:v>All</x:v>
      </x:c>
      <x:c r="F92" s="58" t="str">
        <x:v>Automated + browser</x:v>
      </x:c>
      <x:c r="G92" s="58" t="str">
        <x:v>Pass</x:v>
      </x:c>
      <x:c r="H92" s="58" t="str">
        <x:v>Relevant automated coverage passed and the live desktop/mobile surface and safe interactions were verified.</x:v>
      </x:c>
      <x:c r="I92" s="58" t="str"/>
      <x:c r="J92" s="58" t="str"/>
    </x:row>
    <x:row r="93" ht="52" customHeight="1">
      <x:c r="A93" s="58" t="str">
        <x:v>RUN-I-089</x:v>
      </x:c>
      <x:c r="B93" s="58" t="str">
        <x:v>MAC-001</x:v>
      </x:c>
      <x:c r="C93" s="58" t="str">
        <x:v>Initial</x:v>
      </x:c>
      <x:c r="D93" s="63" t="n">
        <x:v>46259.796481481484</x:v>
      </x:c>
      <x:c r="E93" s="58" t="str">
        <x:v>All</x:v>
      </x:c>
      <x:c r="F93" s="58" t="str">
        <x:v>Automated + browser</x:v>
      </x:c>
      <x:c r="G93" s="58" t="str">
        <x:v>Pass</x:v>
      </x:c>
      <x:c r="H93" s="58" t="str">
        <x:v>Relevant automated coverage passed and the live desktop/mobile surface and safe interactions were verified.</x:v>
      </x:c>
      <x:c r="I93" s="58" t="str"/>
      <x:c r="J93" s="58" t="str"/>
    </x:row>
    <x:row r="94" ht="52" customHeight="1">
      <x:c r="A94" s="58" t="str">
        <x:v>RUN-I-090</x:v>
      </x:c>
      <x:c r="B94" s="58" t="str">
        <x:v>MAC-002</x:v>
      </x:c>
      <x:c r="C94" s="58" t="str">
        <x:v>Initial</x:v>
      </x:c>
      <x:c r="D94" s="63" t="n">
        <x:v>46259.796481481484</x:v>
      </x:c>
      <x:c r="E94" s="58" t="str">
        <x:v>All</x:v>
      </x:c>
      <x:c r="F94" s="58" t="str">
        <x:v>Automated</x:v>
      </x:c>
      <x:c r="G94" s="58" t="str">
        <x:v>Pass</x:v>
      </x:c>
      <x:c r="H94" s="58" t="str">
        <x:v>Relevant automated coverage passed in the 213-test PHP and 39-test frontend baseline.</x:v>
      </x:c>
      <x:c r="I94" s="58" t="str"/>
      <x:c r="J94" s="58" t="str"/>
    </x:row>
    <x:row r="95" ht="52" customHeight="1">
      <x:c r="A95" s="58" t="str">
        <x:v>RUN-I-091</x:v>
      </x:c>
      <x:c r="B95" s="58" t="str">
        <x:v>MAC-003</x:v>
      </x:c>
      <x:c r="C95" s="58" t="str">
        <x:v>Initial</x:v>
      </x:c>
      <x:c r="D95" s="63" t="n">
        <x:v>46259.796481481484</x:v>
      </x:c>
      <x:c r="E95" s="58" t="str">
        <x:v>All</x:v>
      </x:c>
      <x:c r="F95" s="58" t="str">
        <x:v>Automated</x:v>
      </x:c>
      <x:c r="G95" s="58" t="str">
        <x:v>Fail</x:v>
      </x:c>
      <x:c r="H95" s="58" t="str">
        <x:v>Reproduced ERR-003; see Errors.</x:v>
      </x:c>
      <x:c r="I95" s="58" t="str">
        <x:v>ERR-003</x:v>
      </x:c>
      <x:c r="J95" s="58" t="str"/>
    </x:row>
    <x:row r="96" ht="52" customHeight="1">
      <x:c r="A96" s="58" t="str">
        <x:v>RUN-I-092</x:v>
      </x:c>
      <x:c r="B96" s="58" t="str">
        <x:v>PROG-001</x:v>
      </x:c>
      <x:c r="C96" s="58" t="str">
        <x:v>Initial</x:v>
      </x:c>
      <x:c r="D96" s="63" t="n">
        <x:v>46259.796481481484</x:v>
      </x:c>
      <x:c r="E96" s="58" t="str">
        <x:v>All</x:v>
      </x:c>
      <x:c r="F96" s="58" t="str">
        <x:v>Automated + browser</x:v>
      </x:c>
      <x:c r="G96" s="58" t="str">
        <x:v>Pass</x:v>
      </x:c>
      <x:c r="H96" s="58" t="str">
        <x:v>Relevant automated coverage passed and the live desktop/mobile surface and safe interactions were verified.</x:v>
      </x:c>
      <x:c r="I96" s="58" t="str"/>
      <x:c r="J96" s="58" t="str"/>
    </x:row>
    <x:row r="97" ht="52" customHeight="1">
      <x:c r="A97" s="58" t="str">
        <x:v>RUN-I-093</x:v>
      </x:c>
      <x:c r="B97" s="58" t="str">
        <x:v>PROG-002</x:v>
      </x:c>
      <x:c r="C97" s="58" t="str">
        <x:v>Initial</x:v>
      </x:c>
      <x:c r="D97" s="63" t="n">
        <x:v>46259.796481481484</x:v>
      </x:c>
      <x:c r="E97" s="58" t="str">
        <x:v>All</x:v>
      </x:c>
      <x:c r="F97" s="58" t="str">
        <x:v>Automated + browser</x:v>
      </x:c>
      <x:c r="G97" s="58" t="str">
        <x:v>Pass</x:v>
      </x:c>
      <x:c r="H97" s="58" t="str">
        <x:v>Relevant automated coverage passed and the live desktop/mobile surface and safe interactions were verified.</x:v>
      </x:c>
      <x:c r="I97" s="58" t="str"/>
      <x:c r="J97" s="58" t="str"/>
    </x:row>
    <x:row r="98" ht="52" customHeight="1">
      <x:c r="A98" s="58" t="str">
        <x:v>RUN-I-094</x:v>
      </x:c>
      <x:c r="B98" s="58" t="str">
        <x:v>PROG-003</x:v>
      </x:c>
      <x:c r="C98" s="58" t="str">
        <x:v>Initial</x:v>
      </x:c>
      <x:c r="D98" s="63" t="n">
        <x:v>46259.796481481484</x:v>
      </x:c>
      <x:c r="E98" s="58" t="str">
        <x:v>All</x:v>
      </x:c>
      <x:c r="F98" s="58" t="str">
        <x:v>Automated + browser</x:v>
      </x:c>
      <x:c r="G98" s="58" t="str">
        <x:v>Pass</x:v>
      </x:c>
      <x:c r="H98" s="58" t="str">
        <x:v>Relevant automated coverage passed and the live desktop/mobile surface and safe interactions were verified.</x:v>
      </x:c>
      <x:c r="I98" s="58" t="str"/>
      <x:c r="J98" s="58" t="str"/>
    </x:row>
    <x:row r="99" ht="52" customHeight="1">
      <x:c r="A99" s="58" t="str">
        <x:v>RUN-I-095</x:v>
      </x:c>
      <x:c r="B99" s="58" t="str">
        <x:v>PROG-004</x:v>
      </x:c>
      <x:c r="C99" s="58" t="str">
        <x:v>Initial</x:v>
      </x:c>
      <x:c r="D99" s="63" t="n">
        <x:v>46259.796481481484</x:v>
      </x:c>
      <x:c r="E99" s="58" t="str">
        <x:v>All</x:v>
      </x:c>
      <x:c r="F99" s="58" t="str">
        <x:v>Automated + browser</x:v>
      </x:c>
      <x:c r="G99" s="58" t="str">
        <x:v>Pass</x:v>
      </x:c>
      <x:c r="H99" s="58" t="str">
        <x:v>Relevant automated coverage passed and the live desktop/mobile surface and safe interactions were verified.</x:v>
      </x:c>
      <x:c r="I99" s="58" t="str"/>
      <x:c r="J99" s="58" t="str"/>
    </x:row>
    <x:row r="100" ht="52" customHeight="1">
      <x:c r="A100" s="58" t="str">
        <x:v>RUN-I-096</x:v>
      </x:c>
      <x:c r="B100" s="58" t="str">
        <x:v>PROG-005</x:v>
      </x:c>
      <x:c r="C100" s="58" t="str">
        <x:v>Initial</x:v>
      </x:c>
      <x:c r="D100" s="63" t="n">
        <x:v>46259.796481481484</x:v>
      </x:c>
      <x:c r="E100" s="58" t="str">
        <x:v>All</x:v>
      </x:c>
      <x:c r="F100" s="58" t="str">
        <x:v>Automated + browser</x:v>
      </x:c>
      <x:c r="G100" s="58" t="str">
        <x:v>Pass</x:v>
      </x:c>
      <x:c r="H100" s="58" t="str">
        <x:v>Relevant automated coverage passed and the live desktop/mobile surface and safe interactions were verified.</x:v>
      </x:c>
      <x:c r="I100" s="58" t="str"/>
      <x:c r="J100" s="58" t="str"/>
    </x:row>
    <x:row r="101" ht="52" customHeight="1">
      <x:c r="A101" s="58" t="str">
        <x:v>RUN-I-097</x:v>
      </x:c>
      <x:c r="B101" s="58" t="str">
        <x:v>PROG-006</x:v>
      </x:c>
      <x:c r="C101" s="58" t="str">
        <x:v>Initial</x:v>
      </x:c>
      <x:c r="D101" s="63" t="n">
        <x:v>46259.796481481484</x:v>
      </x:c>
      <x:c r="E101" s="58" t="str">
        <x:v>All</x:v>
      </x:c>
      <x:c r="F101" s="58" t="str">
        <x:v>Automated + browser</x:v>
      </x:c>
      <x:c r="G101" s="58" t="str">
        <x:v>Pass</x:v>
      </x:c>
      <x:c r="H101" s="58" t="str">
        <x:v>Relevant automated coverage passed and the live desktop/mobile surface and safe interactions were verified.</x:v>
      </x:c>
      <x:c r="I101" s="58" t="str"/>
      <x:c r="J101" s="58" t="str"/>
    </x:row>
    <x:row r="102" ht="52" customHeight="1">
      <x:c r="A102" s="58" t="str">
        <x:v>RUN-I-098</x:v>
      </x:c>
      <x:c r="B102" s="58" t="str">
        <x:v>PROG-007</x:v>
      </x:c>
      <x:c r="C102" s="58" t="str">
        <x:v>Initial</x:v>
      </x:c>
      <x:c r="D102" s="63" t="n">
        <x:v>46259.796481481484</x:v>
      </x:c>
      <x:c r="E102" s="58" t="str">
        <x:v>All</x:v>
      </x:c>
      <x:c r="F102" s="58" t="str">
        <x:v>Automated + browser</x:v>
      </x:c>
      <x:c r="G102" s="58" t="str">
        <x:v>Fail</x:v>
      </x:c>
      <x:c r="H102" s="58" t="str">
        <x:v>Reproduced ERR-016; see Errors.</x:v>
      </x:c>
      <x:c r="I102" s="58" t="str">
        <x:v>ERR-016</x:v>
      </x:c>
      <x:c r="J102" s="58" t="str"/>
    </x:row>
    <x:row r="103" ht="52" customHeight="1">
      <x:c r="A103" s="58" t="str">
        <x:v>RUN-I-099</x:v>
      </x:c>
      <x:c r="B103" s="58" t="str">
        <x:v>PROG-008</x:v>
      </x:c>
      <x:c r="C103" s="58" t="str">
        <x:v>Initial</x:v>
      </x:c>
      <x:c r="D103" s="63" t="n">
        <x:v>46259.796481481484</x:v>
      </x:c>
      <x:c r="E103" s="58" t="str">
        <x:v>All</x:v>
      </x:c>
      <x:c r="F103" s="58" t="str">
        <x:v>Automated + browser</x:v>
      </x:c>
      <x:c r="G103" s="58" t="str">
        <x:v>Pass</x:v>
      </x:c>
      <x:c r="H103" s="58" t="str">
        <x:v>Relevant automated coverage passed and the live desktop/mobile surface and safe interactions were verified.</x:v>
      </x:c>
      <x:c r="I103" s="58" t="str"/>
      <x:c r="J103" s="58" t="str"/>
    </x:row>
    <x:row r="104" ht="52" customHeight="1">
      <x:c r="A104" s="58" t="str">
        <x:v>RUN-I-100</x:v>
      </x:c>
      <x:c r="B104" s="58" t="str">
        <x:v>PROG-009</x:v>
      </x:c>
      <x:c r="C104" s="58" t="str">
        <x:v>Initial</x:v>
      </x:c>
      <x:c r="D104" s="63" t="n">
        <x:v>46259.796481481484</x:v>
      </x:c>
      <x:c r="E104" s="58" t="str">
        <x:v>All</x:v>
      </x:c>
      <x:c r="F104" s="58" t="str">
        <x:v>Automated + browser</x:v>
      </x:c>
      <x:c r="G104" s="58" t="str">
        <x:v>Pass</x:v>
      </x:c>
      <x:c r="H104" s="58" t="str">
        <x:v>Relevant automated coverage passed and the live desktop/mobile surface and safe interactions were verified.</x:v>
      </x:c>
      <x:c r="I104" s="58" t="str"/>
      <x:c r="J104" s="58" t="str"/>
    </x:row>
    <x:row r="105" ht="52" customHeight="1">
      <x:c r="A105" s="58" t="str">
        <x:v>RUN-I-101</x:v>
      </x:c>
      <x:c r="B105" s="58" t="str">
        <x:v>PROG-010</x:v>
      </x:c>
      <x:c r="C105" s="58" t="str">
        <x:v>Initial</x:v>
      </x:c>
      <x:c r="D105" s="63" t="n">
        <x:v>46259.796481481484</x:v>
      </x:c>
      <x:c r="E105" s="58" t="str">
        <x:v>All</x:v>
      </x:c>
      <x:c r="F105" s="58" t="str">
        <x:v>Automated + browser</x:v>
      </x:c>
      <x:c r="G105" s="58" t="str">
        <x:v>Pass</x:v>
      </x:c>
      <x:c r="H105" s="58" t="str">
        <x:v>Relevant automated coverage passed and the live desktop/mobile surface and safe interactions were verified.</x:v>
      </x:c>
      <x:c r="I105" s="58" t="str"/>
      <x:c r="J105" s="58" t="str"/>
    </x:row>
    <x:row r="106" ht="52" customHeight="1">
      <x:c r="A106" s="58" t="str">
        <x:v>RUN-I-102</x:v>
      </x:c>
      <x:c r="B106" s="58" t="str">
        <x:v>PROG-011</x:v>
      </x:c>
      <x:c r="C106" s="58" t="str">
        <x:v>Initial</x:v>
      </x:c>
      <x:c r="D106" s="63" t="n">
        <x:v>46259.796481481484</x:v>
      </x:c>
      <x:c r="E106" s="58" t="str">
        <x:v>All</x:v>
      </x:c>
      <x:c r="F106" s="58" t="str">
        <x:v>Automated + browser</x:v>
      </x:c>
      <x:c r="G106" s="58" t="str">
        <x:v>Pass</x:v>
      </x:c>
      <x:c r="H106" s="58" t="str">
        <x:v>Relevant automated coverage passed and the live desktop/mobile surface and safe interactions were verified.</x:v>
      </x:c>
      <x:c r="I106" s="58" t="str"/>
      <x:c r="J106" s="58" t="str"/>
    </x:row>
    <x:row r="107" ht="52" customHeight="1">
      <x:c r="A107" s="58" t="str">
        <x:v>RUN-I-103</x:v>
      </x:c>
      <x:c r="B107" s="58" t="str">
        <x:v>PROG-012</x:v>
      </x:c>
      <x:c r="C107" s="58" t="str">
        <x:v>Initial</x:v>
      </x:c>
      <x:c r="D107" s="63" t="n">
        <x:v>46259.796481481484</x:v>
      </x:c>
      <x:c r="E107" s="58" t="str">
        <x:v>All</x:v>
      </x:c>
      <x:c r="F107" s="58" t="str">
        <x:v>Browser + native device</x:v>
      </x:c>
      <x:c r="G107" s="58" t="str">
        <x:v>Fail</x:v>
      </x:c>
      <x:c r="H107" s="58" t="str">
        <x:v>Pose capture advanced Front to Side, but camera Back and overlay contrast reproduced ERR-022 and ERR-023.</x:v>
      </x:c>
      <x:c r="I107" s="58" t="str">
        <x:v>ERR-022; ERR-023</x:v>
      </x:c>
      <x:c r="J107" s="58" t="str"/>
    </x:row>
    <x:row r="108" ht="52" customHeight="1">
      <x:c r="A108" s="58" t="str">
        <x:v>RUN-I-104</x:v>
      </x:c>
      <x:c r="B108" s="58" t="str">
        <x:v>PROG-013</x:v>
      </x:c>
      <x:c r="C108" s="58" t="str">
        <x:v>Initial</x:v>
      </x:c>
      <x:c r="D108" s="63" t="n">
        <x:v>46259.796481481484</x:v>
      </x:c>
      <x:c r="E108" s="58" t="str">
        <x:v>All</x:v>
      </x:c>
      <x:c r="F108" s="58" t="str">
        <x:v>Browser + native device</x:v>
      </x:c>
      <x:c r="G108" s="58" t="str">
        <x:v>Fail</x:v>
      </x:c>
      <x:c r="H108" s="58" t="str">
        <x:v>Camera flip switched native camera IDs, but the control was visually obscured by ERR-023.</x:v>
      </x:c>
      <x:c r="I108" s="58" t="str">
        <x:v>ERR-023</x:v>
      </x:c>
      <x:c r="J108" s="58" t="str"/>
    </x:row>
    <x:row r="109" ht="52" customHeight="1">
      <x:c r="A109" s="58" t="str">
        <x:v>RUN-I-105</x:v>
      </x:c>
      <x:c r="B109" s="58" t="str">
        <x:v>PROG-014</x:v>
      </x:c>
      <x:c r="C109" s="58" t="str">
        <x:v>Initial</x:v>
      </x:c>
      <x:c r="D109" s="63" t="n">
        <x:v>46259.796481481484</x:v>
      </x:c>
      <x:c r="E109" s="58" t="str">
        <x:v>All</x:v>
      </x:c>
      <x:c r="F109" s="58" t="str">
        <x:v>Automated + browser</x:v>
      </x:c>
      <x:c r="G109" s="58" t="str">
        <x:v>Pass</x:v>
      </x:c>
      <x:c r="H109" s="58" t="str">
        <x:v>Relevant automated coverage passed and the live desktop/mobile surface and safe interactions were verified.</x:v>
      </x:c>
      <x:c r="I109" s="58" t="str"/>
      <x:c r="J109" s="58" t="str"/>
    </x:row>
    <x:row r="110" ht="52" customHeight="1">
      <x:c r="A110" s="58" t="str">
        <x:v>RUN-I-106</x:v>
      </x:c>
      <x:c r="B110" s="58" t="str">
        <x:v>PROG-015</x:v>
      </x:c>
      <x:c r="C110" s="58" t="str">
        <x:v>Initial</x:v>
      </x:c>
      <x:c r="D110" s="63" t="n">
        <x:v>46259.796481481484</x:v>
      </x:c>
      <x:c r="E110" s="58" t="str">
        <x:v>All</x:v>
      </x:c>
      <x:c r="F110" s="58" t="str">
        <x:v>Automated + browser</x:v>
      </x:c>
      <x:c r="G110" s="58" t="str">
        <x:v>Pass</x:v>
      </x:c>
      <x:c r="H110" s="58" t="str">
        <x:v>Relevant automated coverage passed and the live desktop/mobile surface and safe interactions were verified.</x:v>
      </x:c>
      <x:c r="I110" s="58" t="str"/>
      <x:c r="J110" s="58" t="str"/>
    </x:row>
    <x:row r="111" ht="52" customHeight="1">
      <x:c r="A111" s="58" t="str">
        <x:v>RUN-I-107</x:v>
      </x:c>
      <x:c r="B111" s="58" t="str">
        <x:v>PROG-016</x:v>
      </x:c>
      <x:c r="C111" s="58" t="str">
        <x:v>Initial</x:v>
      </x:c>
      <x:c r="D111" s="63" t="n">
        <x:v>46259.796481481484</x:v>
      </x:c>
      <x:c r="E111" s="58" t="str">
        <x:v>All</x:v>
      </x:c>
      <x:c r="F111" s="58" t="str">
        <x:v>Automated + browser</x:v>
      </x:c>
      <x:c r="G111" s="58" t="str">
        <x:v>Pass</x:v>
      </x:c>
      <x:c r="H111" s="58" t="str">
        <x:v>Relevant automated coverage passed and the live desktop/mobile surface and safe interactions were verified.</x:v>
      </x:c>
      <x:c r="I111" s="58" t="str"/>
      <x:c r="J111" s="58" t="str"/>
    </x:row>
    <x:row r="112" ht="52" customHeight="1">
      <x:c r="A112" s="58" t="str">
        <x:v>RUN-I-108</x:v>
      </x:c>
      <x:c r="B112" s="58" t="str">
        <x:v>PROG-017</x:v>
      </x:c>
      <x:c r="C112" s="58" t="str">
        <x:v>Initial</x:v>
      </x:c>
      <x:c r="D112" s="63" t="n">
        <x:v>46259.796481481484</x:v>
      </x:c>
      <x:c r="E112" s="58" t="str">
        <x:v>All</x:v>
      </x:c>
      <x:c r="F112" s="58" t="str">
        <x:v>Automated + browser</x:v>
      </x:c>
      <x:c r="G112" s="58" t="str">
        <x:v>Fail</x:v>
      </x:c>
      <x:c r="H112" s="58" t="str">
        <x:v>Reproduced ERR-011; see Errors.</x:v>
      </x:c>
      <x:c r="I112" s="58" t="str">
        <x:v>ERR-011</x:v>
      </x:c>
      <x:c r="J112" s="58" t="str"/>
    </x:row>
    <x:row r="113" ht="52" customHeight="1">
      <x:c r="A113" s="58" t="str">
        <x:v>RUN-I-109</x:v>
      </x:c>
      <x:c r="B113" s="58" t="str">
        <x:v>PROG-018</x:v>
      </x:c>
      <x:c r="C113" s="58" t="str">
        <x:v>Initial</x:v>
      </x:c>
      <x:c r="D113" s="63" t="n">
        <x:v>46259.796481481484</x:v>
      </x:c>
      <x:c r="E113" s="58" t="str">
        <x:v>All</x:v>
      </x:c>
      <x:c r="F113" s="58" t="str">
        <x:v>Automated + browser</x:v>
      </x:c>
      <x:c r="G113" s="58" t="str">
        <x:v>Pass</x:v>
      </x:c>
      <x:c r="H113" s="58" t="str">
        <x:v>Relevant automated coverage passed and the live desktop/mobile surface and safe interactions were verified.</x:v>
      </x:c>
      <x:c r="I113" s="58" t="str"/>
      <x:c r="J113" s="58" t="str"/>
    </x:row>
    <x:row r="114" ht="52" customHeight="1">
      <x:c r="A114" s="58" t="str">
        <x:v>RUN-I-110</x:v>
      </x:c>
      <x:c r="B114" s="58" t="str">
        <x:v>PROG-019</x:v>
      </x:c>
      <x:c r="C114" s="58" t="str">
        <x:v>Initial</x:v>
      </x:c>
      <x:c r="D114" s="63" t="n">
        <x:v>46259.796481481484</x:v>
      </x:c>
      <x:c r="E114" s="58" t="str">
        <x:v>All</x:v>
      </x:c>
      <x:c r="F114" s="58" t="str">
        <x:v>Automated + browser</x:v>
      </x:c>
      <x:c r="G114" s="58" t="str">
        <x:v>Fail</x:v>
      </x:c>
      <x:c r="H114" s="58" t="str">
        <x:v>Reproduced ERR-013; see Errors.</x:v>
      </x:c>
      <x:c r="I114" s="58" t="str">
        <x:v>ERR-013</x:v>
      </x:c>
      <x:c r="J114" s="58" t="str"/>
    </x:row>
    <x:row r="115" ht="52" customHeight="1">
      <x:c r="A115" s="58" t="str">
        <x:v>RUN-I-111</x:v>
      </x:c>
      <x:c r="B115" s="58" t="str">
        <x:v>PROG-020</x:v>
      </x:c>
      <x:c r="C115" s="58" t="str">
        <x:v>Initial</x:v>
      </x:c>
      <x:c r="D115" s="63" t="n">
        <x:v>46259.796481481484</x:v>
      </x:c>
      <x:c r="E115" s="58" t="str">
        <x:v>All</x:v>
      </x:c>
      <x:c r="F115" s="58" t="str">
        <x:v>Automated</x:v>
      </x:c>
      <x:c r="G115" s="58" t="str">
        <x:v>Fail</x:v>
      </x:c>
      <x:c r="H115" s="58" t="str">
        <x:v>Reproduced ERR-010; see Errors.</x:v>
      </x:c>
      <x:c r="I115" s="58" t="str">
        <x:v>ERR-010</x:v>
      </x:c>
      <x:c r="J115" s="58" t="str"/>
    </x:row>
    <x:row r="116" ht="52" customHeight="1">
      <x:c r="A116" s="58" t="str">
        <x:v>RUN-I-112</x:v>
      </x:c>
      <x:c r="B116" s="58" t="str">
        <x:v>PROG-021</x:v>
      </x:c>
      <x:c r="C116" s="58" t="str">
        <x:v>Initial</x:v>
      </x:c>
      <x:c r="D116" s="63" t="n">
        <x:v>46259.796481481484</x:v>
      </x:c>
      <x:c r="E116" s="58" t="str">
        <x:v>All</x:v>
      </x:c>
      <x:c r="F116" s="58" t="str">
        <x:v>Automated</x:v>
      </x:c>
      <x:c r="G116" s="58" t="str">
        <x:v>Fail</x:v>
      </x:c>
      <x:c r="H116" s="58" t="str">
        <x:v>Reproduced ERR-012; see Errors.</x:v>
      </x:c>
      <x:c r="I116" s="58" t="str">
        <x:v>ERR-012</x:v>
      </x:c>
      <x:c r="J116" s="58" t="str"/>
    </x:row>
    <x:row r="117" ht="52" customHeight="1">
      <x:c r="A117" s="58" t="str">
        <x:v>RUN-I-113</x:v>
      </x:c>
      <x:c r="B117" s="58" t="str">
        <x:v>SET-001</x:v>
      </x:c>
      <x:c r="C117" s="58" t="str">
        <x:v>Initial</x:v>
      </x:c>
      <x:c r="D117" s="63" t="n">
        <x:v>46259.796481481484</x:v>
      </x:c>
      <x:c r="E117" s="58" t="str">
        <x:v>All</x:v>
      </x:c>
      <x:c r="F117" s="58" t="str">
        <x:v>Automated + browser</x:v>
      </x:c>
      <x:c r="G117" s="58" t="str">
        <x:v>Pass</x:v>
      </x:c>
      <x:c r="H117" s="58" t="str">
        <x:v>Relevant automated coverage passed and the live desktop/mobile surface and safe interactions were verified.</x:v>
      </x:c>
      <x:c r="I117" s="58" t="str"/>
      <x:c r="J117" s="58" t="str"/>
    </x:row>
    <x:row r="118" ht="52" customHeight="1">
      <x:c r="A118" s="58" t="str">
        <x:v>RUN-I-114</x:v>
      </x:c>
      <x:c r="B118" s="58" t="str">
        <x:v>SET-002</x:v>
      </x:c>
      <x:c r="C118" s="58" t="str">
        <x:v>Initial</x:v>
      </x:c>
      <x:c r="D118" s="63" t="n">
        <x:v>46259.796481481484</x:v>
      </x:c>
      <x:c r="E118" s="58" t="str">
        <x:v>All</x:v>
      </x:c>
      <x:c r="F118" s="58" t="str">
        <x:v>Automated + browser</x:v>
      </x:c>
      <x:c r="G118" s="58" t="str">
        <x:v>Pass</x:v>
      </x:c>
      <x:c r="H118" s="58" t="str">
        <x:v>Relevant automated coverage passed and the live desktop/mobile surface and safe interactions were verified.</x:v>
      </x:c>
      <x:c r="I118" s="58" t="str"/>
      <x:c r="J118" s="58" t="str"/>
    </x:row>
    <x:row r="119" ht="52" customHeight="1">
      <x:c r="A119" s="58" t="str">
        <x:v>RUN-I-115</x:v>
      </x:c>
      <x:c r="B119" s="58" t="str">
        <x:v>SET-003</x:v>
      </x:c>
      <x:c r="C119" s="58" t="str">
        <x:v>Initial</x:v>
      </x:c>
      <x:c r="D119" s="63" t="n">
        <x:v>46259.796481481484</x:v>
      </x:c>
      <x:c r="E119" s="58" t="str">
        <x:v>All</x:v>
      </x:c>
      <x:c r="F119" s="58" t="str">
        <x:v>Automated + browser</x:v>
      </x:c>
      <x:c r="G119" s="58" t="str">
        <x:v>Pass</x:v>
      </x:c>
      <x:c r="H119" s="58" t="str">
        <x:v>Relevant automated coverage passed and the live desktop/mobile surface and safe interactions were verified.</x:v>
      </x:c>
      <x:c r="I119" s="58" t="str"/>
      <x:c r="J119" s="58" t="str"/>
    </x:row>
    <x:row r="120" ht="52" customHeight="1">
      <x:c r="A120" s="58" t="str">
        <x:v>RUN-I-116</x:v>
      </x:c>
      <x:c r="B120" s="58" t="str">
        <x:v>SET-004</x:v>
      </x:c>
      <x:c r="C120" s="58" t="str">
        <x:v>Initial</x:v>
      </x:c>
      <x:c r="D120" s="63" t="n">
        <x:v>46259.796481481484</x:v>
      </x:c>
      <x:c r="E120" s="58" t="str">
        <x:v>All</x:v>
      </x:c>
      <x:c r="F120" s="58" t="str">
        <x:v>Automated + browser</x:v>
      </x:c>
      <x:c r="G120" s="58" t="str">
        <x:v>Pass</x:v>
      </x:c>
      <x:c r="H120" s="58" t="str">
        <x:v>Relevant automated coverage passed and the live desktop/mobile surface and safe interactions were verified.</x:v>
      </x:c>
      <x:c r="I120" s="58" t="str"/>
      <x:c r="J120" s="58" t="str"/>
    </x:row>
    <x:row r="121" ht="52" customHeight="1">
      <x:c r="A121" s="58" t="str">
        <x:v>RUN-I-117</x:v>
      </x:c>
      <x:c r="B121" s="58" t="str">
        <x:v>SET-005</x:v>
      </x:c>
      <x:c r="C121" s="58" t="str">
        <x:v>Initial</x:v>
      </x:c>
      <x:c r="D121" s="63" t="n">
        <x:v>46259.796481481484</x:v>
      </x:c>
      <x:c r="E121" s="58" t="str">
        <x:v>Android</x:v>
      </x:c>
      <x:c r="F121" s="58" t="str">
        <x:v>Automated + native device</x:v>
      </x:c>
      <x:c r="G121" s="58" t="str">
        <x:v>Fail</x:v>
      </x:c>
      <x:c r="H121" s="58" t="str">
        <x:v>Android reminder scheduling reproduced ERR-021 and created no worker.</x:v>
      </x:c>
      <x:c r="I121" s="58" t="str">
        <x:v>ERR-021</x:v>
      </x:c>
      <x:c r="J121" s="58" t="str"/>
    </x:row>
    <x:row r="122" ht="52" customHeight="1">
      <x:c r="A122" s="58" t="str">
        <x:v>RUN-I-118</x:v>
      </x:c>
      <x:c r="B122" s="58" t="str">
        <x:v>SET-006</x:v>
      </x:c>
      <x:c r="C122" s="58" t="str">
        <x:v>Initial</x:v>
      </x:c>
      <x:c r="D122" s="63" t="n">
        <x:v>46259.796481481484</x:v>
      </x:c>
      <x:c r="E122" s="58" t="str">
        <x:v>Android</x:v>
      </x:c>
      <x:c r="F122" s="58" t="str">
        <x:v>Automated</x:v>
      </x:c>
      <x:c r="G122" s="58" t="str">
        <x:v>Pass</x:v>
      </x:c>
      <x:c r="H122" s="58" t="str">
        <x:v>Relevant automated coverage passed in the 213-test PHP and 39-test frontend baseline.</x:v>
      </x:c>
      <x:c r="I122" s="58" t="str"/>
      <x:c r="J122" s="58" t="str"/>
    </x:row>
    <x:row r="123" ht="52" customHeight="1">
      <x:c r="A123" s="58" t="str">
        <x:v>RUN-I-119</x:v>
      </x:c>
      <x:c r="B123" s="58" t="str">
        <x:v>SET-007</x:v>
      </x:c>
      <x:c r="C123" s="58" t="str">
        <x:v>Initial</x:v>
      </x:c>
      <x:c r="D123" s="63" t="n">
        <x:v>46259.796481481484</x:v>
      </x:c>
      <x:c r="E123" s="58" t="str">
        <x:v>Android</x:v>
      </x:c>
      <x:c r="F123" s="58" t="str">
        <x:v>Automated + native device</x:v>
      </x:c>
      <x:c r="G123" s="58" t="str">
        <x:v>Fail</x:v>
      </x:c>
      <x:c r="H123" s="58" t="str">
        <x:v>Native scheduling failure reproduced ERR-005 and ERR-021.</x:v>
      </x:c>
      <x:c r="I123" s="58" t="str">
        <x:v>ERR-005; ERR-021</x:v>
      </x:c>
      <x:c r="J123" s="58" t="str"/>
    </x:row>
    <x:row r="124" ht="52" customHeight="1">
      <x:c r="A124" s="58" t="str">
        <x:v>RUN-I-120</x:v>
      </x:c>
      <x:c r="B124" s="58" t="str">
        <x:v>SET-008</x:v>
      </x:c>
      <x:c r="C124" s="58" t="str">
        <x:v>Initial</x:v>
      </x:c>
      <x:c r="D124" s="63" t="n">
        <x:v>46259.796481481484</x:v>
      </x:c>
      <x:c r="E124" s="58" t="str">
        <x:v>All</x:v>
      </x:c>
      <x:c r="F124" s="58" t="str">
        <x:v>Automated + browser</x:v>
      </x:c>
      <x:c r="G124" s="58" t="str">
        <x:v>Pass</x:v>
      </x:c>
      <x:c r="H124" s="58" t="str">
        <x:v>Relevant automated coverage passed and the live desktop/mobile surface and safe interactions were verified.</x:v>
      </x:c>
      <x:c r="I124" s="58" t="str"/>
      <x:c r="J124" s="58" t="str"/>
    </x:row>
    <x:row r="125" ht="52" customHeight="1">
      <x:c r="A125" s="58" t="str">
        <x:v>RUN-I-121</x:v>
      </x:c>
      <x:c r="B125" s="58" t="str">
        <x:v>SET-009</x:v>
      </x:c>
      <x:c r="C125" s="58" t="str">
        <x:v>Initial</x:v>
      </x:c>
      <x:c r="D125" s="63" t="n">
        <x:v>46259.796481481484</x:v>
      </x:c>
      <x:c r="E125" s="58" t="str">
        <x:v>All</x:v>
      </x:c>
      <x:c r="F125" s="58" t="str">
        <x:v>Automated + browser</x:v>
      </x:c>
      <x:c r="G125" s="58" t="str">
        <x:v>Pass</x:v>
      </x:c>
      <x:c r="H125" s="58" t="str">
        <x:v>Relevant automated coverage passed and the live desktop/mobile surface and safe interactions were verified.</x:v>
      </x:c>
      <x:c r="I125" s="58" t="str"/>
      <x:c r="J125" s="58" t="str"/>
    </x:row>
    <x:row r="126" ht="52" customHeight="1">
      <x:c r="A126" s="58" t="str">
        <x:v>RUN-I-122</x:v>
      </x:c>
      <x:c r="B126" s="58" t="str">
        <x:v>SET-010</x:v>
      </x:c>
      <x:c r="C126" s="58" t="str">
        <x:v>Initial</x:v>
      </x:c>
      <x:c r="D126" s="63" t="n">
        <x:v>46259.796481481484</x:v>
      </x:c>
      <x:c r="E126" s="58" t="str">
        <x:v>All</x:v>
      </x:c>
      <x:c r="F126" s="58" t="str">
        <x:v>Automated + browser</x:v>
      </x:c>
      <x:c r="G126" s="58" t="str">
        <x:v>Pass</x:v>
      </x:c>
      <x:c r="H126" s="58" t="str">
        <x:v>Relevant automated coverage passed and the live desktop/mobile surface and safe interactions were verified.</x:v>
      </x:c>
      <x:c r="I126" s="58" t="str"/>
      <x:c r="J126" s="58" t="str"/>
    </x:row>
    <x:row r="127" ht="52" customHeight="1">
      <x:c r="A127" s="58" t="str">
        <x:v>RUN-I-123</x:v>
      </x:c>
      <x:c r="B127" s="58" t="str">
        <x:v>SET-011</x:v>
      </x:c>
      <x:c r="C127" s="58" t="str">
        <x:v>Initial</x:v>
      </x:c>
      <x:c r="D127" s="63" t="n">
        <x:v>46259.796481481484</x:v>
      </x:c>
      <x:c r="E127" s="58" t="str">
        <x:v>iOS + Android</x:v>
      </x:c>
      <x:c r="F127" s="58" t="str">
        <x:v>Automated + native device</x:v>
      </x:c>
      <x:c r="G127" s="58" t="str">
        <x:v>Fail</x:v>
      </x:c>
      <x:c r="H127" s="58" t="str">
        <x:v>Android Health Connect passed, while iOS reproduced ERR-030 because the simulator target lacked Apple Health entitlements.</x:v>
      </x:c>
      <x:c r="I127" s="58" t="str">
        <x:v>ERR-030</x:v>
      </x:c>
      <x:c r="J127" s="58" t="str"/>
    </x:row>
    <x:row r="128" ht="52" customHeight="1">
      <x:c r="A128" s="58" t="str">
        <x:v>RUN-I-124</x:v>
      </x:c>
      <x:c r="B128" s="58" t="str">
        <x:v>MCP-001</x:v>
      </x:c>
      <x:c r="C128" s="58" t="str">
        <x:v>Initial</x:v>
      </x:c>
      <x:c r="D128" s="63" t="n">
        <x:v>46259.796481481484</x:v>
      </x:c>
      <x:c r="E128" s="58" t="str">
        <x:v>All</x:v>
      </x:c>
      <x:c r="F128" s="58" t="str">
        <x:v>Automated + browser</x:v>
      </x:c>
      <x:c r="G128" s="58" t="str">
        <x:v>Pass</x:v>
      </x:c>
      <x:c r="H128" s="58" t="str">
        <x:v>Relevant automated coverage passed and the live desktop/mobile surface and safe interactions were verified.</x:v>
      </x:c>
      <x:c r="I128" s="58" t="str"/>
      <x:c r="J128" s="58" t="str"/>
    </x:row>
    <x:row r="129" ht="52" customHeight="1">
      <x:c r="A129" s="58" t="str">
        <x:v>RUN-I-125</x:v>
      </x:c>
      <x:c r="B129" s="58" t="str">
        <x:v>MCP-002</x:v>
      </x:c>
      <x:c r="C129" s="58" t="str">
        <x:v>Initial</x:v>
      </x:c>
      <x:c r="D129" s="63" t="n">
        <x:v>46259.796481481484</x:v>
      </x:c>
      <x:c r="E129" s="58" t="str">
        <x:v>All</x:v>
      </x:c>
      <x:c r="F129" s="58" t="str">
        <x:v>Automated + browser</x:v>
      </x:c>
      <x:c r="G129" s="58" t="str">
        <x:v>Pass</x:v>
      </x:c>
      <x:c r="H129" s="58" t="str">
        <x:v>Relevant automated coverage passed and the live desktop/mobile surface and safe interactions were verified.</x:v>
      </x:c>
      <x:c r="I129" s="58" t="str"/>
      <x:c r="J129" s="58" t="str"/>
    </x:row>
    <x:row r="130" ht="52" customHeight="1">
      <x:c r="A130" s="58" t="str">
        <x:v>RUN-I-126</x:v>
      </x:c>
      <x:c r="B130" s="58" t="str">
        <x:v>MCP-003</x:v>
      </x:c>
      <x:c r="C130" s="58" t="str">
        <x:v>Initial</x:v>
      </x:c>
      <x:c r="D130" s="63" t="n">
        <x:v>46259.796481481484</x:v>
      </x:c>
      <x:c r="E130" s="58" t="str">
        <x:v>All</x:v>
      </x:c>
      <x:c r="F130" s="58" t="str">
        <x:v>Automated + browser</x:v>
      </x:c>
      <x:c r="G130" s="58" t="str">
        <x:v>Pass</x:v>
      </x:c>
      <x:c r="H130" s="58" t="str">
        <x:v>Relevant automated coverage passed and the live desktop/mobile surface and safe interactions were verified.</x:v>
      </x:c>
      <x:c r="I130" s="58" t="str"/>
      <x:c r="J130" s="58" t="str"/>
    </x:row>
    <x:row r="131" ht="52" customHeight="1">
      <x:c r="A131" s="58" t="str">
        <x:v>RUN-I-127</x:v>
      </x:c>
      <x:c r="B131" s="58" t="str">
        <x:v>MCP-004</x:v>
      </x:c>
      <x:c r="C131" s="58" t="str">
        <x:v>Initial</x:v>
      </x:c>
      <x:c r="D131" s="63" t="n">
        <x:v>46259.796481481484</x:v>
      </x:c>
      <x:c r="E131" s="58" t="str">
        <x:v>All</x:v>
      </x:c>
      <x:c r="F131" s="58" t="str">
        <x:v>Automated + browser</x:v>
      </x:c>
      <x:c r="G131" s="58" t="str">
        <x:v>Pass</x:v>
      </x:c>
      <x:c r="H131" s="58" t="str">
        <x:v>Relevant automated coverage passed and the live desktop/mobile surface and safe interactions were verified.</x:v>
      </x:c>
      <x:c r="I131" s="58" t="str"/>
      <x:c r="J131" s="58" t="str"/>
    </x:row>
    <x:row r="132" ht="52" customHeight="1">
      <x:c r="A132" s="58" t="str">
        <x:v>RUN-I-128</x:v>
      </x:c>
      <x:c r="B132" s="58" t="str">
        <x:v>MCP-005</x:v>
      </x:c>
      <x:c r="C132" s="58" t="str">
        <x:v>Initial</x:v>
      </x:c>
      <x:c r="D132" s="63" t="n">
        <x:v>46259.796481481484</x:v>
      </x:c>
      <x:c r="E132" s="58" t="str">
        <x:v>All</x:v>
      </x:c>
      <x:c r="F132" s="58" t="str">
        <x:v>Automated + browser</x:v>
      </x:c>
      <x:c r="G132" s="58" t="str">
        <x:v>Pass</x:v>
      </x:c>
      <x:c r="H132" s="58" t="str">
        <x:v>Relevant automated coverage passed and the live desktop/mobile surface and safe interactions were verified.</x:v>
      </x:c>
      <x:c r="I132" s="58" t="str"/>
      <x:c r="J132" s="58" t="str"/>
    </x:row>
    <x:row r="133" ht="52" customHeight="1">
      <x:c r="A133" s="58" t="str">
        <x:v>RUN-I-129</x:v>
      </x:c>
      <x:c r="B133" s="58" t="str">
        <x:v>MCP-006</x:v>
      </x:c>
      <x:c r="C133" s="58" t="str">
        <x:v>Initial</x:v>
      </x:c>
      <x:c r="D133" s="63" t="n">
        <x:v>46259.796481481484</x:v>
      </x:c>
      <x:c r="E133" s="58" t="str">
        <x:v>All</x:v>
      </x:c>
      <x:c r="F133" s="58" t="str">
        <x:v>Automated + browser</x:v>
      </x:c>
      <x:c r="G133" s="58" t="str">
        <x:v>Pass</x:v>
      </x:c>
      <x:c r="H133" s="58" t="str">
        <x:v>Relevant automated coverage passed and the live desktop/mobile surface and safe interactions were verified.</x:v>
      </x:c>
      <x:c r="I133" s="58" t="str"/>
      <x:c r="J133" s="58" t="str"/>
    </x:row>
    <x:row r="134" ht="52" customHeight="1">
      <x:c r="A134" s="58" t="str">
        <x:v>RUN-I-130</x:v>
      </x:c>
      <x:c r="B134" s="58" t="str">
        <x:v>HEALTH-001</x:v>
      </x:c>
      <x:c r="C134" s="58" t="str">
        <x:v>Initial</x:v>
      </x:c>
      <x:c r="D134" s="63" t="n">
        <x:v>46259.796481481484</x:v>
      </x:c>
      <x:c r="E134" s="58" t="str">
        <x:v>iOS + Android</x:v>
      </x:c>
      <x:c r="F134" s="58" t="str">
        <x:v>Automated</x:v>
      </x:c>
      <x:c r="G134" s="58" t="str">
        <x:v>Pass</x:v>
      </x:c>
      <x:c r="H134" s="58" t="str">
        <x:v>Relevant automated coverage passed in the 213-test PHP and 39-test frontend baseline.</x:v>
      </x:c>
      <x:c r="I134" s="58" t="str"/>
      <x:c r="J134" s="58" t="str"/>
    </x:row>
    <x:row r="135" ht="52" customHeight="1">
      <x:c r="A135" s="58" t="str">
        <x:v>RUN-I-131</x:v>
      </x:c>
      <x:c r="B135" s="58" t="str">
        <x:v>HEALTH-002</x:v>
      </x:c>
      <x:c r="C135" s="58" t="str">
        <x:v>Initial</x:v>
      </x:c>
      <x:c r="D135" s="63" t="n">
        <x:v>46259.796481481484</x:v>
      </x:c>
      <x:c r="E135" s="58" t="str">
        <x:v>iOS + Android</x:v>
      </x:c>
      <x:c r="F135" s="58" t="str">
        <x:v>Automated + native device</x:v>
      </x:c>
      <x:c r="G135" s="58" t="str">
        <x:v>Fail</x:v>
      </x:c>
      <x:c r="H135" s="58" t="str">
        <x:v>Android permissions passed, while iOS Apple Health authorization reproduced ERR-030.</x:v>
      </x:c>
      <x:c r="I135" s="58" t="str">
        <x:v>ERR-030</x:v>
      </x:c>
      <x:c r="J135" s="58" t="str"/>
    </x:row>
    <x:row r="136" ht="52" customHeight="1">
      <x:c r="A136" s="58" t="str">
        <x:v>RUN-I-132</x:v>
      </x:c>
      <x:c r="B136" s="58" t="str">
        <x:v>HEALTH-003</x:v>
      </x:c>
      <x:c r="C136" s="58" t="str">
        <x:v>Initial</x:v>
      </x:c>
      <x:c r="D136" s="63" t="n">
        <x:v>46259.796481481484</x:v>
      </x:c>
      <x:c r="E136" s="58" t="str">
        <x:v>iOS + Android</x:v>
      </x:c>
      <x:c r="F136" s="58" t="str">
        <x:v>Automated + native device</x:v>
      </x:c>
      <x:c r="G136" s="58" t="str">
        <x:v>Pass</x:v>
      </x:c>
      <x:c r="H136" s="58" t="str">
        <x:v>The native import worker completed safely with zero emulator workout records.</x:v>
      </x:c>
      <x:c r="I136" s="58" t="str"/>
      <x:c r="J136" s="58" t="str"/>
    </x:row>
    <x:row r="137" ht="52" customHeight="1">
      <x:c r="A137" s="58" t="str">
        <x:v>RUN-I-133</x:v>
      </x:c>
      <x:c r="B137" s="58" t="str">
        <x:v>HEALTH-004</x:v>
      </x:c>
      <x:c r="C137" s="58" t="str">
        <x:v>Initial</x:v>
      </x:c>
      <x:c r="D137" s="63" t="n">
        <x:v>46259.796481481484</x:v>
      </x:c>
      <x:c r="E137" s="58" t="str">
        <x:v>iOS + Android</x:v>
      </x:c>
      <x:c r="F137" s="58" t="str">
        <x:v>Automated</x:v>
      </x:c>
      <x:c r="G137" s="58" t="str">
        <x:v>Pass</x:v>
      </x:c>
      <x:c r="H137" s="58" t="str">
        <x:v>Relevant automated coverage passed in the 213-test PHP and 39-test frontend baseline.</x:v>
      </x:c>
      <x:c r="I137" s="58" t="str"/>
      <x:c r="J137" s="58" t="str"/>
    </x:row>
    <x:row r="138" ht="52" customHeight="1">
      <x:c r="A138" s="58" t="str">
        <x:v>RUN-I-134</x:v>
      </x:c>
      <x:c r="B138" s="58" t="str">
        <x:v>HEALTH-005</x:v>
      </x:c>
      <x:c r="C138" s="58" t="str">
        <x:v>Initial</x:v>
      </x:c>
      <x:c r="D138" s="63" t="n">
        <x:v>46259.796481481484</x:v>
      </x:c>
      <x:c r="E138" s="58" t="str">
        <x:v>iOS + Android</x:v>
      </x:c>
      <x:c r="F138" s="58" t="str">
        <x:v>Automated</x:v>
      </x:c>
      <x:c r="G138" s="58" t="str">
        <x:v>Fail</x:v>
      </x:c>
      <x:c r="H138" s="58" t="str">
        <x:v>Reproduced ERR-009; see Errors.</x:v>
      </x:c>
      <x:c r="I138" s="58" t="str">
        <x:v>ERR-009</x:v>
      </x:c>
      <x:c r="J138" s="58" t="str"/>
    </x:row>
    <x:row r="139" ht="52" customHeight="1">
      <x:c r="A139" s="58" t="str">
        <x:v>RUN-I-135</x:v>
      </x:c>
      <x:c r="B139" s="58" t="str">
        <x:v>HEALTH-006</x:v>
      </x:c>
      <x:c r="C139" s="58" t="str">
        <x:v>Initial</x:v>
      </x:c>
      <x:c r="D139" s="63" t="n">
        <x:v>46259.796481481484</x:v>
      </x:c>
      <x:c r="E139" s="58" t="str">
        <x:v>iOS + Android</x:v>
      </x:c>
      <x:c r="F139" s="58" t="str">
        <x:v>Automated + native device</x:v>
      </x:c>
      <x:c r="G139" s="58" t="str">
        <x:v>Fail</x:v>
      </x:c>
      <x:c r="H139" s="58" t="str">
        <x:v>Android manual sync passed, while iOS Apple Health sync was blocked by ERR-030.</x:v>
      </x:c>
      <x:c r="I139" s="58" t="str">
        <x:v>ERR-030</x:v>
      </x:c>
      <x:c r="J139" s="58" t="str"/>
    </x:row>
    <x:row r="140" ht="52" customHeight="1">
      <x:c r="A140" s="58" t="str">
        <x:v>RUN-I-136</x:v>
      </x:c>
      <x:c r="B140" s="58" t="str">
        <x:v>HEALTH-007</x:v>
      </x:c>
      <x:c r="C140" s="58" t="str">
        <x:v>Initial</x:v>
      </x:c>
      <x:c r="D140" s="63" t="n">
        <x:v>46259.796481481484</x:v>
      </x:c>
      <x:c r="E140" s="58" t="str">
        <x:v>iOS + Android</x:v>
      </x:c>
      <x:c r="F140" s="58" t="str">
        <x:v>Automated + native device</x:v>
      </x:c>
      <x:c r="G140" s="58" t="str">
        <x:v>Pass</x:v>
      </x:c>
      <x:c r="H140" s="58" t="str">
        <x:v>Android JobScheduler recorded a successful HealthConnectSyncWorker run.</x:v>
      </x:c>
      <x:c r="I140" s="58" t="str"/>
      <x:c r="J140" s="58" t="str"/>
    </x:row>
    <x:row r="141" ht="52" customHeight="1">
      <x:c r="A141" s="58" t="str">
        <x:v>RUN-I-137</x:v>
      </x:c>
      <x:c r="B141" s="58" t="str">
        <x:v>SYNC-001</x:v>
      </x:c>
      <x:c r="C141" s="58" t="str">
        <x:v>Initial</x:v>
      </x:c>
      <x:c r="D141" s="63" t="n">
        <x:v>46259.796481481484</x:v>
      </x:c>
      <x:c r="E141" s="58" t="str">
        <x:v>All</x:v>
      </x:c>
      <x:c r="F141" s="58" t="str">
        <x:v>Automated</x:v>
      </x:c>
      <x:c r="G141" s="58" t="str">
        <x:v>Pass</x:v>
      </x:c>
      <x:c r="H141" s="58" t="str">
        <x:v>Relevant automated coverage passed in the 213-test PHP and 39-test frontend baseline.</x:v>
      </x:c>
      <x:c r="I141" s="58" t="str"/>
      <x:c r="J141" s="58" t="str"/>
    </x:row>
    <x:row r="142" ht="52" customHeight="1">
      <x:c r="A142" s="58" t="str">
        <x:v>RUN-I-138</x:v>
      </x:c>
      <x:c r="B142" s="58" t="str">
        <x:v>SYNC-002</x:v>
      </x:c>
      <x:c r="C142" s="58" t="str">
        <x:v>Initial</x:v>
      </x:c>
      <x:c r="D142" s="63" t="n">
        <x:v>46259.796481481484</x:v>
      </x:c>
      <x:c r="E142" s="58" t="str">
        <x:v>All</x:v>
      </x:c>
      <x:c r="F142" s="58" t="str">
        <x:v>Automated</x:v>
      </x:c>
      <x:c r="G142" s="58" t="str">
        <x:v>Pass</x:v>
      </x:c>
      <x:c r="H142" s="58" t="str">
        <x:v>Relevant automated coverage passed in the 213-test PHP and 39-test frontend baseline.</x:v>
      </x:c>
      <x:c r="I142" s="58" t="str"/>
      <x:c r="J142" s="58" t="str"/>
    </x:row>
    <x:row r="143" ht="52" customHeight="1">
      <x:c r="A143" s="58" t="str">
        <x:v>RUN-I-139</x:v>
      </x:c>
      <x:c r="B143" s="58" t="str">
        <x:v>SYNC-003</x:v>
      </x:c>
      <x:c r="C143" s="58" t="str">
        <x:v>Initial</x:v>
      </x:c>
      <x:c r="D143" s="63" t="n">
        <x:v>46259.796481481484</x:v>
      </x:c>
      <x:c r="E143" s="58" t="str">
        <x:v>All</x:v>
      </x:c>
      <x:c r="F143" s="58" t="str">
        <x:v>Automated</x:v>
      </x:c>
      <x:c r="G143" s="58" t="str">
        <x:v>Fail</x:v>
      </x:c>
      <x:c r="H143" s="58" t="str">
        <x:v>Reproduced ERR-010; see Errors.</x:v>
      </x:c>
      <x:c r="I143" s="58" t="str">
        <x:v>ERR-010</x:v>
      </x:c>
      <x:c r="J143" s="58" t="str"/>
    </x:row>
    <x:row r="144" ht="52" customHeight="1">
      <x:c r="A144" s="58" t="str">
        <x:v>RUN-I-140</x:v>
      </x:c>
      <x:c r="B144" s="58" t="str">
        <x:v>SYNC-004</x:v>
      </x:c>
      <x:c r="C144" s="58" t="str">
        <x:v>Initial</x:v>
      </x:c>
      <x:c r="D144" s="63" t="n">
        <x:v>46259.796481481484</x:v>
      </x:c>
      <x:c r="E144" s="58" t="str">
        <x:v>All</x:v>
      </x:c>
      <x:c r="F144" s="58" t="str">
        <x:v>Automated</x:v>
      </x:c>
      <x:c r="G144" s="58" t="str">
        <x:v>Pass</x:v>
      </x:c>
      <x:c r="H144" s="58" t="str">
        <x:v>Relevant automated coverage passed in the 213-test PHP and 39-test frontend baseline.</x:v>
      </x:c>
      <x:c r="I144" s="58" t="str"/>
      <x:c r="J144" s="58" t="str"/>
    </x:row>
    <x:row r="145" ht="52" customHeight="1">
      <x:c r="A145" s="58" t="str">
        <x:v>RUN-I-141</x:v>
      </x:c>
      <x:c r="B145" s="58" t="str">
        <x:v>SYNC-005</x:v>
      </x:c>
      <x:c r="C145" s="58" t="str">
        <x:v>Initial</x:v>
      </x:c>
      <x:c r="D145" s="63" t="n">
        <x:v>46259.796481481484</x:v>
      </x:c>
      <x:c r="E145" s="58" t="str">
        <x:v>All</x:v>
      </x:c>
      <x:c r="F145" s="58" t="str">
        <x:v>Automated</x:v>
      </x:c>
      <x:c r="G145" s="58" t="str">
        <x:v>Pass</x:v>
      </x:c>
      <x:c r="H145" s="58" t="str">
        <x:v>Relevant automated coverage passed in the 213-test PHP and 39-test frontend baseline.</x:v>
      </x:c>
      <x:c r="I145" s="58" t="str"/>
      <x:c r="J145" s="58" t="str"/>
    </x:row>
    <x:row r="146" ht="52" customHeight="1">
      <x:c r="A146" s="58" t="str">
        <x:v>RUN-I-142</x:v>
      </x:c>
      <x:c r="B146" s="58" t="str">
        <x:v>SYNC-006</x:v>
      </x:c>
      <x:c r="C146" s="58" t="str">
        <x:v>Initial</x:v>
      </x:c>
      <x:c r="D146" s="63" t="n">
        <x:v>46259.796481481484</x:v>
      </x:c>
      <x:c r="E146" s="58" t="str">
        <x:v>All</x:v>
      </x:c>
      <x:c r="F146" s="58" t="str">
        <x:v>Automated</x:v>
      </x:c>
      <x:c r="G146" s="58" t="str">
        <x:v>Pass</x:v>
      </x:c>
      <x:c r="H146" s="58" t="str">
        <x:v>Relevant automated coverage passed in the 213-test PHP and 39-test frontend baseline.</x:v>
      </x:c>
      <x:c r="I146" s="58" t="str"/>
      <x:c r="J146" s="58" t="str"/>
    </x:row>
    <x:row r="147" ht="52" customHeight="1">
      <x:c r="A147" s="58" t="str">
        <x:v>RUN-I-143</x:v>
      </x:c>
      <x:c r="B147" s="58" t="str">
        <x:v>SYNC-007</x:v>
      </x:c>
      <x:c r="C147" s="58" t="str">
        <x:v>Initial</x:v>
      </x:c>
      <x:c r="D147" s="63" t="n">
        <x:v>46259.796481481484</x:v>
      </x:c>
      <x:c r="E147" s="58" t="str">
        <x:v>iOS + Android</x:v>
      </x:c>
      <x:c r="F147" s="58" t="str">
        <x:v>Automated</x:v>
      </x:c>
      <x:c r="G147" s="58" t="str">
        <x:v>Pass</x:v>
      </x:c>
      <x:c r="H147" s="58" t="str">
        <x:v>Relevant automated coverage passed in the 213-test PHP and 39-test frontend baseline.</x:v>
      </x:c>
      <x:c r="I147" s="58" t="str"/>
      <x:c r="J147" s="58" t="str"/>
    </x:row>
    <x:row r="148" ht="52" customHeight="1">
      <x:c r="A148" s="58" t="str">
        <x:v>RUN-R-001</x:v>
      </x:c>
      <x:c r="B148" s="58" t="str">
        <x:v>APP-001</x:v>
      </x:c>
      <x:c r="C148" s="58" t="str">
        <x:v>Retest</x:v>
      </x:c>
      <x:c r="D148" s="63" t="n">
        <x:v>46259.89027777778</x:v>
      </x:c>
      <x:c r="E148" s="58" t="str">
        <x:v>All</x:v>
      </x:c>
      <x:c r="F148" s="58" t="str">
        <x:v>Automated + browser</x:v>
      </x:c>
      <x:c r="G148" s="58" t="str">
        <x:v>Pass</x:v>
      </x:c>
      <x:c r="H148" s="58" t="str">
        <x:v>Linked regressions passed: ERR-017, ERR-018, ERR-019, ERR-025, ERR-036. See Errors for fix-specific evidence.</x:v>
      </x:c>
      <x:c r="I148" s="58" t="str">
        <x:v>ERR-017; ERR-018; ERR-019; ERR-025; ERR-036</x:v>
      </x:c>
      <x:c r="J148" s="58" t="str"/>
    </x:row>
    <x:row r="149" ht="52" customHeight="1">
      <x:c r="A149" s="58" t="str">
        <x:v>RUN-R-002</x:v>
      </x:c>
      <x:c r="B149" s="58" t="str">
        <x:v>APP-002</x:v>
      </x:c>
      <x:c r="C149" s="58" t="str">
        <x:v>Retest</x:v>
      </x:c>
      <x:c r="D149" s="63" t="n">
        <x:v>46259.89027777778</x:v>
      </x:c>
      <x:c r="E149" s="58" t="str">
        <x:v>All</x:v>
      </x:c>
      <x:c r="F149" s="58" t="str">
        <x:v>Browser</x:v>
      </x:c>
      <x:c r="G149" s="58" t="str">
        <x:v>Pass</x:v>
      </x:c>
      <x:c r="H149" s="58" t="str">
        <x:v>Final regression passed: Buff PHP 230/230 (1,832 assertions), server PHP 149/149, frontend 44/44, type-check clean, and production build clean as applicable.</x:v>
      </x:c>
      <x:c r="I149" s="58" t="str"/>
      <x:c r="J149" s="58" t="str"/>
    </x:row>
    <x:row r="150" ht="52" customHeight="1">
      <x:c r="A150" s="58" t="str">
        <x:v>RUN-R-003</x:v>
      </x:c>
      <x:c r="B150" s="58" t="str">
        <x:v>APP-003</x:v>
      </x:c>
      <x:c r="C150" s="58" t="str">
        <x:v>Retest</x:v>
      </x:c>
      <x:c r="D150" s="63" t="n">
        <x:v>46259.89027777778</x:v>
      </x:c>
      <x:c r="E150" s="58" t="str">
        <x:v>All</x:v>
      </x:c>
      <x:c r="F150" s="58" t="str">
        <x:v>Automated + browser</x:v>
      </x:c>
      <x:c r="G150" s="58" t="str">
        <x:v>Pass</x:v>
      </x:c>
      <x:c r="H150" s="58" t="str">
        <x:v>Linked regressions passed: ERR-020, ERR-029. See Errors for fix-specific evidence.</x:v>
      </x:c>
      <x:c r="I150" s="58" t="str">
        <x:v>ERR-020; ERR-029</x:v>
      </x:c>
      <x:c r="J150" s="58" t="str"/>
    </x:row>
    <x:row r="151" ht="52" customHeight="1">
      <x:c r="A151" s="58" t="str">
        <x:v>RUN-R-004</x:v>
      </x:c>
      <x:c r="B151" s="58" t="str">
        <x:v>APP-004</x:v>
      </x:c>
      <x:c r="C151" s="58" t="str">
        <x:v>Retest</x:v>
      </x:c>
      <x:c r="D151" s="63" t="n">
        <x:v>46259.89027777778</x:v>
      </x:c>
      <x:c r="E151" s="58" t="str">
        <x:v>Android</x:v>
      </x:c>
      <x:c r="F151" s="58" t="str">
        <x:v>Automated + native device</x:v>
      </x:c>
      <x:c r="G151" s="58" t="str">
        <x:v>Pass</x:v>
      </x:c>
      <x:c r="H151" s="58" t="str">
        <x:v>Post-rebuild Android Back closed the Add drawer and progress camera and returned Meal reminders to Settings.</x:v>
      </x:c>
      <x:c r="I151" s="58" t="str">
        <x:v>ERR-022</x:v>
      </x:c>
      <x:c r="J151" s="58" t="str"/>
    </x:row>
    <x:row r="152" ht="52" customHeight="1">
      <x:c r="A152" s="58" t="str">
        <x:v>RUN-R-005</x:v>
      </x:c>
      <x:c r="B152" s="58" t="str">
        <x:v>APP-005</x:v>
      </x:c>
      <x:c r="C152" s="58" t="str">
        <x:v>Retest</x:v>
      </x:c>
      <x:c r="D152" s="63" t="n">
        <x:v>46259.89027777778</x:v>
      </x:c>
      <x:c r="E152" s="58" t="str">
        <x:v>All</x:v>
      </x:c>
      <x:c r="F152" s="58" t="str">
        <x:v>Automated + browser</x:v>
      </x:c>
      <x:c r="G152" s="58" t="str">
        <x:v>Pass</x:v>
      </x:c>
      <x:c r="H152" s="58" t="str">
        <x:v>Automated coverage passed; live desktop/mobile navigation and safe interaction sweep passed with zero fresh browser warnings/errors.</x:v>
      </x:c>
      <x:c r="I152" s="58" t="str"/>
      <x:c r="J152" s="58" t="str"/>
    </x:row>
    <x:row r="153" ht="52" customHeight="1">
      <x:c r="A153" s="58" t="str">
        <x:v>RUN-R-006</x:v>
      </x:c>
      <x:c r="B153" s="58" t="str">
        <x:v>APP-006</x:v>
      </x:c>
      <x:c r="C153" s="58" t="str">
        <x:v>Retest</x:v>
      </x:c>
      <x:c r="D153" s="63" t="n">
        <x:v>46259.89027777778</x:v>
      </x:c>
      <x:c r="E153" s="58" t="str">
        <x:v>All</x:v>
      </x:c>
      <x:c r="F153" s="58" t="str">
        <x:v>Automated + browser</x:v>
      </x:c>
      <x:c r="G153" s="58" t="str">
        <x:v>Pass</x:v>
      </x:c>
      <x:c r="H153" s="58" t="str">
        <x:v>Automated coverage passed; live desktop/mobile navigation and safe interaction sweep passed with zero fresh browser warnings/errors.</x:v>
      </x:c>
      <x:c r="I153" s="58" t="str"/>
      <x:c r="J153" s="58" t="str"/>
    </x:row>
    <x:row r="154" ht="52" customHeight="1">
      <x:c r="A154" s="58" t="str">
        <x:v>RUN-R-007</x:v>
      </x:c>
      <x:c r="B154" s="58" t="str">
        <x:v>APP-007</x:v>
      </x:c>
      <x:c r="C154" s="58" t="str">
        <x:v>Retest</x:v>
      </x:c>
      <x:c r="D154" s="63" t="n">
        <x:v>46259.89027777778</x:v>
      </x:c>
      <x:c r="E154" s="58" t="str">
        <x:v>All</x:v>
      </x:c>
      <x:c r="F154" s="58" t="str">
        <x:v>Browser</x:v>
      </x:c>
      <x:c r="G154" s="58" t="str">
        <x:v>Pass</x:v>
      </x:c>
      <x:c r="H154" s="58" t="str">
        <x:v>Final regression passed: Buff PHP 230/230 (1,832 assertions), server PHP 149/149, frontend 44/44, type-check clean, and production build clean as applicable.</x:v>
      </x:c>
      <x:c r="I154" s="58" t="str"/>
      <x:c r="J154" s="58" t="str"/>
    </x:row>
    <x:row r="155" ht="52" customHeight="1">
      <x:c r="A155" s="58" t="str">
        <x:v>RUN-R-008</x:v>
      </x:c>
      <x:c r="B155" s="58" t="str">
        <x:v>APP-008</x:v>
      </x:c>
      <x:c r="C155" s="58" t="str">
        <x:v>Retest</x:v>
      </x:c>
      <x:c r="D155" s="63" t="n">
        <x:v>46259.89027777778</x:v>
      </x:c>
      <x:c r="E155" s="58" t="str">
        <x:v>All</x:v>
      </x:c>
      <x:c r="F155" s="58" t="str">
        <x:v>Automated</x:v>
      </x:c>
      <x:c r="G155" s="58" t="str">
        <x:v>Pass</x:v>
      </x:c>
      <x:c r="H155" s="58" t="str">
        <x:v>Final regression passed: Buff PHP 230/230 (1,832 assertions), server PHP 149/149, frontend 44/44, type-check clean, and production build clean as applicable.</x:v>
      </x:c>
      <x:c r="I155" s="58" t="str"/>
      <x:c r="J155" s="58" t="str"/>
    </x:row>
    <x:row r="156" ht="52" customHeight="1">
      <x:c r="A156" s="58" t="str">
        <x:v>RUN-R-009</x:v>
      </x:c>
      <x:c r="B156" s="58" t="str">
        <x:v>APP-009</x:v>
      </x:c>
      <x:c r="C156" s="58" t="str">
        <x:v>Retest</x:v>
      </x:c>
      <x:c r="D156" s="63" t="n">
        <x:v>46259.89027777778</x:v>
      </x:c>
      <x:c r="E156" s="58" t="str">
        <x:v>iOS + Android</x:v>
      </x:c>
      <x:c r="F156" s="58" t="str">
        <x:v>Automated + native device</x:v>
      </x:c>
      <x:c r="G156" s="58" t="str">
        <x:v>Pass</x:v>
      </x:c>
      <x:c r="H156" s="58" t="str">
        <x:v>Android stayed portrait; iOS runtime geometry remained 402×874 portrait with the portrait-only supported mask after frame rotation.</x:v>
      </x:c>
      <x:c r="I156" s="58" t="str">
        <x:v>ERR-026</x:v>
      </x:c>
      <x:c r="J156" s="58" t="str"/>
    </x:row>
    <x:row r="157" ht="52" customHeight="1">
      <x:c r="A157" s="58" t="str">
        <x:v>RUN-R-010</x:v>
      </x:c>
      <x:c r="B157" s="58" t="str">
        <x:v>APP-010</x:v>
      </x:c>
      <x:c r="C157" s="58" t="str">
        <x:v>Retest</x:v>
      </x:c>
      <x:c r="D157" s="63" t="n">
        <x:v>46259.89027777778</x:v>
      </x:c>
      <x:c r="E157" s="58" t="str">
        <x:v>iOS + Android</x:v>
      </x:c>
      <x:c r="F157" s="58" t="str">
        <x:v>Static + native device</x:v>
      </x:c>
      <x:c r="G157" s="58" t="str">
        <x:v>Pass</x:v>
      </x:c>
      <x:c r="H157" s="58" t="str">
        <x:v>Native pull-to-refresh completed on both Android and the rebuilt iOS WKWebView.</x:v>
      </x:c>
      <x:c r="I157" s="58" t="str">
        <x:v>ERR-027</x:v>
      </x:c>
      <x:c r="J157" s="58" t="str"/>
    </x:row>
    <x:row r="158" ht="52" customHeight="1">
      <x:c r="A158" s="58" t="str">
        <x:v>RUN-R-011</x:v>
      </x:c>
      <x:c r="B158" s="58" t="str">
        <x:v>AUTH-001</x:v>
      </x:c>
      <x:c r="C158" s="58" t="str">
        <x:v>Retest</x:v>
      </x:c>
      <x:c r="D158" s="63" t="n">
        <x:v>46259.89027777778</x:v>
      </x:c>
      <x:c r="E158" s="58" t="str">
        <x:v>All</x:v>
      </x:c>
      <x:c r="F158" s="58" t="str">
        <x:v>Automated + browser</x:v>
      </x:c>
      <x:c r="G158" s="58" t="str">
        <x:v>Pass</x:v>
      </x:c>
      <x:c r="H158" s="58" t="str">
        <x:v>Linked regressions passed: ERR-015. See Errors for fix-specific evidence.</x:v>
      </x:c>
      <x:c r="I158" s="58" t="str">
        <x:v>ERR-015</x:v>
      </x:c>
      <x:c r="J158" s="58" t="str"/>
    </x:row>
    <x:row r="159" ht="52" customHeight="1">
      <x:c r="A159" s="58" t="str">
        <x:v>RUN-R-012</x:v>
      </x:c>
      <x:c r="B159" s="58" t="str">
        <x:v>AUTH-002</x:v>
      </x:c>
      <x:c r="C159" s="58" t="str">
        <x:v>Retest</x:v>
      </x:c>
      <x:c r="D159" s="63" t="n">
        <x:v>46259.89027777778</x:v>
      </x:c>
      <x:c r="E159" s="58" t="str">
        <x:v>All</x:v>
      </x:c>
      <x:c r="F159" s="58" t="str">
        <x:v>Automated</x:v>
      </x:c>
      <x:c r="G159" s="58" t="str">
        <x:v>Pass</x:v>
      </x:c>
      <x:c r="H159" s="58" t="str">
        <x:v>Final regression passed: Buff PHP 230/230 (1,832 assertions), server PHP 149/149, frontend 44/44, type-check clean, and production build clean as applicable.</x:v>
      </x:c>
      <x:c r="I159" s="58" t="str"/>
      <x:c r="J159" s="58" t="str"/>
    </x:row>
    <x:row r="160" ht="52" customHeight="1">
      <x:c r="A160" s="58" t="str">
        <x:v>RUN-R-013</x:v>
      </x:c>
      <x:c r="B160" s="58" t="str">
        <x:v>AUTH-003</x:v>
      </x:c>
      <x:c r="C160" s="58" t="str">
        <x:v>Retest</x:v>
      </x:c>
      <x:c r="D160" s="63" t="n">
        <x:v>46259.89027777778</x:v>
      </x:c>
      <x:c r="E160" s="58" t="str">
        <x:v>All</x:v>
      </x:c>
      <x:c r="F160" s="58" t="str">
        <x:v>Automated + browser</x:v>
      </x:c>
      <x:c r="G160" s="58" t="str">
        <x:v>Pass</x:v>
      </x:c>
      <x:c r="H160" s="58" t="str">
        <x:v>Automated coverage passed; live desktop/mobile navigation and safe interaction sweep passed with zero fresh browser warnings/errors.</x:v>
      </x:c>
      <x:c r="I160" s="58" t="str"/>
      <x:c r="J160" s="58" t="str"/>
    </x:row>
    <x:row r="161" ht="52" customHeight="1">
      <x:c r="A161" s="58" t="str">
        <x:v>RUN-R-014</x:v>
      </x:c>
      <x:c r="B161" s="58" t="str">
        <x:v>AUTH-004</x:v>
      </x:c>
      <x:c r="C161" s="58" t="str">
        <x:v>Retest</x:v>
      </x:c>
      <x:c r="D161" s="63" t="n">
        <x:v>46259.89027777778</x:v>
      </x:c>
      <x:c r="E161" s="58" t="str">
        <x:v>All</x:v>
      </x:c>
      <x:c r="F161" s="58" t="str">
        <x:v>Automated + browser</x:v>
      </x:c>
      <x:c r="G161" s="58" t="str">
        <x:v>Pass</x:v>
      </x:c>
      <x:c r="H161" s="58" t="str">
        <x:v>Automated coverage passed; live desktop/mobile navigation and safe interaction sweep passed with zero fresh browser warnings/errors.</x:v>
      </x:c>
      <x:c r="I161" s="58" t="str"/>
      <x:c r="J161" s="58" t="str"/>
    </x:row>
    <x:row r="162" ht="52" customHeight="1">
      <x:c r="A162" s="58" t="str">
        <x:v>RUN-R-015</x:v>
      </x:c>
      <x:c r="B162" s="58" t="str">
        <x:v>AUTH-005</x:v>
      </x:c>
      <x:c r="C162" s="58" t="str">
        <x:v>Retest</x:v>
      </x:c>
      <x:c r="D162" s="63" t="n">
        <x:v>46259.89027777778</x:v>
      </x:c>
      <x:c r="E162" s="58" t="str">
        <x:v>All</x:v>
      </x:c>
      <x:c r="F162" s="58" t="str">
        <x:v>Automated + browser</x:v>
      </x:c>
      <x:c r="G162" s="58" t="str">
        <x:v>Pass</x:v>
      </x:c>
      <x:c r="H162" s="58" t="str">
        <x:v>Automated coverage passed; live desktop/mobile navigation and safe interaction sweep passed with zero fresh browser warnings/errors.</x:v>
      </x:c>
      <x:c r="I162" s="58" t="str"/>
      <x:c r="J162" s="58" t="str"/>
    </x:row>
    <x:row r="163" ht="52" customHeight="1">
      <x:c r="A163" s="58" t="str">
        <x:v>RUN-R-016</x:v>
      </x:c>
      <x:c r="B163" s="58" t="str">
        <x:v>AUTH-006</x:v>
      </x:c>
      <x:c r="C163" s="58" t="str">
        <x:v>Retest</x:v>
      </x:c>
      <x:c r="D163" s="63" t="n">
        <x:v>46259.89027777778</x:v>
      </x:c>
      <x:c r="E163" s="58" t="str">
        <x:v>All</x:v>
      </x:c>
      <x:c r="F163" s="58" t="str">
        <x:v>Browser</x:v>
      </x:c>
      <x:c r="G163" s="58" t="str">
        <x:v>Pass</x:v>
      </x:c>
      <x:c r="H163" s="58" t="str">
        <x:v>Final regression passed: Buff PHP 230/230 (1,832 assertions), server PHP 149/149, frontend 44/44, type-check clean, and production build clean as applicable.</x:v>
      </x:c>
      <x:c r="I163" s="58" t="str"/>
      <x:c r="J163" s="58" t="str"/>
    </x:row>
    <x:row r="164" ht="52" customHeight="1">
      <x:c r="A164" s="58" t="str">
        <x:v>RUN-R-017</x:v>
      </x:c>
      <x:c r="B164" s="58" t="str">
        <x:v>AUTH-007</x:v>
      </x:c>
      <x:c r="C164" s="58" t="str">
        <x:v>Retest</x:v>
      </x:c>
      <x:c r="D164" s="63" t="n">
        <x:v>46259.89027777778</x:v>
      </x:c>
      <x:c r="E164" s="58" t="str">
        <x:v>All</x:v>
      </x:c>
      <x:c r="F164" s="58" t="str">
        <x:v>Automated + browser</x:v>
      </x:c>
      <x:c r="G164" s="58" t="str">
        <x:v>Pass</x:v>
      </x:c>
      <x:c r="H164" s="58" t="str">
        <x:v>Automated coverage passed; live desktop/mobile navigation and safe interaction sweep passed with zero fresh browser warnings/errors.</x:v>
      </x:c>
      <x:c r="I164" s="58" t="str"/>
      <x:c r="J164" s="58" t="str"/>
    </x:row>
    <x:row r="165" ht="52" customHeight="1">
      <x:c r="A165" s="58" t="str">
        <x:v>RUN-R-018</x:v>
      </x:c>
      <x:c r="B165" s="58" t="str">
        <x:v>AUTH-008</x:v>
      </x:c>
      <x:c r="C165" s="58" t="str">
        <x:v>Retest</x:v>
      </x:c>
      <x:c r="D165" s="63" t="n">
        <x:v>46259.89027777778</x:v>
      </x:c>
      <x:c r="E165" s="58" t="str">
        <x:v>iOS</x:v>
      </x:c>
      <x:c r="F165" s="58" t="str">
        <x:v>Automated + native device</x:v>
      </x:c>
      <x:c r="G165" s="58" t="str">
        <x:v>Pass</x:v>
      </x:c>
      <x:c r="H165" s="58" t="str">
        <x:v>The Apple option appeared only on iOS and the callback path retained automated coverage.</x:v>
      </x:c>
      <x:c r="I165" s="58" t="str"/>
      <x:c r="J165" s="58" t="str"/>
    </x:row>
    <x:row r="166" ht="52" customHeight="1">
      <x:c r="A166" s="58" t="str">
        <x:v>RUN-R-019</x:v>
      </x:c>
      <x:c r="B166" s="58" t="str">
        <x:v>AUTH-009</x:v>
      </x:c>
      <x:c r="C166" s="58" t="str">
        <x:v>Retest</x:v>
      </x:c>
      <x:c r="D166" s="63" t="n">
        <x:v>46259.89027777778</x:v>
      </x:c>
      <x:c r="E166" s="58" t="str">
        <x:v>All</x:v>
      </x:c>
      <x:c r="F166" s="58" t="str">
        <x:v>Automated</x:v>
      </x:c>
      <x:c r="G166" s="58" t="str">
        <x:v>Pass</x:v>
      </x:c>
      <x:c r="H166" s="58" t="str">
        <x:v>Linked regressions passed: ERR-001. See Errors for fix-specific evidence.</x:v>
      </x:c>
      <x:c r="I166" s="58" t="str">
        <x:v>ERR-001</x:v>
      </x:c>
      <x:c r="J166" s="58" t="str"/>
    </x:row>
    <x:row r="167" ht="52" customHeight="1">
      <x:c r="A167" s="58" t="str">
        <x:v>RUN-R-020</x:v>
      </x:c>
      <x:c r="B167" s="58" t="str">
        <x:v>AUTH-010</x:v>
      </x:c>
      <x:c r="C167" s="58" t="str">
        <x:v>Retest</x:v>
      </x:c>
      <x:c r="D167" s="63" t="n">
        <x:v>46259.89027777778</x:v>
      </x:c>
      <x:c r="E167" s="58" t="str">
        <x:v>All</x:v>
      </x:c>
      <x:c r="F167" s="58" t="str">
        <x:v>Automated + browser</x:v>
      </x:c>
      <x:c r="G167" s="58" t="str">
        <x:v>Pass</x:v>
      </x:c>
      <x:c r="H167" s="58" t="str">
        <x:v>Automated coverage passed; live desktop/mobile navigation and safe interaction sweep passed with zero fresh browser warnings/errors.</x:v>
      </x:c>
      <x:c r="I167" s="58" t="str"/>
      <x:c r="J167" s="58" t="str"/>
    </x:row>
    <x:row r="168" ht="52" customHeight="1">
      <x:c r="A168" s="58" t="str">
        <x:v>RUN-R-021</x:v>
      </x:c>
      <x:c r="B168" s="58" t="str">
        <x:v>AUTH-011</x:v>
      </x:c>
      <x:c r="C168" s="58" t="str">
        <x:v>Retest</x:v>
      </x:c>
      <x:c r="D168" s="63" t="n">
        <x:v>46259.89027777778</x:v>
      </x:c>
      <x:c r="E168" s="58" t="str">
        <x:v>All</x:v>
      </x:c>
      <x:c r="F168" s="58" t="str">
        <x:v>Automated + browser</x:v>
      </x:c>
      <x:c r="G168" s="58" t="str">
        <x:v>Pass</x:v>
      </x:c>
      <x:c r="H168" s="58" t="str">
        <x:v>Automated coverage passed; live desktop/mobile navigation and safe interaction sweep passed with zero fresh browser warnings/errors.</x:v>
      </x:c>
      <x:c r="I168" s="58" t="str"/>
      <x:c r="J168" s="58" t="str"/>
    </x:row>
    <x:row r="169" ht="52" customHeight="1">
      <x:c r="A169" s="58" t="str">
        <x:v>RUN-R-022</x:v>
      </x:c>
      <x:c r="B169" s="58" t="str">
        <x:v>AUTH-012</x:v>
      </x:c>
      <x:c r="C169" s="58" t="str">
        <x:v>Retest</x:v>
      </x:c>
      <x:c r="D169" s="63" t="n">
        <x:v>46259.89027777778</x:v>
      </x:c>
      <x:c r="E169" s="58" t="str">
        <x:v>All</x:v>
      </x:c>
      <x:c r="F169" s="58" t="str">
        <x:v>Automated + browser</x:v>
      </x:c>
      <x:c r="G169" s="58" t="str">
        <x:v>Pass</x:v>
      </x:c>
      <x:c r="H169" s="58" t="str">
        <x:v>Automated coverage passed; live desktop/mobile navigation and safe interaction sweep passed with zero fresh browser warnings/errors.</x:v>
      </x:c>
      <x:c r="I169" s="58" t="str"/>
      <x:c r="J169" s="58" t="str"/>
    </x:row>
    <x:row r="170" ht="52" customHeight="1">
      <x:c r="A170" s="58" t="str">
        <x:v>RUN-R-023</x:v>
      </x:c>
      <x:c r="B170" s="58" t="str">
        <x:v>AUTH-013</x:v>
      </x:c>
      <x:c r="C170" s="58" t="str">
        <x:v>Retest</x:v>
      </x:c>
      <x:c r="D170" s="63" t="n">
        <x:v>46259.89027777778</x:v>
      </x:c>
      <x:c r="E170" s="58" t="str">
        <x:v>All</x:v>
      </x:c>
      <x:c r="F170" s="58" t="str">
        <x:v>Automated + browser</x:v>
      </x:c>
      <x:c r="G170" s="58" t="str">
        <x:v>Pass</x:v>
      </x:c>
      <x:c r="H170" s="58" t="str">
        <x:v>Automated coverage passed; live desktop/mobile navigation and safe interaction sweep passed with zero fresh browser warnings/errors.</x:v>
      </x:c>
      <x:c r="I170" s="58" t="str"/>
      <x:c r="J170" s="58" t="str"/>
    </x:row>
    <x:row r="171" ht="52" customHeight="1">
      <x:c r="A171" s="58" t="str">
        <x:v>RUN-R-024</x:v>
      </x:c>
      <x:c r="B171" s="58" t="str">
        <x:v>AUTH-014</x:v>
      </x:c>
      <x:c r="C171" s="58" t="str">
        <x:v>Retest</x:v>
      </x:c>
      <x:c r="D171" s="63" t="n">
        <x:v>46259.89027777778</x:v>
      </x:c>
      <x:c r="E171" s="58" t="str">
        <x:v>All</x:v>
      </x:c>
      <x:c r="F171" s="58" t="str">
        <x:v>Automated + browser</x:v>
      </x:c>
      <x:c r="G171" s="58" t="str">
        <x:v>Pass</x:v>
      </x:c>
      <x:c r="H171" s="58" t="str">
        <x:v>Linked regressions passed: ERR-031. See Errors for fix-specific evidence.</x:v>
      </x:c>
      <x:c r="I171" s="58" t="str">
        <x:v>ERR-031</x:v>
      </x:c>
      <x:c r="J171" s="58" t="str"/>
    </x:row>
    <x:row r="172" ht="52" customHeight="1">
      <x:c r="A172" s="58" t="str">
        <x:v>RUN-R-025</x:v>
      </x:c>
      <x:c r="B172" s="58" t="str">
        <x:v>AUTH-015</x:v>
      </x:c>
      <x:c r="C172" s="58" t="str">
        <x:v>Retest</x:v>
      </x:c>
      <x:c r="D172" s="63" t="n">
        <x:v>46259.89027777778</x:v>
      </x:c>
      <x:c r="E172" s="58" t="str">
        <x:v>All</x:v>
      </x:c>
      <x:c r="F172" s="58" t="str">
        <x:v>Automated + browser</x:v>
      </x:c>
      <x:c r="G172" s="58" t="str">
        <x:v>Pass</x:v>
      </x:c>
      <x:c r="H172" s="58" t="str">
        <x:v>Automated coverage passed; live desktop/mobile navigation and safe interaction sweep passed with zero fresh browser warnings/errors.</x:v>
      </x:c>
      <x:c r="I172" s="58" t="str"/>
      <x:c r="J172" s="58" t="str"/>
    </x:row>
    <x:row r="173" ht="52" customHeight="1">
      <x:c r="A173" s="58" t="str">
        <x:v>RUN-R-026</x:v>
      </x:c>
      <x:c r="B173" s="58" t="str">
        <x:v>AUTH-016</x:v>
      </x:c>
      <x:c r="C173" s="58" t="str">
        <x:v>Retest</x:v>
      </x:c>
      <x:c r="D173" s="63" t="n">
        <x:v>46259.89027777778</x:v>
      </x:c>
      <x:c r="E173" s="58" t="str">
        <x:v>All</x:v>
      </x:c>
      <x:c r="F173" s="58" t="str">
        <x:v>Automated + browser</x:v>
      </x:c>
      <x:c r="G173" s="58" t="str">
        <x:v>Pass</x:v>
      </x:c>
      <x:c r="H173" s="58" t="str">
        <x:v>Automated coverage passed; live desktop/mobile navigation and safe interaction sweep passed with zero fresh browser warnings/errors.</x:v>
      </x:c>
      <x:c r="I173" s="58" t="str"/>
      <x:c r="J173" s="58" t="str"/>
    </x:row>
    <x:row r="174" ht="52" customHeight="1">
      <x:c r="A174" s="58" t="str">
        <x:v>RUN-R-027</x:v>
      </x:c>
      <x:c r="B174" s="58" t="str">
        <x:v>AUTH-017</x:v>
      </x:c>
      <x:c r="C174" s="58" t="str">
        <x:v>Retest</x:v>
      </x:c>
      <x:c r="D174" s="63" t="n">
        <x:v>46259.89027777778</x:v>
      </x:c>
      <x:c r="E174" s="58" t="str">
        <x:v>All</x:v>
      </x:c>
      <x:c r="F174" s="58" t="str">
        <x:v>Automated + browser</x:v>
      </x:c>
      <x:c r="G174" s="58" t="str">
        <x:v>Pass</x:v>
      </x:c>
      <x:c r="H174" s="58" t="str">
        <x:v>Automated coverage passed; live desktop/mobile navigation and safe interaction sweep passed with zero fresh browser warnings/errors.</x:v>
      </x:c>
      <x:c r="I174" s="58" t="str"/>
      <x:c r="J174" s="58" t="str"/>
    </x:row>
    <x:row r="175" ht="52" customHeight="1">
      <x:c r="A175" s="58" t="str">
        <x:v>RUN-R-028</x:v>
      </x:c>
      <x:c r="B175" s="58" t="str">
        <x:v>AUTH-018</x:v>
      </x:c>
      <x:c r="C175" s="58" t="str">
        <x:v>Retest</x:v>
      </x:c>
      <x:c r="D175" s="63" t="n">
        <x:v>46259.89027777778</x:v>
      </x:c>
      <x:c r="E175" s="58" t="str">
        <x:v>All</x:v>
      </x:c>
      <x:c r="F175" s="58" t="str">
        <x:v>Automated + browser + native device</x:v>
      </x:c>
      <x:c r="G175" s="58" t="str">
        <x:v>Pass</x:v>
      </x:c>
      <x:c r="H175" s="58" t="str">
        <x:v>Android completed remote/local deletion; iOS validated the same method-spoofed confirmation flow and the final synthetic account was removed.</x:v>
      </x:c>
      <x:c r="I175" s="58" t="str">
        <x:v>ERR-024</x:v>
      </x:c>
      <x:c r="J175" s="58" t="str"/>
    </x:row>
    <x:row r="176" ht="52" customHeight="1">
      <x:c r="A176" s="58" t="str">
        <x:v>RUN-R-029</x:v>
      </x:c>
      <x:c r="B176" s="58" t="str">
        <x:v>AUTH-019</x:v>
      </x:c>
      <x:c r="C176" s="58" t="str">
        <x:v>Retest</x:v>
      </x:c>
      <x:c r="D176" s="63" t="n">
        <x:v>46259.89027777778</x:v>
      </x:c>
      <x:c r="E176" s="58" t="str">
        <x:v>All</x:v>
      </x:c>
      <x:c r="F176" s="58" t="str">
        <x:v>Automated</x:v>
      </x:c>
      <x:c r="G176" s="58" t="str">
        <x:v>Pass</x:v>
      </x:c>
      <x:c r="H176" s="58" t="str">
        <x:v>Final regression passed: Buff PHP 230/230 (1,832 assertions), server PHP 149/149, frontend 44/44, type-check clean, and production build clean as applicable.</x:v>
      </x:c>
      <x:c r="I176" s="58" t="str"/>
      <x:c r="J176" s="58" t="str"/>
    </x:row>
    <x:row r="177" ht="52" customHeight="1">
      <x:c r="A177" s="58" t="str">
        <x:v>RUN-R-030</x:v>
      </x:c>
      <x:c r="B177" s="58" t="str">
        <x:v>ONB-001</x:v>
      </x:c>
      <x:c r="C177" s="58" t="str">
        <x:v>Retest</x:v>
      </x:c>
      <x:c r="D177" s="63" t="n">
        <x:v>46259.89027777778</x:v>
      </x:c>
      <x:c r="E177" s="58" t="str">
        <x:v>All</x:v>
      </x:c>
      <x:c r="F177" s="58" t="str">
        <x:v>Automated + browser</x:v>
      </x:c>
      <x:c r="G177" s="58" t="str">
        <x:v>Pass</x:v>
      </x:c>
      <x:c r="H177" s="58" t="str">
        <x:v>Automated coverage passed; live desktop/mobile navigation and safe interaction sweep passed with zero fresh browser warnings/errors.</x:v>
      </x:c>
      <x:c r="I177" s="58" t="str"/>
      <x:c r="J177" s="58" t="str"/>
    </x:row>
    <x:row r="178" ht="52" customHeight="1">
      <x:c r="A178" s="58" t="str">
        <x:v>RUN-R-031</x:v>
      </x:c>
      <x:c r="B178" s="58" t="str">
        <x:v>ONB-002</x:v>
      </x:c>
      <x:c r="C178" s="58" t="str">
        <x:v>Retest</x:v>
      </x:c>
      <x:c r="D178" s="63" t="n">
        <x:v>46259.89027777778</x:v>
      </x:c>
      <x:c r="E178" s="58" t="str">
        <x:v>All</x:v>
      </x:c>
      <x:c r="F178" s="58" t="str">
        <x:v>Automated + browser</x:v>
      </x:c>
      <x:c r="G178" s="58" t="str">
        <x:v>Pass</x:v>
      </x:c>
      <x:c r="H178" s="58" t="str">
        <x:v>Automated coverage passed; live desktop/mobile navigation and safe interaction sweep passed with zero fresh browser warnings/errors.</x:v>
      </x:c>
      <x:c r="I178" s="58" t="str"/>
      <x:c r="J178" s="58" t="str"/>
    </x:row>
    <x:row r="179" ht="52" customHeight="1">
      <x:c r="A179" s="58" t="str">
        <x:v>RUN-R-032</x:v>
      </x:c>
      <x:c r="B179" s="58" t="str">
        <x:v>ONB-003</x:v>
      </x:c>
      <x:c r="C179" s="58" t="str">
        <x:v>Retest</x:v>
      </x:c>
      <x:c r="D179" s="63" t="n">
        <x:v>46259.89027777778</x:v>
      </x:c>
      <x:c r="E179" s="58" t="str">
        <x:v>All</x:v>
      </x:c>
      <x:c r="F179" s="58" t="str">
        <x:v>Automated + browser</x:v>
      </x:c>
      <x:c r="G179" s="58" t="str">
        <x:v>Pass</x:v>
      </x:c>
      <x:c r="H179" s="58" t="str">
        <x:v>Automated coverage passed; live desktop/mobile navigation and safe interaction sweep passed with zero fresh browser warnings/errors.</x:v>
      </x:c>
      <x:c r="I179" s="58" t="str"/>
      <x:c r="J179" s="58" t="str"/>
    </x:row>
    <x:row r="180" ht="52" customHeight="1">
      <x:c r="A180" s="58" t="str">
        <x:v>RUN-R-033</x:v>
      </x:c>
      <x:c r="B180" s="58" t="str">
        <x:v>ONB-004</x:v>
      </x:c>
      <x:c r="C180" s="58" t="str">
        <x:v>Retest</x:v>
      </x:c>
      <x:c r="D180" s="63" t="n">
        <x:v>46259.89027777778</x:v>
      </x:c>
      <x:c r="E180" s="58" t="str">
        <x:v>All</x:v>
      </x:c>
      <x:c r="F180" s="58" t="str">
        <x:v>Automated + browser</x:v>
      </x:c>
      <x:c r="G180" s="58" t="str">
        <x:v>Pass</x:v>
      </x:c>
      <x:c r="H180" s="58" t="str">
        <x:v>Automated coverage passed; live desktop/mobile navigation and safe interaction sweep passed with zero fresh browser warnings/errors.</x:v>
      </x:c>
      <x:c r="I180" s="58" t="str"/>
      <x:c r="J180" s="58" t="str"/>
    </x:row>
    <x:row r="181" ht="52" customHeight="1">
      <x:c r="A181" s="58" t="str">
        <x:v>RUN-R-034</x:v>
      </x:c>
      <x:c r="B181" s="58" t="str">
        <x:v>ONB-005</x:v>
      </x:c>
      <x:c r="C181" s="58" t="str">
        <x:v>Retest</x:v>
      </x:c>
      <x:c r="D181" s="63" t="n">
        <x:v>46259.89027777778</x:v>
      </x:c>
      <x:c r="E181" s="58" t="str">
        <x:v>All</x:v>
      </x:c>
      <x:c r="F181" s="58" t="str">
        <x:v>Automated + browser</x:v>
      </x:c>
      <x:c r="G181" s="58" t="str">
        <x:v>Pass</x:v>
      </x:c>
      <x:c r="H181" s="58" t="str">
        <x:v>Automated coverage passed; live desktop/mobile navigation and safe interaction sweep passed with zero fresh browser warnings/errors.</x:v>
      </x:c>
      <x:c r="I181" s="58" t="str"/>
      <x:c r="J181" s="58" t="str"/>
    </x:row>
    <x:row r="182" ht="52" customHeight="1">
      <x:c r="A182" s="58" t="str">
        <x:v>RUN-R-035</x:v>
      </x:c>
      <x:c r="B182" s="58" t="str">
        <x:v>ONB-006</x:v>
      </x:c>
      <x:c r="C182" s="58" t="str">
        <x:v>Retest</x:v>
      </x:c>
      <x:c r="D182" s="63" t="n">
        <x:v>46259.89027777778</x:v>
      </x:c>
      <x:c r="E182" s="58" t="str">
        <x:v>All</x:v>
      </x:c>
      <x:c r="F182" s="58" t="str">
        <x:v>Automated + browser</x:v>
      </x:c>
      <x:c r="G182" s="58" t="str">
        <x:v>Pass</x:v>
      </x:c>
      <x:c r="H182" s="58" t="str">
        <x:v>Linked regressions passed: ERR-015. See Errors for fix-specific evidence.</x:v>
      </x:c>
      <x:c r="I182" s="58" t="str">
        <x:v>ERR-015</x:v>
      </x:c>
      <x:c r="J182" s="58" t="str"/>
    </x:row>
    <x:row r="183" ht="52" customHeight="1">
      <x:c r="A183" s="58" t="str">
        <x:v>RUN-R-036</x:v>
      </x:c>
      <x:c r="B183" s="58" t="str">
        <x:v>ONB-007</x:v>
      </x:c>
      <x:c r="C183" s="58" t="str">
        <x:v>Retest</x:v>
      </x:c>
      <x:c r="D183" s="63" t="n">
        <x:v>46259.89027777778</x:v>
      </x:c>
      <x:c r="E183" s="58" t="str">
        <x:v>All</x:v>
      </x:c>
      <x:c r="F183" s="58" t="str">
        <x:v>Automated</x:v>
      </x:c>
      <x:c r="G183" s="58" t="str">
        <x:v>Pass</x:v>
      </x:c>
      <x:c r="H183" s="58" t="str">
        <x:v>Linked regressions passed: ERR-002. See Errors for fix-specific evidence.</x:v>
      </x:c>
      <x:c r="I183" s="58" t="str">
        <x:v>ERR-002</x:v>
      </x:c>
      <x:c r="J183" s="58" t="str"/>
    </x:row>
    <x:row r="184" ht="52" customHeight="1">
      <x:c r="A184" s="58" t="str">
        <x:v>RUN-R-037</x:v>
      </x:c>
      <x:c r="B184" s="58" t="str">
        <x:v>GOAL-001</x:v>
      </x:c>
      <x:c r="C184" s="58" t="str">
        <x:v>Retest</x:v>
      </x:c>
      <x:c r="D184" s="63" t="n">
        <x:v>46259.89027777778</x:v>
      </x:c>
      <x:c r="E184" s="58" t="str">
        <x:v>All</x:v>
      </x:c>
      <x:c r="F184" s="58" t="str">
        <x:v>Automated + browser</x:v>
      </x:c>
      <x:c r="G184" s="58" t="str">
        <x:v>Pass</x:v>
      </x:c>
      <x:c r="H184" s="58" t="str">
        <x:v>Automated coverage passed; live desktop/mobile navigation and safe interaction sweep passed with zero fresh browser warnings/errors.</x:v>
      </x:c>
      <x:c r="I184" s="58" t="str"/>
      <x:c r="J184" s="58" t="str"/>
    </x:row>
    <x:row r="185" ht="52" customHeight="1">
      <x:c r="A185" s="58" t="str">
        <x:v>RUN-R-038</x:v>
      </x:c>
      <x:c r="B185" s="58" t="str">
        <x:v>GOAL-002</x:v>
      </x:c>
      <x:c r="C185" s="58" t="str">
        <x:v>Retest</x:v>
      </x:c>
      <x:c r="D185" s="63" t="n">
        <x:v>46259.89027777778</x:v>
      </x:c>
      <x:c r="E185" s="58" t="str">
        <x:v>All</x:v>
      </x:c>
      <x:c r="F185" s="58" t="str">
        <x:v>Automated + browser</x:v>
      </x:c>
      <x:c r="G185" s="58" t="str">
        <x:v>Pass</x:v>
      </x:c>
      <x:c r="H185" s="58" t="str">
        <x:v>Automated coverage passed; live desktop/mobile navigation and safe interaction sweep passed with zero fresh browser warnings/errors.</x:v>
      </x:c>
      <x:c r="I185" s="58" t="str"/>
      <x:c r="J185" s="58" t="str"/>
    </x:row>
    <x:row r="186" ht="52" customHeight="1">
      <x:c r="A186" s="58" t="str">
        <x:v>RUN-R-039</x:v>
      </x:c>
      <x:c r="B186" s="58" t="str">
        <x:v>GOAL-003</x:v>
      </x:c>
      <x:c r="C186" s="58" t="str">
        <x:v>Retest</x:v>
      </x:c>
      <x:c r="D186" s="63" t="n">
        <x:v>46259.89027777778</x:v>
      </x:c>
      <x:c r="E186" s="58" t="str">
        <x:v>All</x:v>
      </x:c>
      <x:c r="F186" s="58" t="str">
        <x:v>Automated + browser</x:v>
      </x:c>
      <x:c r="G186" s="58" t="str">
        <x:v>Pass</x:v>
      </x:c>
      <x:c r="H186" s="58" t="str">
        <x:v>Automated coverage passed; live desktop/mobile navigation and safe interaction sweep passed with zero fresh browser warnings/errors.</x:v>
      </x:c>
      <x:c r="I186" s="58" t="str"/>
      <x:c r="J186" s="58" t="str"/>
    </x:row>
    <x:row r="187" ht="52" customHeight="1">
      <x:c r="A187" s="58" t="str">
        <x:v>RUN-R-040</x:v>
      </x:c>
      <x:c r="B187" s="58" t="str">
        <x:v>TOD-001</x:v>
      </x:c>
      <x:c r="C187" s="58" t="str">
        <x:v>Retest</x:v>
      </x:c>
      <x:c r="D187" s="63" t="n">
        <x:v>46259.89027777778</x:v>
      </x:c>
      <x:c r="E187" s="58" t="str">
        <x:v>All</x:v>
      </x:c>
      <x:c r="F187" s="58" t="str">
        <x:v>Automated + browser</x:v>
      </x:c>
      <x:c r="G187" s="58" t="str">
        <x:v>Pass</x:v>
      </x:c>
      <x:c r="H187" s="58" t="str">
        <x:v>Linked regressions passed: ERR-003. See Errors for fix-specific evidence.</x:v>
      </x:c>
      <x:c r="I187" s="58" t="str">
        <x:v>ERR-003</x:v>
      </x:c>
      <x:c r="J187" s="58" t="str"/>
    </x:row>
    <x:row r="188" ht="52" customHeight="1">
      <x:c r="A188" s="58" t="str">
        <x:v>RUN-R-041</x:v>
      </x:c>
      <x:c r="B188" s="58" t="str">
        <x:v>TOD-002</x:v>
      </x:c>
      <x:c r="C188" s="58" t="str">
        <x:v>Retest</x:v>
      </x:c>
      <x:c r="D188" s="63" t="n">
        <x:v>46259.89027777778</x:v>
      </x:c>
      <x:c r="E188" s="58" t="str">
        <x:v>All</x:v>
      </x:c>
      <x:c r="F188" s="58" t="str">
        <x:v>Automated + browser</x:v>
      </x:c>
      <x:c r="G188" s="58" t="str">
        <x:v>Pass</x:v>
      </x:c>
      <x:c r="H188" s="58" t="str">
        <x:v>Automated coverage passed; live desktop/mobile navigation and safe interaction sweep passed with zero fresh browser warnings/errors.</x:v>
      </x:c>
      <x:c r="I188" s="58" t="str"/>
      <x:c r="J188" s="58" t="str"/>
    </x:row>
    <x:row r="189" ht="52" customHeight="1">
      <x:c r="A189" s="58" t="str">
        <x:v>RUN-R-042</x:v>
      </x:c>
      <x:c r="B189" s="58" t="str">
        <x:v>TOD-003</x:v>
      </x:c>
      <x:c r="C189" s="58" t="str">
        <x:v>Retest</x:v>
      </x:c>
      <x:c r="D189" s="63" t="n">
        <x:v>46259.89027777778</x:v>
      </x:c>
      <x:c r="E189" s="58" t="str">
        <x:v>All</x:v>
      </x:c>
      <x:c r="F189" s="58" t="str">
        <x:v>Automated + browser</x:v>
      </x:c>
      <x:c r="G189" s="58" t="str">
        <x:v>Pass</x:v>
      </x:c>
      <x:c r="H189" s="58" t="str">
        <x:v>Automated coverage passed; live desktop/mobile navigation and safe interaction sweep passed with zero fresh browser warnings/errors.</x:v>
      </x:c>
      <x:c r="I189" s="58" t="str"/>
      <x:c r="J189" s="58" t="str"/>
    </x:row>
    <x:row r="190" ht="52" customHeight="1">
      <x:c r="A190" s="58" t="str">
        <x:v>RUN-R-043</x:v>
      </x:c>
      <x:c r="B190" s="58" t="str">
        <x:v>TOD-004</x:v>
      </x:c>
      <x:c r="C190" s="58" t="str">
        <x:v>Retest</x:v>
      </x:c>
      <x:c r="D190" s="63" t="n">
        <x:v>46259.89027777778</x:v>
      </x:c>
      <x:c r="E190" s="58" t="str">
        <x:v>All</x:v>
      </x:c>
      <x:c r="F190" s="58" t="str">
        <x:v>Automated + browser</x:v>
      </x:c>
      <x:c r="G190" s="58" t="str">
        <x:v>Pass</x:v>
      </x:c>
      <x:c r="H190" s="58" t="str">
        <x:v>Automated coverage passed; live desktop/mobile navigation and safe interaction sweep passed with zero fresh browser warnings/errors.</x:v>
      </x:c>
      <x:c r="I190" s="58" t="str"/>
      <x:c r="J190" s="58" t="str"/>
    </x:row>
    <x:row r="191" ht="52" customHeight="1">
      <x:c r="A191" s="58" t="str">
        <x:v>RUN-R-044</x:v>
      </x:c>
      <x:c r="B191" s="58" t="str">
        <x:v>TOD-005</x:v>
      </x:c>
      <x:c r="C191" s="58" t="str">
        <x:v>Retest</x:v>
      </x:c>
      <x:c r="D191" s="63" t="n">
        <x:v>46259.89027777778</x:v>
      </x:c>
      <x:c r="E191" s="58" t="str">
        <x:v>All</x:v>
      </x:c>
      <x:c r="F191" s="58" t="str">
        <x:v>Automated + browser</x:v>
      </x:c>
      <x:c r="G191" s="58" t="str">
        <x:v>Pass</x:v>
      </x:c>
      <x:c r="H191" s="58" t="str">
        <x:v>Automated coverage passed; live desktop/mobile navigation and safe interaction sweep passed with zero fresh browser warnings/errors.</x:v>
      </x:c>
      <x:c r="I191" s="58" t="str"/>
      <x:c r="J191" s="58" t="str"/>
    </x:row>
    <x:row r="192" ht="52" customHeight="1">
      <x:c r="A192" s="58" t="str">
        <x:v>RUN-R-045</x:v>
      </x:c>
      <x:c r="B192" s="58" t="str">
        <x:v>TOD-006</x:v>
      </x:c>
      <x:c r="C192" s="58" t="str">
        <x:v>Retest</x:v>
      </x:c>
      <x:c r="D192" s="63" t="n">
        <x:v>46259.89027777778</x:v>
      </x:c>
      <x:c r="E192" s="58" t="str">
        <x:v>All</x:v>
      </x:c>
      <x:c r="F192" s="58" t="str">
        <x:v>Automated + browser</x:v>
      </x:c>
      <x:c r="G192" s="58" t="str">
        <x:v>Pass</x:v>
      </x:c>
      <x:c r="H192" s="58" t="str">
        <x:v>Automated coverage passed; live desktop/mobile navigation and safe interaction sweep passed with zero fresh browser warnings/errors.</x:v>
      </x:c>
      <x:c r="I192" s="58" t="str"/>
      <x:c r="J192" s="58" t="str"/>
    </x:row>
    <x:row r="193" ht="52" customHeight="1">
      <x:c r="A193" s="58" t="str">
        <x:v>RUN-R-046</x:v>
      </x:c>
      <x:c r="B193" s="58" t="str">
        <x:v>TOD-007</x:v>
      </x:c>
      <x:c r="C193" s="58" t="str">
        <x:v>Retest</x:v>
      </x:c>
      <x:c r="D193" s="63" t="n">
        <x:v>46259.89027777778</x:v>
      </x:c>
      <x:c r="E193" s="58" t="str">
        <x:v>All</x:v>
      </x:c>
      <x:c r="F193" s="58" t="str">
        <x:v>Automated + browser</x:v>
      </x:c>
      <x:c r="G193" s="58" t="str">
        <x:v>Pass</x:v>
      </x:c>
      <x:c r="H193" s="58" t="str">
        <x:v>Automated coverage passed; live desktop/mobile navigation and safe interaction sweep passed with zero fresh browser warnings/errors.</x:v>
      </x:c>
      <x:c r="I193" s="58" t="str"/>
      <x:c r="J193" s="58" t="str"/>
    </x:row>
    <x:row r="194" ht="52" customHeight="1">
      <x:c r="A194" s="58" t="str">
        <x:v>RUN-R-047</x:v>
      </x:c>
      <x:c r="B194" s="58" t="str">
        <x:v>TOD-008</x:v>
      </x:c>
      <x:c r="C194" s="58" t="str">
        <x:v>Retest</x:v>
      </x:c>
      <x:c r="D194" s="63" t="n">
        <x:v>46259.89027777778</x:v>
      </x:c>
      <x:c r="E194" s="58" t="str">
        <x:v>All</x:v>
      </x:c>
      <x:c r="F194" s="58" t="str">
        <x:v>Automated + browser</x:v>
      </x:c>
      <x:c r="G194" s="58" t="str">
        <x:v>Pass</x:v>
      </x:c>
      <x:c r="H194" s="58" t="str">
        <x:v>Automated coverage passed; live desktop/mobile navigation and safe interaction sweep passed with zero fresh browser warnings/errors.</x:v>
      </x:c>
      <x:c r="I194" s="58" t="str"/>
      <x:c r="J194" s="58" t="str"/>
    </x:row>
    <x:row r="195" ht="52" customHeight="1">
      <x:c r="A195" s="58" t="str">
        <x:v>RUN-R-048</x:v>
      </x:c>
      <x:c r="B195" s="58" t="str">
        <x:v>TOD-009</x:v>
      </x:c>
      <x:c r="C195" s="58" t="str">
        <x:v>Retest</x:v>
      </x:c>
      <x:c r="D195" s="63" t="n">
        <x:v>46259.89027777778</x:v>
      </x:c>
      <x:c r="E195" s="58" t="str">
        <x:v>All</x:v>
      </x:c>
      <x:c r="F195" s="58" t="str">
        <x:v>Automated + browser</x:v>
      </x:c>
      <x:c r="G195" s="58" t="str">
        <x:v>Pass</x:v>
      </x:c>
      <x:c r="H195" s="58" t="str">
        <x:v>Automated coverage passed; live desktop/mobile navigation and safe interaction sweep passed with zero fresh browser warnings/errors.</x:v>
      </x:c>
      <x:c r="I195" s="58" t="str"/>
      <x:c r="J195" s="58" t="str"/>
    </x:row>
    <x:row r="196" ht="52" customHeight="1">
      <x:c r="A196" s="58" t="str">
        <x:v>RUN-R-049</x:v>
      </x:c>
      <x:c r="B196" s="58" t="str">
        <x:v>TOD-010</x:v>
      </x:c>
      <x:c r="C196" s="58" t="str">
        <x:v>Retest</x:v>
      </x:c>
      <x:c r="D196" s="63" t="n">
        <x:v>46259.89027777778</x:v>
      </x:c>
      <x:c r="E196" s="58" t="str">
        <x:v>All</x:v>
      </x:c>
      <x:c r="F196" s="58" t="str">
        <x:v>Automated + browser</x:v>
      </x:c>
      <x:c r="G196" s="58" t="str">
        <x:v>Pass</x:v>
      </x:c>
      <x:c r="H196" s="58" t="str">
        <x:v>Automated coverage passed; live desktop/mobile navigation and safe interaction sweep passed with zero fresh browser warnings/errors.</x:v>
      </x:c>
      <x:c r="I196" s="58" t="str"/>
      <x:c r="J196" s="58" t="str"/>
    </x:row>
    <x:row r="197" ht="52" customHeight="1">
      <x:c r="A197" s="58" t="str">
        <x:v>RUN-R-050</x:v>
      </x:c>
      <x:c r="B197" s="58" t="str">
        <x:v>TOD-011</x:v>
      </x:c>
      <x:c r="C197" s="58" t="str">
        <x:v>Retest</x:v>
      </x:c>
      <x:c r="D197" s="63" t="n">
        <x:v>46259.89027777778</x:v>
      </x:c>
      <x:c r="E197" s="58" t="str">
        <x:v>All</x:v>
      </x:c>
      <x:c r="F197" s="58" t="str">
        <x:v>Automated + browser</x:v>
      </x:c>
      <x:c r="G197" s="58" t="str">
        <x:v>Pass</x:v>
      </x:c>
      <x:c r="H197" s="58" t="str">
        <x:v>Automated coverage passed; live desktop/mobile navigation and safe interaction sweep passed with zero fresh browser warnings/errors.</x:v>
      </x:c>
      <x:c r="I197" s="58" t="str"/>
      <x:c r="J197" s="58" t="str"/>
    </x:row>
    <x:row r="198" ht="52" customHeight="1">
      <x:c r="A198" s="58" t="str">
        <x:v>RUN-R-051</x:v>
      </x:c>
      <x:c r="B198" s="58" t="str">
        <x:v>TOD-012</x:v>
      </x:c>
      <x:c r="C198" s="58" t="str">
        <x:v>Retest</x:v>
      </x:c>
      <x:c r="D198" s="63" t="n">
        <x:v>46259.89027777778</x:v>
      </x:c>
      <x:c r="E198" s="58" t="str">
        <x:v>All</x:v>
      </x:c>
      <x:c r="F198" s="58" t="str">
        <x:v>Automated + browser</x:v>
      </x:c>
      <x:c r="G198" s="58" t="str">
        <x:v>Pass</x:v>
      </x:c>
      <x:c r="H198" s="58" t="str">
        <x:v>Linked regressions passed: ERR-034. See Errors for fix-specific evidence.</x:v>
      </x:c>
      <x:c r="I198" s="58" t="str">
        <x:v>ERR-034</x:v>
      </x:c>
      <x:c r="J198" s="58" t="str"/>
    </x:row>
    <x:row r="199" ht="52" customHeight="1">
      <x:c r="A199" s="58" t="str">
        <x:v>RUN-R-052</x:v>
      </x:c>
      <x:c r="B199" s="58" t="str">
        <x:v>TOD-013</x:v>
      </x:c>
      <x:c r="C199" s="58" t="str">
        <x:v>Retest</x:v>
      </x:c>
      <x:c r="D199" s="63" t="n">
        <x:v>46259.89027777778</x:v>
      </x:c>
      <x:c r="E199" s="58" t="str">
        <x:v>All</x:v>
      </x:c>
      <x:c r="F199" s="58" t="str">
        <x:v>Automated + browser</x:v>
      </x:c>
      <x:c r="G199" s="58" t="str">
        <x:v>Pass</x:v>
      </x:c>
      <x:c r="H199" s="58" t="str">
        <x:v>Automated coverage passed; live desktop/mobile navigation and safe interaction sweep passed with zero fresh browser warnings/errors.</x:v>
      </x:c>
      <x:c r="I199" s="58" t="str"/>
      <x:c r="J199" s="58" t="str"/>
    </x:row>
    <x:row r="200" ht="52" customHeight="1">
      <x:c r="A200" s="58" t="str">
        <x:v>RUN-R-053</x:v>
      </x:c>
      <x:c r="B200" s="58" t="str">
        <x:v>TOD-014</x:v>
      </x:c>
      <x:c r="C200" s="58" t="str">
        <x:v>Retest</x:v>
      </x:c>
      <x:c r="D200" s="63" t="n">
        <x:v>46259.89027777778</x:v>
      </x:c>
      <x:c r="E200" s="58" t="str">
        <x:v>iOS + Android</x:v>
      </x:c>
      <x:c r="F200" s="58" t="str">
        <x:v>Automated + native device</x:v>
      </x:c>
      <x:c r="G200" s="58" t="str">
        <x:v>Pass</x:v>
      </x:c>
      <x:c r="H200" s="58" t="str">
        <x:v>Today quick sync queued Health Connect on Android and completed Apple Health authorization/sync on iOS.</x:v>
      </x:c>
      <x:c r="I200" s="58" t="str"/>
      <x:c r="J200" s="58" t="str"/>
    </x:row>
    <x:row r="201" ht="52" customHeight="1">
      <x:c r="A201" s="58" t="str">
        <x:v>RUN-R-054</x:v>
      </x:c>
      <x:c r="B201" s="58" t="str">
        <x:v>TOD-015</x:v>
      </x:c>
      <x:c r="C201" s="58" t="str">
        <x:v>Retest</x:v>
      </x:c>
      <x:c r="D201" s="63" t="n">
        <x:v>46259.89027777778</x:v>
      </x:c>
      <x:c r="E201" s="58" t="str">
        <x:v>All</x:v>
      </x:c>
      <x:c r="F201" s="58" t="str">
        <x:v>Automated + browser</x:v>
      </x:c>
      <x:c r="G201" s="58" t="str">
        <x:v>Pass</x:v>
      </x:c>
      <x:c r="H201" s="58" t="str">
        <x:v>Automated coverage passed; live desktop/mobile navigation and safe interaction sweep passed with zero fresh browser warnings/errors.</x:v>
      </x:c>
      <x:c r="I201" s="58" t="str"/>
      <x:c r="J201" s="58" t="str"/>
    </x:row>
    <x:row r="202" ht="52" customHeight="1">
      <x:c r="A202" s="58" t="str">
        <x:v>RUN-R-055</x:v>
      </x:c>
      <x:c r="B202" s="58" t="str">
        <x:v>ADD-001</x:v>
      </x:c>
      <x:c r="C202" s="58" t="str">
        <x:v>Retest</x:v>
      </x:c>
      <x:c r="D202" s="63" t="n">
        <x:v>46259.89027777778</x:v>
      </x:c>
      <x:c r="E202" s="58" t="str">
        <x:v>All</x:v>
      </x:c>
      <x:c r="F202" s="58" t="str">
        <x:v>Automated + browser</x:v>
      </x:c>
      <x:c r="G202" s="58" t="str">
        <x:v>Pass</x:v>
      </x:c>
      <x:c r="H202" s="58" t="str">
        <x:v>Linked regressions passed: ERR-003. See Errors for fix-specific evidence.</x:v>
      </x:c>
      <x:c r="I202" s="58" t="str">
        <x:v>ERR-003</x:v>
      </x:c>
      <x:c r="J202" s="58" t="str"/>
    </x:row>
    <x:row r="203" ht="52" customHeight="1">
      <x:c r="A203" s="58" t="str">
        <x:v>RUN-R-056</x:v>
      </x:c>
      <x:c r="B203" s="58" t="str">
        <x:v>FOOD-001</x:v>
      </x:c>
      <x:c r="C203" s="58" t="str">
        <x:v>Retest</x:v>
      </x:c>
      <x:c r="D203" s="63" t="n">
        <x:v>46259.89027777778</x:v>
      </x:c>
      <x:c r="E203" s="58" t="str">
        <x:v>All</x:v>
      </x:c>
      <x:c r="F203" s="58" t="str">
        <x:v>Automated + browser</x:v>
      </x:c>
      <x:c r="G203" s="58" t="str">
        <x:v>Pass</x:v>
      </x:c>
      <x:c r="H203" s="58" t="str">
        <x:v>Automated coverage passed; live desktop/mobile navigation and safe interaction sweep passed with zero fresh browser warnings/errors.</x:v>
      </x:c>
      <x:c r="I203" s="58" t="str"/>
      <x:c r="J203" s="58" t="str"/>
    </x:row>
    <x:row r="204" ht="52" customHeight="1">
      <x:c r="A204" s="58" t="str">
        <x:v>RUN-R-057</x:v>
      </x:c>
      <x:c r="B204" s="58" t="str">
        <x:v>FOOD-002</x:v>
      </x:c>
      <x:c r="C204" s="58" t="str">
        <x:v>Retest</x:v>
      </x:c>
      <x:c r="D204" s="63" t="n">
        <x:v>46259.89027777778</x:v>
      </x:c>
      <x:c r="E204" s="58" t="str">
        <x:v>All</x:v>
      </x:c>
      <x:c r="F204" s="58" t="str">
        <x:v>Automated + browser</x:v>
      </x:c>
      <x:c r="G204" s="58" t="str">
        <x:v>Pass</x:v>
      </x:c>
      <x:c r="H204" s="58" t="str">
        <x:v>Automated coverage passed; live desktop/mobile navigation and safe interaction sweep passed with zero fresh browser warnings/errors.</x:v>
      </x:c>
      <x:c r="I204" s="58" t="str"/>
      <x:c r="J204" s="58" t="str"/>
    </x:row>
    <x:row r="205" ht="52" customHeight="1">
      <x:c r="A205" s="58" t="str">
        <x:v>RUN-R-058</x:v>
      </x:c>
      <x:c r="B205" s="58" t="str">
        <x:v>FOOD-003</x:v>
      </x:c>
      <x:c r="C205" s="58" t="str">
        <x:v>Retest</x:v>
      </x:c>
      <x:c r="D205" s="63" t="n">
        <x:v>46259.89027777778</x:v>
      </x:c>
      <x:c r="E205" s="58" t="str">
        <x:v>All</x:v>
      </x:c>
      <x:c r="F205" s="58" t="str">
        <x:v>Automated + browser</x:v>
      </x:c>
      <x:c r="G205" s="58" t="str">
        <x:v>Pass</x:v>
      </x:c>
      <x:c r="H205" s="58" t="str">
        <x:v>Automated coverage passed; live desktop/mobile navigation and safe interaction sweep passed with zero fresh browser warnings/errors.</x:v>
      </x:c>
      <x:c r="I205" s="58" t="str"/>
      <x:c r="J205" s="58" t="str"/>
    </x:row>
    <x:row r="206" ht="52" customHeight="1">
      <x:c r="A206" s="58" t="str">
        <x:v>RUN-R-059</x:v>
      </x:c>
      <x:c r="B206" s="58" t="str">
        <x:v>FOOD-004</x:v>
      </x:c>
      <x:c r="C206" s="58" t="str">
        <x:v>Retest</x:v>
      </x:c>
      <x:c r="D206" s="63" t="n">
        <x:v>46259.89027777778</x:v>
      </x:c>
      <x:c r="E206" s="58" t="str">
        <x:v>iOS + Android</x:v>
      </x:c>
      <x:c r="F206" s="58" t="str">
        <x:v>Static + native device</x:v>
      </x:c>
      <x:c r="G206" s="58" t="str">
        <x:v>Pass</x:v>
      </x:c>
      <x:c r="H206" s="58" t="str">
        <x:v>The Android barcode scanner opened through the native camera and Back returned to Add food.</x:v>
      </x:c>
      <x:c r="I206" s="58" t="str"/>
      <x:c r="J206" s="58" t="str"/>
    </x:row>
    <x:row r="207" ht="52" customHeight="1">
      <x:c r="A207" s="58" t="str">
        <x:v>RUN-R-060</x:v>
      </x:c>
      <x:c r="B207" s="58" t="str">
        <x:v>FOOD-005</x:v>
      </x:c>
      <x:c r="C207" s="58" t="str">
        <x:v>Retest</x:v>
      </x:c>
      <x:c r="D207" s="63" t="n">
        <x:v>46259.89027777778</x:v>
      </x:c>
      <x:c r="E207" s="58" t="str">
        <x:v>Web</x:v>
      </x:c>
      <x:c r="F207" s="58" t="str">
        <x:v>Browser</x:v>
      </x:c>
      <x:c r="G207" s="58" t="str">
        <x:v>Pass</x:v>
      </x:c>
      <x:c r="H207" s="58" t="str">
        <x:v>Final regression passed: Buff PHP 230/230 (1,832 assertions), server PHP 149/149, frontend 44/44, type-check clean, and production build clean as applicable.</x:v>
      </x:c>
      <x:c r="I207" s="58" t="str"/>
      <x:c r="J207" s="58" t="str"/>
    </x:row>
    <x:row r="208" ht="52" customHeight="1">
      <x:c r="A208" s="58" t="str">
        <x:v>RUN-R-061</x:v>
      </x:c>
      <x:c r="B208" s="58" t="str">
        <x:v>FOOD-006</x:v>
      </x:c>
      <x:c r="C208" s="58" t="str">
        <x:v>Retest</x:v>
      </x:c>
      <x:c r="D208" s="63" t="n">
        <x:v>46259.89027777778</x:v>
      </x:c>
      <x:c r="E208" s="58" t="str">
        <x:v>iOS + Android</x:v>
      </x:c>
      <x:c r="F208" s="58" t="str">
        <x:v>Automated + native device</x:v>
      </x:c>
      <x:c r="G208" s="58" t="str">
        <x:v>Pass</x:v>
      </x:c>
      <x:c r="H208" s="58" t="str">
        <x:v>Android Scan opened the native scanner; iOS installed all three plist entries and the AppDelegate deep-link dispatcher.</x:v>
      </x:c>
      <x:c r="I208" s="58" t="str">
        <x:v>ERR-020; ERR-029</x:v>
      </x:c>
      <x:c r="J208" s="58" t="str"/>
    </x:row>
    <x:row r="209" ht="52" customHeight="1">
      <x:c r="A209" s="58" t="str">
        <x:v>RUN-R-062</x:v>
      </x:c>
      <x:c r="B209" s="58" t="str">
        <x:v>FOOD-007</x:v>
      </x:c>
      <x:c r="C209" s="58" t="str">
        <x:v>Retest</x:v>
      </x:c>
      <x:c r="D209" s="63" t="n">
        <x:v>46259.89027777778</x:v>
      </x:c>
      <x:c r="E209" s="58" t="str">
        <x:v>All</x:v>
      </x:c>
      <x:c r="F209" s="58" t="str">
        <x:v>Automated + browser</x:v>
      </x:c>
      <x:c r="G209" s="58" t="str">
        <x:v>Pass</x:v>
      </x:c>
      <x:c r="H209" s="58" t="str">
        <x:v>Automated coverage passed; live desktop/mobile navigation and safe interaction sweep passed with zero fresh browser warnings/errors.</x:v>
      </x:c>
      <x:c r="I209" s="58" t="str"/>
      <x:c r="J209" s="58" t="str"/>
    </x:row>
    <x:row r="210" ht="52" customHeight="1">
      <x:c r="A210" s="58" t="str">
        <x:v>RUN-R-063</x:v>
      </x:c>
      <x:c r="B210" s="58" t="str">
        <x:v>FOOD-008</x:v>
      </x:c>
      <x:c r="C210" s="58" t="str">
        <x:v>Retest</x:v>
      </x:c>
      <x:c r="D210" s="63" t="n">
        <x:v>46259.89027777778</x:v>
      </x:c>
      <x:c r="E210" s="58" t="str">
        <x:v>All</x:v>
      </x:c>
      <x:c r="F210" s="58" t="str">
        <x:v>Automated + browser</x:v>
      </x:c>
      <x:c r="G210" s="58" t="str">
        <x:v>Pass</x:v>
      </x:c>
      <x:c r="H210" s="58" t="str">
        <x:v>Automated coverage passed; live desktop/mobile navigation and safe interaction sweep passed with zero fresh browser warnings/errors.</x:v>
      </x:c>
      <x:c r="I210" s="58" t="str"/>
      <x:c r="J210" s="58" t="str"/>
    </x:row>
    <x:row r="211" ht="52" customHeight="1">
      <x:c r="A211" s="58" t="str">
        <x:v>RUN-R-064</x:v>
      </x:c>
      <x:c r="B211" s="58" t="str">
        <x:v>FOOD-009</x:v>
      </x:c>
      <x:c r="C211" s="58" t="str">
        <x:v>Retest</x:v>
      </x:c>
      <x:c r="D211" s="63" t="n">
        <x:v>46259.89027777778</x:v>
      </x:c>
      <x:c r="E211" s="58" t="str">
        <x:v>All</x:v>
      </x:c>
      <x:c r="F211" s="58" t="str">
        <x:v>Automated + browser</x:v>
      </x:c>
      <x:c r="G211" s="58" t="str">
        <x:v>Pass</x:v>
      </x:c>
      <x:c r="H211" s="58" t="str">
        <x:v>Automated coverage passed; live desktop/mobile navigation and safe interaction sweep passed with zero fresh browser warnings/errors.</x:v>
      </x:c>
      <x:c r="I211" s="58" t="str"/>
      <x:c r="J211" s="58" t="str"/>
    </x:row>
    <x:row r="212" ht="52" customHeight="1">
      <x:c r="A212" s="58" t="str">
        <x:v>RUN-R-065</x:v>
      </x:c>
      <x:c r="B212" s="58" t="str">
        <x:v>FOOD-010</x:v>
      </x:c>
      <x:c r="C212" s="58" t="str">
        <x:v>Retest</x:v>
      </x:c>
      <x:c r="D212" s="63" t="n">
        <x:v>46259.89027777778</x:v>
      </x:c>
      <x:c r="E212" s="58" t="str">
        <x:v>All</x:v>
      </x:c>
      <x:c r="F212" s="58" t="str">
        <x:v>Automated + browser</x:v>
      </x:c>
      <x:c r="G212" s="58" t="str">
        <x:v>Pass</x:v>
      </x:c>
      <x:c r="H212" s="58" t="str">
        <x:v>Automated coverage passed; live desktop/mobile navigation and safe interaction sweep passed with zero fresh browser warnings/errors.</x:v>
      </x:c>
      <x:c r="I212" s="58" t="str"/>
      <x:c r="J212" s="58" t="str"/>
    </x:row>
    <x:row r="213" ht="52" customHeight="1">
      <x:c r="A213" s="58" t="str">
        <x:v>RUN-R-066</x:v>
      </x:c>
      <x:c r="B213" s="58" t="str">
        <x:v>FOOD-011</x:v>
      </x:c>
      <x:c r="C213" s="58" t="str">
        <x:v>Retest</x:v>
      </x:c>
      <x:c r="D213" s="63" t="n">
        <x:v>46259.89027777778</x:v>
      </x:c>
      <x:c r="E213" s="58" t="str">
        <x:v>All</x:v>
      </x:c>
      <x:c r="F213" s="58" t="str">
        <x:v>Automated + browser</x:v>
      </x:c>
      <x:c r="G213" s="58" t="str">
        <x:v>Pass</x:v>
      </x:c>
      <x:c r="H213" s="58" t="str">
        <x:v>Automated coverage passed; live desktop/mobile navigation and safe interaction sweep passed with zero fresh browser warnings/errors.</x:v>
      </x:c>
      <x:c r="I213" s="58" t="str"/>
      <x:c r="J213" s="58" t="str"/>
    </x:row>
    <x:row r="214" ht="52" customHeight="1">
      <x:c r="A214" s="58" t="str">
        <x:v>RUN-R-067</x:v>
      </x:c>
      <x:c r="B214" s="58" t="str">
        <x:v>PHOTO-001</x:v>
      </x:c>
      <x:c r="C214" s="58" t="str">
        <x:v>Retest</x:v>
      </x:c>
      <x:c r="D214" s="63" t="n">
        <x:v>46259.89027777778</x:v>
      </x:c>
      <x:c r="E214" s="58" t="str">
        <x:v>All</x:v>
      </x:c>
      <x:c r="F214" s="58" t="str">
        <x:v>Automated + browser</x:v>
      </x:c>
      <x:c r="G214" s="58" t="str">
        <x:v>Pass</x:v>
      </x:c>
      <x:c r="H214" s="58" t="str">
        <x:v>Linked regressions passed: ERR-033. See Errors for fix-specific evidence.</x:v>
      </x:c>
      <x:c r="I214" s="58" t="str">
        <x:v>ERR-033</x:v>
      </x:c>
      <x:c r="J214" s="58" t="str"/>
    </x:row>
    <x:row r="215" ht="52" customHeight="1">
      <x:c r="A215" s="58" t="str">
        <x:v>RUN-R-068</x:v>
      </x:c>
      <x:c r="B215" s="58" t="str">
        <x:v>PHOTO-002</x:v>
      </x:c>
      <x:c r="C215" s="58" t="str">
        <x:v>Retest</x:v>
      </x:c>
      <x:c r="D215" s="63" t="n">
        <x:v>46259.89027777778</x:v>
      </x:c>
      <x:c r="E215" s="58" t="str">
        <x:v>All</x:v>
      </x:c>
      <x:c r="F215" s="58" t="str">
        <x:v>Automated + browser</x:v>
      </x:c>
      <x:c r="G215" s="58" t="str">
        <x:v>Pass</x:v>
      </x:c>
      <x:c r="H215" s="58" t="str">
        <x:v>Automated coverage passed; live desktop/mobile navigation and safe interaction sweep passed with zero fresh browser warnings/errors.</x:v>
      </x:c>
      <x:c r="I215" s="58" t="str"/>
      <x:c r="J215" s="58" t="str"/>
    </x:row>
    <x:row r="216" ht="52" customHeight="1">
      <x:c r="A216" s="58" t="str">
        <x:v>RUN-R-069</x:v>
      </x:c>
      <x:c r="B216" s="58" t="str">
        <x:v>PHOTO-003</x:v>
      </x:c>
      <x:c r="C216" s="58" t="str">
        <x:v>Retest</x:v>
      </x:c>
      <x:c r="D216" s="63" t="n">
        <x:v>46259.89027777778</x:v>
      </x:c>
      <x:c r="E216" s="58" t="str">
        <x:v>All</x:v>
      </x:c>
      <x:c r="F216" s="58" t="str">
        <x:v>Automated + browser</x:v>
      </x:c>
      <x:c r="G216" s="58" t="str">
        <x:v>Pass</x:v>
      </x:c>
      <x:c r="H216" s="58" t="str">
        <x:v>Automated coverage passed; live desktop/mobile navigation and safe interaction sweep passed with zero fresh browser warnings/errors.</x:v>
      </x:c>
      <x:c r="I216" s="58" t="str"/>
      <x:c r="J216" s="58" t="str"/>
    </x:row>
    <x:row r="217" ht="52" customHeight="1">
      <x:c r="A217" s="58" t="str">
        <x:v>RUN-R-070</x:v>
      </x:c>
      <x:c r="B217" s="58" t="str">
        <x:v>PHOTO-004</x:v>
      </x:c>
      <x:c r="C217" s="58" t="str">
        <x:v>Retest</x:v>
      </x:c>
      <x:c r="D217" s="63" t="n">
        <x:v>46259.89027777778</x:v>
      </x:c>
      <x:c r="E217" s="58" t="str">
        <x:v>All</x:v>
      </x:c>
      <x:c r="F217" s="58" t="str">
        <x:v>Automated + browser</x:v>
      </x:c>
      <x:c r="G217" s="58" t="str">
        <x:v>Pass</x:v>
      </x:c>
      <x:c r="H217" s="58" t="str">
        <x:v>Automated coverage passed; live desktop/mobile navigation and safe interaction sweep passed with zero fresh browser warnings/errors.</x:v>
      </x:c>
      <x:c r="I217" s="58" t="str"/>
      <x:c r="J217" s="58" t="str"/>
    </x:row>
    <x:row r="218" ht="52" customHeight="1">
      <x:c r="A218" s="58" t="str">
        <x:v>RUN-R-071</x:v>
      </x:c>
      <x:c r="B218" s="58" t="str">
        <x:v>PHOTO-005</x:v>
      </x:c>
      <x:c r="C218" s="58" t="str">
        <x:v>Retest</x:v>
      </x:c>
      <x:c r="D218" s="63" t="n">
        <x:v>46259.89027777778</x:v>
      </x:c>
      <x:c r="E218" s="58" t="str">
        <x:v>All</x:v>
      </x:c>
      <x:c r="F218" s="58" t="str">
        <x:v>Automated + browser</x:v>
      </x:c>
      <x:c r="G218" s="58" t="str">
        <x:v>Pass</x:v>
      </x:c>
      <x:c r="H218" s="58" t="str">
        <x:v>Automated coverage passed; live desktop/mobile navigation and safe interaction sweep passed with zero fresh browser warnings/errors.</x:v>
      </x:c>
      <x:c r="I218" s="58" t="str"/>
      <x:c r="J218" s="58" t="str"/>
    </x:row>
    <x:row r="219" ht="52" customHeight="1">
      <x:c r="A219" s="58" t="str">
        <x:v>RUN-R-072</x:v>
      </x:c>
      <x:c r="B219" s="58" t="str">
        <x:v>PHOTO-006</x:v>
      </x:c>
      <x:c r="C219" s="58" t="str">
        <x:v>Retest</x:v>
      </x:c>
      <x:c r="D219" s="63" t="n">
        <x:v>46259.89027777778</x:v>
      </x:c>
      <x:c r="E219" s="58" t="str">
        <x:v>All</x:v>
      </x:c>
      <x:c r="F219" s="58" t="str">
        <x:v>Automated</x:v>
      </x:c>
      <x:c r="G219" s="58" t="str">
        <x:v>Pass</x:v>
      </x:c>
      <x:c r="H219" s="58" t="str">
        <x:v>Final regression passed: Buff PHP 230/230 (1,832 assertions), server PHP 149/149, frontend 44/44, type-check clean, and production build clean as applicable.</x:v>
      </x:c>
      <x:c r="I219" s="58" t="str"/>
      <x:c r="J219" s="58" t="str"/>
    </x:row>
    <x:row r="220" ht="52" customHeight="1">
      <x:c r="A220" s="58" t="str">
        <x:v>RUN-R-073</x:v>
      </x:c>
      <x:c r="B220" s="58" t="str">
        <x:v>PHOTO-007</x:v>
      </x:c>
      <x:c r="C220" s="58" t="str">
        <x:v>Retest</x:v>
      </x:c>
      <x:c r="D220" s="63" t="n">
        <x:v>46259.89027777778</x:v>
      </x:c>
      <x:c r="E220" s="58" t="str">
        <x:v>All</x:v>
      </x:c>
      <x:c r="F220" s="58" t="str">
        <x:v>Automated</x:v>
      </x:c>
      <x:c r="G220" s="58" t="str">
        <x:v>Pass</x:v>
      </x:c>
      <x:c r="H220" s="58" t="str">
        <x:v>Linked regressions passed: ERR-008. See Errors for fix-specific evidence.</x:v>
      </x:c>
      <x:c r="I220" s="58" t="str">
        <x:v>ERR-008</x:v>
      </x:c>
      <x:c r="J220" s="58" t="str"/>
    </x:row>
    <x:row r="221" ht="52" customHeight="1">
      <x:c r="A221" s="58" t="str">
        <x:v>RUN-R-074</x:v>
      </x:c>
      <x:c r="B221" s="58" t="str">
        <x:v>RECIPE-001</x:v>
      </x:c>
      <x:c r="C221" s="58" t="str">
        <x:v>Retest</x:v>
      </x:c>
      <x:c r="D221" s="63" t="n">
        <x:v>46259.89027777778</x:v>
      </x:c>
      <x:c r="E221" s="58" t="str">
        <x:v>All</x:v>
      </x:c>
      <x:c r="F221" s="58" t="str">
        <x:v>Automated + browser</x:v>
      </x:c>
      <x:c r="G221" s="58" t="str">
        <x:v>Pass</x:v>
      </x:c>
      <x:c r="H221" s="58" t="str">
        <x:v>Automated coverage passed; live desktop/mobile navigation and safe interaction sweep passed with zero fresh browser warnings/errors.</x:v>
      </x:c>
      <x:c r="I221" s="58" t="str"/>
      <x:c r="J221" s="58" t="str"/>
    </x:row>
    <x:row r="222" ht="52" customHeight="1">
      <x:c r="A222" s="58" t="str">
        <x:v>RUN-R-075</x:v>
      </x:c>
      <x:c r="B222" s="58" t="str">
        <x:v>RECIPE-002</x:v>
      </x:c>
      <x:c r="C222" s="58" t="str">
        <x:v>Retest</x:v>
      </x:c>
      <x:c r="D222" s="63" t="n">
        <x:v>46259.89027777778</x:v>
      </x:c>
      <x:c r="E222" s="58" t="str">
        <x:v>All</x:v>
      </x:c>
      <x:c r="F222" s="58" t="str">
        <x:v>Automated + browser</x:v>
      </x:c>
      <x:c r="G222" s="58" t="str">
        <x:v>Pass</x:v>
      </x:c>
      <x:c r="H222" s="58" t="str">
        <x:v>Automated coverage passed; live desktop/mobile navigation and safe interaction sweep passed with zero fresh browser warnings/errors.</x:v>
      </x:c>
      <x:c r="I222" s="58" t="str"/>
      <x:c r="J222" s="58" t="str"/>
    </x:row>
    <x:row r="223" ht="52" customHeight="1">
      <x:c r="A223" s="58" t="str">
        <x:v>RUN-R-076</x:v>
      </x:c>
      <x:c r="B223" s="58" t="str">
        <x:v>RECIPE-003</x:v>
      </x:c>
      <x:c r="C223" s="58" t="str">
        <x:v>Retest</x:v>
      </x:c>
      <x:c r="D223" s="63" t="n">
        <x:v>46259.89027777778</x:v>
      </x:c>
      <x:c r="E223" s="58" t="str">
        <x:v>All</x:v>
      </x:c>
      <x:c r="F223" s="58" t="str">
        <x:v>Automated + browser</x:v>
      </x:c>
      <x:c r="G223" s="58" t="str">
        <x:v>Pass</x:v>
      </x:c>
      <x:c r="H223" s="58" t="str">
        <x:v>Automated coverage passed; live desktop/mobile navigation and safe interaction sweep passed with zero fresh browser warnings/errors.</x:v>
      </x:c>
      <x:c r="I223" s="58" t="str"/>
      <x:c r="J223" s="58" t="str"/>
    </x:row>
    <x:row r="224" ht="52" customHeight="1">
      <x:c r="A224" s="58" t="str">
        <x:v>RUN-R-077</x:v>
      </x:c>
      <x:c r="B224" s="58" t="str">
        <x:v>RECIPE-004</x:v>
      </x:c>
      <x:c r="C224" s="58" t="str">
        <x:v>Retest</x:v>
      </x:c>
      <x:c r="D224" s="63" t="n">
        <x:v>46259.89027777778</x:v>
      </x:c>
      <x:c r="E224" s="58" t="str">
        <x:v>All</x:v>
      </x:c>
      <x:c r="F224" s="58" t="str">
        <x:v>Browser</x:v>
      </x:c>
      <x:c r="G224" s="58" t="str">
        <x:v>Pass</x:v>
      </x:c>
      <x:c r="H224" s="58" t="str">
        <x:v>Final regression passed: Buff PHP 230/230 (1,832 assertions), server PHP 149/149, frontend 44/44, type-check clean, and production build clean as applicable.</x:v>
      </x:c>
      <x:c r="I224" s="58" t="str"/>
      <x:c r="J224" s="58" t="str"/>
    </x:row>
    <x:row r="225" ht="52" customHeight="1">
      <x:c r="A225" s="58" t="str">
        <x:v>RUN-R-078</x:v>
      </x:c>
      <x:c r="B225" s="58" t="str">
        <x:v>RECIPE-005</x:v>
      </x:c>
      <x:c r="C225" s="58" t="str">
        <x:v>Retest</x:v>
      </x:c>
      <x:c r="D225" s="63" t="n">
        <x:v>46259.89027777778</x:v>
      </x:c>
      <x:c r="E225" s="58" t="str">
        <x:v>All</x:v>
      </x:c>
      <x:c r="F225" s="58" t="str">
        <x:v>Automated + browser</x:v>
      </x:c>
      <x:c r="G225" s="58" t="str">
        <x:v>Pass</x:v>
      </x:c>
      <x:c r="H225" s="58" t="str">
        <x:v>Linked regressions passed: ERR-006, ERR-032. See Errors for fix-specific evidence.</x:v>
      </x:c>
      <x:c r="I225" s="58" t="str">
        <x:v>ERR-006; ERR-032</x:v>
      </x:c>
      <x:c r="J225" s="58" t="str"/>
    </x:row>
    <x:row r="226" ht="52" customHeight="1">
      <x:c r="A226" s="58" t="str">
        <x:v>RUN-R-079</x:v>
      </x:c>
      <x:c r="B226" s="58" t="str">
        <x:v>RECIPE-006</x:v>
      </x:c>
      <x:c r="C226" s="58" t="str">
        <x:v>Retest</x:v>
      </x:c>
      <x:c r="D226" s="63" t="n">
        <x:v>46259.89027777778</x:v>
      </x:c>
      <x:c r="E226" s="58" t="str">
        <x:v>All</x:v>
      </x:c>
      <x:c r="F226" s="58" t="str">
        <x:v>Automated</x:v>
      </x:c>
      <x:c r="G226" s="58" t="str">
        <x:v>Pass</x:v>
      </x:c>
      <x:c r="H226" s="58" t="str">
        <x:v>Linked regressions passed: ERR-007. See Errors for fix-specific evidence.</x:v>
      </x:c>
      <x:c r="I226" s="58" t="str">
        <x:v>ERR-007</x:v>
      </x:c>
      <x:c r="J226" s="58" t="str"/>
    </x:row>
    <x:row r="227" ht="52" customHeight="1">
      <x:c r="A227" s="58" t="str">
        <x:v>RUN-R-080</x:v>
      </x:c>
      <x:c r="B227" s="58" t="str">
        <x:v>RECIPE-007</x:v>
      </x:c>
      <x:c r="C227" s="58" t="str">
        <x:v>Retest</x:v>
      </x:c>
      <x:c r="D227" s="63" t="n">
        <x:v>46259.89027777778</x:v>
      </x:c>
      <x:c r="E227" s="58" t="str">
        <x:v>All</x:v>
      </x:c>
      <x:c r="F227" s="58" t="str">
        <x:v>Automated</x:v>
      </x:c>
      <x:c r="G227" s="58" t="str">
        <x:v>Pass</x:v>
      </x:c>
      <x:c r="H227" s="58" t="str">
        <x:v>Final regression passed: Buff PHP 230/230 (1,832 assertions), server PHP 149/149, frontend 44/44, type-check clean, and production build clean as applicable.</x:v>
      </x:c>
      <x:c r="I227" s="58" t="str"/>
      <x:c r="J227" s="58" t="str"/>
    </x:row>
    <x:row r="228" ht="52" customHeight="1">
      <x:c r="A228" s="58" t="str">
        <x:v>RUN-R-081</x:v>
      </x:c>
      <x:c r="B228" s="58" t="str">
        <x:v>RECIPE-008</x:v>
      </x:c>
      <x:c r="C228" s="58" t="str">
        <x:v>Retest</x:v>
      </x:c>
      <x:c r="D228" s="63" t="n">
        <x:v>46259.89027777778</x:v>
      </x:c>
      <x:c r="E228" s="58" t="str">
        <x:v>All</x:v>
      </x:c>
      <x:c r="F228" s="58" t="str">
        <x:v>Automated + browser</x:v>
      </x:c>
      <x:c r="G228" s="58" t="str">
        <x:v>Pass</x:v>
      </x:c>
      <x:c r="H228" s="58" t="str">
        <x:v>Linked regressions passed: ERR-035. See Errors for fix-specific evidence.</x:v>
      </x:c>
      <x:c r="I228" s="58" t="str">
        <x:v>ERR-035</x:v>
      </x:c>
      <x:c r="J228" s="58" t="str"/>
    </x:row>
    <x:row r="229" ht="52" customHeight="1">
      <x:c r="A229" s="58" t="str">
        <x:v>RUN-R-082</x:v>
      </x:c>
      <x:c r="B229" s="58" t="str">
        <x:v>RECIPE-009</x:v>
      </x:c>
      <x:c r="C229" s="58" t="str">
        <x:v>Retest</x:v>
      </x:c>
      <x:c r="D229" s="63" t="n">
        <x:v>46259.89027777778</x:v>
      </x:c>
      <x:c r="E229" s="58" t="str">
        <x:v>All</x:v>
      </x:c>
      <x:c r="F229" s="58" t="str">
        <x:v>Automated + browser</x:v>
      </x:c>
      <x:c r="G229" s="58" t="str">
        <x:v>Pass</x:v>
      </x:c>
      <x:c r="H229" s="58" t="str">
        <x:v>Linked regressions passed: ERR-014. See Errors for fix-specific evidence.</x:v>
      </x:c>
      <x:c r="I229" s="58" t="str">
        <x:v>ERR-014</x:v>
      </x:c>
      <x:c r="J229" s="58" t="str"/>
    </x:row>
    <x:row r="230" ht="52" customHeight="1">
      <x:c r="A230" s="58" t="str">
        <x:v>RUN-R-083</x:v>
      </x:c>
      <x:c r="B230" s="58" t="str">
        <x:v>WORK-001</x:v>
      </x:c>
      <x:c r="C230" s="58" t="str">
        <x:v>Retest</x:v>
      </x:c>
      <x:c r="D230" s="63" t="n">
        <x:v>46259.89027777778</x:v>
      </x:c>
      <x:c r="E230" s="58" t="str">
        <x:v>All</x:v>
      </x:c>
      <x:c r="F230" s="58" t="str">
        <x:v>Automated + browser</x:v>
      </x:c>
      <x:c r="G230" s="58" t="str">
        <x:v>Pass</x:v>
      </x:c>
      <x:c r="H230" s="58" t="str">
        <x:v>Linked regressions passed: ERR-028. See Errors for fix-specific evidence.</x:v>
      </x:c>
      <x:c r="I230" s="58" t="str">
        <x:v>ERR-028</x:v>
      </x:c>
      <x:c r="J230" s="58" t="str"/>
    </x:row>
    <x:row r="231" ht="52" customHeight="1">
      <x:c r="A231" s="58" t="str">
        <x:v>RUN-R-084</x:v>
      </x:c>
      <x:c r="B231" s="58" t="str">
        <x:v>WEEK-001</x:v>
      </x:c>
      <x:c r="C231" s="58" t="str">
        <x:v>Retest</x:v>
      </x:c>
      <x:c r="D231" s="63" t="n">
        <x:v>46259.89027777778</x:v>
      </x:c>
      <x:c r="E231" s="58" t="str">
        <x:v>All</x:v>
      </x:c>
      <x:c r="F231" s="58" t="str">
        <x:v>Automated + browser</x:v>
      </x:c>
      <x:c r="G231" s="58" t="str">
        <x:v>Pass</x:v>
      </x:c>
      <x:c r="H231" s="58" t="str">
        <x:v>Automated coverage passed; live desktop/mobile navigation and safe interaction sweep passed with zero fresh browser warnings/errors.</x:v>
      </x:c>
      <x:c r="I231" s="58" t="str"/>
      <x:c r="J231" s="58" t="str"/>
    </x:row>
    <x:row r="232" ht="52" customHeight="1">
      <x:c r="A232" s="58" t="str">
        <x:v>RUN-R-085</x:v>
      </x:c>
      <x:c r="B232" s="58" t="str">
        <x:v>WEEK-002</x:v>
      </x:c>
      <x:c r="C232" s="58" t="str">
        <x:v>Retest</x:v>
      </x:c>
      <x:c r="D232" s="63" t="n">
        <x:v>46259.89027777778</x:v>
      </x:c>
      <x:c r="E232" s="58" t="str">
        <x:v>All</x:v>
      </x:c>
      <x:c r="F232" s="58" t="str">
        <x:v>Automated + browser</x:v>
      </x:c>
      <x:c r="G232" s="58" t="str">
        <x:v>Pass</x:v>
      </x:c>
      <x:c r="H232" s="58" t="str">
        <x:v>Linked regressions passed: ERR-004. See Errors for fix-specific evidence.</x:v>
      </x:c>
      <x:c r="I232" s="58" t="str">
        <x:v>ERR-004</x:v>
      </x:c>
      <x:c r="J232" s="58" t="str"/>
    </x:row>
    <x:row r="233" ht="52" customHeight="1">
      <x:c r="A233" s="58" t="str">
        <x:v>RUN-R-086</x:v>
      </x:c>
      <x:c r="B233" s="58" t="str">
        <x:v>WEEK-003</x:v>
      </x:c>
      <x:c r="C233" s="58" t="str">
        <x:v>Retest</x:v>
      </x:c>
      <x:c r="D233" s="63" t="n">
        <x:v>46259.89027777778</x:v>
      </x:c>
      <x:c r="E233" s="58" t="str">
        <x:v>All</x:v>
      </x:c>
      <x:c r="F233" s="58" t="str">
        <x:v>Automated + browser</x:v>
      </x:c>
      <x:c r="G233" s="58" t="str">
        <x:v>Pass</x:v>
      </x:c>
      <x:c r="H233" s="58" t="str">
        <x:v>Automated coverage passed; live desktop/mobile navigation and safe interaction sweep passed with zero fresh browser warnings/errors.</x:v>
      </x:c>
      <x:c r="I233" s="58" t="str"/>
      <x:c r="J233" s="58" t="str"/>
    </x:row>
    <x:row r="234" ht="52" customHeight="1">
      <x:c r="A234" s="58" t="str">
        <x:v>RUN-R-087</x:v>
      </x:c>
      <x:c r="B234" s="58" t="str">
        <x:v>WEEK-004</x:v>
      </x:c>
      <x:c r="C234" s="58" t="str">
        <x:v>Retest</x:v>
      </x:c>
      <x:c r="D234" s="63" t="n">
        <x:v>46259.89027777778</x:v>
      </x:c>
      <x:c r="E234" s="58" t="str">
        <x:v>All</x:v>
      </x:c>
      <x:c r="F234" s="58" t="str">
        <x:v>Automated + browser</x:v>
      </x:c>
      <x:c r="G234" s="58" t="str">
        <x:v>Pass</x:v>
      </x:c>
      <x:c r="H234" s="58" t="str">
        <x:v>Automated coverage passed; live desktop/mobile navigation and safe interaction sweep passed with zero fresh browser warnings/errors.</x:v>
      </x:c>
      <x:c r="I234" s="58" t="str"/>
      <x:c r="J234" s="58" t="str"/>
    </x:row>
    <x:row r="235" ht="52" customHeight="1">
      <x:c r="A235" s="58" t="str">
        <x:v>RUN-R-088</x:v>
      </x:c>
      <x:c r="B235" s="58" t="str">
        <x:v>WEEK-005</x:v>
      </x:c>
      <x:c r="C235" s="58" t="str">
        <x:v>Retest</x:v>
      </x:c>
      <x:c r="D235" s="63" t="n">
        <x:v>46259.89027777778</x:v>
      </x:c>
      <x:c r="E235" s="58" t="str">
        <x:v>All</x:v>
      </x:c>
      <x:c r="F235" s="58" t="str">
        <x:v>Automated + browser</x:v>
      </x:c>
      <x:c r="G235" s="58" t="str">
        <x:v>Pass</x:v>
      </x:c>
      <x:c r="H235" s="58" t="str">
        <x:v>Automated coverage passed; live desktop/mobile navigation and safe interaction sweep passed with zero fresh browser warnings/errors.</x:v>
      </x:c>
      <x:c r="I235" s="58" t="str"/>
      <x:c r="J235" s="58" t="str"/>
    </x:row>
    <x:row r="236" ht="52" customHeight="1">
      <x:c r="A236" s="58" t="str">
        <x:v>RUN-R-089</x:v>
      </x:c>
      <x:c r="B236" s="58" t="str">
        <x:v>MAC-001</x:v>
      </x:c>
      <x:c r="C236" s="58" t="str">
        <x:v>Retest</x:v>
      </x:c>
      <x:c r="D236" s="63" t="n">
        <x:v>46259.89027777778</x:v>
      </x:c>
      <x:c r="E236" s="58" t="str">
        <x:v>All</x:v>
      </x:c>
      <x:c r="F236" s="58" t="str">
        <x:v>Automated + browser</x:v>
      </x:c>
      <x:c r="G236" s="58" t="str">
        <x:v>Pass</x:v>
      </x:c>
      <x:c r="H236" s="58" t="str">
        <x:v>Automated coverage passed; live desktop/mobile navigation and safe interaction sweep passed with zero fresh browser warnings/errors.</x:v>
      </x:c>
      <x:c r="I236" s="58" t="str"/>
      <x:c r="J236" s="58" t="str"/>
    </x:row>
    <x:row r="237" ht="52" customHeight="1">
      <x:c r="A237" s="58" t="str">
        <x:v>RUN-R-090</x:v>
      </x:c>
      <x:c r="B237" s="58" t="str">
        <x:v>MAC-002</x:v>
      </x:c>
      <x:c r="C237" s="58" t="str">
        <x:v>Retest</x:v>
      </x:c>
      <x:c r="D237" s="63" t="n">
        <x:v>46259.89027777778</x:v>
      </x:c>
      <x:c r="E237" s="58" t="str">
        <x:v>All</x:v>
      </x:c>
      <x:c r="F237" s="58" t="str">
        <x:v>Automated</x:v>
      </x:c>
      <x:c r="G237" s="58" t="str">
        <x:v>Pass</x:v>
      </x:c>
      <x:c r="H237" s="58" t="str">
        <x:v>Final regression passed: Buff PHP 230/230 (1,832 assertions), server PHP 149/149, frontend 44/44, type-check clean, and production build clean as applicable.</x:v>
      </x:c>
      <x:c r="I237" s="58" t="str"/>
      <x:c r="J237" s="58" t="str"/>
    </x:row>
    <x:row r="238" ht="52" customHeight="1">
      <x:c r="A238" s="58" t="str">
        <x:v>RUN-R-091</x:v>
      </x:c>
      <x:c r="B238" s="58" t="str">
        <x:v>MAC-003</x:v>
      </x:c>
      <x:c r="C238" s="58" t="str">
        <x:v>Retest</x:v>
      </x:c>
      <x:c r="D238" s="63" t="n">
        <x:v>46259.89027777778</x:v>
      </x:c>
      <x:c r="E238" s="58" t="str">
        <x:v>All</x:v>
      </x:c>
      <x:c r="F238" s="58" t="str">
        <x:v>Automated</x:v>
      </x:c>
      <x:c r="G238" s="58" t="str">
        <x:v>Pass</x:v>
      </x:c>
      <x:c r="H238" s="58" t="str">
        <x:v>Linked regressions passed: ERR-003. See Errors for fix-specific evidence.</x:v>
      </x:c>
      <x:c r="I238" s="58" t="str">
        <x:v>ERR-003</x:v>
      </x:c>
      <x:c r="J238" s="58" t="str"/>
    </x:row>
    <x:row r="239" ht="52" customHeight="1">
      <x:c r="A239" s="58" t="str">
        <x:v>RUN-R-092</x:v>
      </x:c>
      <x:c r="B239" s="58" t="str">
        <x:v>PROG-001</x:v>
      </x:c>
      <x:c r="C239" s="58" t="str">
        <x:v>Retest</x:v>
      </x:c>
      <x:c r="D239" s="63" t="n">
        <x:v>46259.89027777778</x:v>
      </x:c>
      <x:c r="E239" s="58" t="str">
        <x:v>All</x:v>
      </x:c>
      <x:c r="F239" s="58" t="str">
        <x:v>Automated + browser</x:v>
      </x:c>
      <x:c r="G239" s="58" t="str">
        <x:v>Pass</x:v>
      </x:c>
      <x:c r="H239" s="58" t="str">
        <x:v>Automated coverage passed; live desktop/mobile navigation and safe interaction sweep passed with zero fresh browser warnings/errors.</x:v>
      </x:c>
      <x:c r="I239" s="58" t="str"/>
      <x:c r="J239" s="58" t="str"/>
    </x:row>
    <x:row r="240" ht="52" customHeight="1">
      <x:c r="A240" s="58" t="str">
        <x:v>RUN-R-093</x:v>
      </x:c>
      <x:c r="B240" s="58" t="str">
        <x:v>PROG-002</x:v>
      </x:c>
      <x:c r="C240" s="58" t="str">
        <x:v>Retest</x:v>
      </x:c>
      <x:c r="D240" s="63" t="n">
        <x:v>46259.89027777778</x:v>
      </x:c>
      <x:c r="E240" s="58" t="str">
        <x:v>All</x:v>
      </x:c>
      <x:c r="F240" s="58" t="str">
        <x:v>Automated + browser</x:v>
      </x:c>
      <x:c r="G240" s="58" t="str">
        <x:v>Pass</x:v>
      </x:c>
      <x:c r="H240" s="58" t="str">
        <x:v>Automated coverage passed; live desktop/mobile navigation and safe interaction sweep passed with zero fresh browser warnings/errors.</x:v>
      </x:c>
      <x:c r="I240" s="58" t="str"/>
      <x:c r="J240" s="58" t="str"/>
    </x:row>
    <x:row r="241" ht="52" customHeight="1">
      <x:c r="A241" s="58" t="str">
        <x:v>RUN-R-094</x:v>
      </x:c>
      <x:c r="B241" s="58" t="str">
        <x:v>PROG-003</x:v>
      </x:c>
      <x:c r="C241" s="58" t="str">
        <x:v>Retest</x:v>
      </x:c>
      <x:c r="D241" s="63" t="n">
        <x:v>46259.89027777778</x:v>
      </x:c>
      <x:c r="E241" s="58" t="str">
        <x:v>All</x:v>
      </x:c>
      <x:c r="F241" s="58" t="str">
        <x:v>Automated + browser</x:v>
      </x:c>
      <x:c r="G241" s="58" t="str">
        <x:v>Pass</x:v>
      </x:c>
      <x:c r="H241" s="58" t="str">
        <x:v>Automated coverage passed; live desktop/mobile navigation and safe interaction sweep passed with zero fresh browser warnings/errors.</x:v>
      </x:c>
      <x:c r="I241" s="58" t="str"/>
      <x:c r="J241" s="58" t="str"/>
    </x:row>
    <x:row r="242" ht="52" customHeight="1">
      <x:c r="A242" s="58" t="str">
        <x:v>RUN-R-095</x:v>
      </x:c>
      <x:c r="B242" s="58" t="str">
        <x:v>PROG-004</x:v>
      </x:c>
      <x:c r="C242" s="58" t="str">
        <x:v>Retest</x:v>
      </x:c>
      <x:c r="D242" s="63" t="n">
        <x:v>46259.89027777778</x:v>
      </x:c>
      <x:c r="E242" s="58" t="str">
        <x:v>All</x:v>
      </x:c>
      <x:c r="F242" s="58" t="str">
        <x:v>Automated + browser</x:v>
      </x:c>
      <x:c r="G242" s="58" t="str">
        <x:v>Pass</x:v>
      </x:c>
      <x:c r="H242" s="58" t="str">
        <x:v>Automated coverage passed; live desktop/mobile navigation and safe interaction sweep passed with zero fresh browser warnings/errors.</x:v>
      </x:c>
      <x:c r="I242" s="58" t="str"/>
      <x:c r="J242" s="58" t="str"/>
    </x:row>
    <x:row r="243" ht="52" customHeight="1">
      <x:c r="A243" s="58" t="str">
        <x:v>RUN-R-096</x:v>
      </x:c>
      <x:c r="B243" s="58" t="str">
        <x:v>PROG-005</x:v>
      </x:c>
      <x:c r="C243" s="58" t="str">
        <x:v>Retest</x:v>
      </x:c>
      <x:c r="D243" s="63" t="n">
        <x:v>46259.89027777778</x:v>
      </x:c>
      <x:c r="E243" s="58" t="str">
        <x:v>All</x:v>
      </x:c>
      <x:c r="F243" s="58" t="str">
        <x:v>Automated + browser</x:v>
      </x:c>
      <x:c r="G243" s="58" t="str">
        <x:v>Pass</x:v>
      </x:c>
      <x:c r="H243" s="58" t="str">
        <x:v>Automated coverage passed; live desktop/mobile navigation and safe interaction sweep passed with zero fresh browser warnings/errors.</x:v>
      </x:c>
      <x:c r="I243" s="58" t="str"/>
      <x:c r="J243" s="58" t="str"/>
    </x:row>
    <x:row r="244" ht="52" customHeight="1">
      <x:c r="A244" s="58" t="str">
        <x:v>RUN-R-097</x:v>
      </x:c>
      <x:c r="B244" s="58" t="str">
        <x:v>PROG-006</x:v>
      </x:c>
      <x:c r="C244" s="58" t="str">
        <x:v>Retest</x:v>
      </x:c>
      <x:c r="D244" s="63" t="n">
        <x:v>46259.89027777778</x:v>
      </x:c>
      <x:c r="E244" s="58" t="str">
        <x:v>All</x:v>
      </x:c>
      <x:c r="F244" s="58" t="str">
        <x:v>Automated + browser</x:v>
      </x:c>
      <x:c r="G244" s="58" t="str">
        <x:v>Pass</x:v>
      </x:c>
      <x:c r="H244" s="58" t="str">
        <x:v>Automated coverage passed; live desktop/mobile navigation and safe interaction sweep passed with zero fresh browser warnings/errors.</x:v>
      </x:c>
      <x:c r="I244" s="58" t="str"/>
      <x:c r="J244" s="58" t="str"/>
    </x:row>
    <x:row r="245" ht="52" customHeight="1">
      <x:c r="A245" s="58" t="str">
        <x:v>RUN-R-098</x:v>
      </x:c>
      <x:c r="B245" s="58" t="str">
        <x:v>PROG-007</x:v>
      </x:c>
      <x:c r="C245" s="58" t="str">
        <x:v>Retest</x:v>
      </x:c>
      <x:c r="D245" s="63" t="n">
        <x:v>46259.89027777778</x:v>
      </x:c>
      <x:c r="E245" s="58" t="str">
        <x:v>All</x:v>
      </x:c>
      <x:c r="F245" s="58" t="str">
        <x:v>Automated + browser</x:v>
      </x:c>
      <x:c r="G245" s="58" t="str">
        <x:v>Pass</x:v>
      </x:c>
      <x:c r="H245" s="58" t="str">
        <x:v>Linked regressions passed: ERR-016. See Errors for fix-specific evidence.</x:v>
      </x:c>
      <x:c r="I245" s="58" t="str">
        <x:v>ERR-016</x:v>
      </x:c>
      <x:c r="J245" s="58" t="str"/>
    </x:row>
    <x:row r="246" ht="52" customHeight="1">
      <x:c r="A246" s="58" t="str">
        <x:v>RUN-R-099</x:v>
      </x:c>
      <x:c r="B246" s="58" t="str">
        <x:v>PROG-008</x:v>
      </x:c>
      <x:c r="C246" s="58" t="str">
        <x:v>Retest</x:v>
      </x:c>
      <x:c r="D246" s="63" t="n">
        <x:v>46259.89027777778</x:v>
      </x:c>
      <x:c r="E246" s="58" t="str">
        <x:v>All</x:v>
      </x:c>
      <x:c r="F246" s="58" t="str">
        <x:v>Automated + browser</x:v>
      </x:c>
      <x:c r="G246" s="58" t="str">
        <x:v>Pass</x:v>
      </x:c>
      <x:c r="H246" s="58" t="str">
        <x:v>Automated coverage passed; live desktop/mobile navigation and safe interaction sweep passed with zero fresh browser warnings/errors.</x:v>
      </x:c>
      <x:c r="I246" s="58" t="str"/>
      <x:c r="J246" s="58" t="str"/>
    </x:row>
    <x:row r="247" ht="52" customHeight="1">
      <x:c r="A247" s="58" t="str">
        <x:v>RUN-R-100</x:v>
      </x:c>
      <x:c r="B247" s="58" t="str">
        <x:v>PROG-009</x:v>
      </x:c>
      <x:c r="C247" s="58" t="str">
        <x:v>Retest</x:v>
      </x:c>
      <x:c r="D247" s="63" t="n">
        <x:v>46259.89027777778</x:v>
      </x:c>
      <x:c r="E247" s="58" t="str">
        <x:v>All</x:v>
      </x:c>
      <x:c r="F247" s="58" t="str">
        <x:v>Automated + browser</x:v>
      </x:c>
      <x:c r="G247" s="58" t="str">
        <x:v>Pass</x:v>
      </x:c>
      <x:c r="H247" s="58" t="str">
        <x:v>Automated coverage passed; live desktop/mobile navigation and safe interaction sweep passed with zero fresh browser warnings/errors.</x:v>
      </x:c>
      <x:c r="I247" s="58" t="str"/>
      <x:c r="J247" s="58" t="str"/>
    </x:row>
    <x:row r="248" ht="52" customHeight="1">
      <x:c r="A248" s="58" t="str">
        <x:v>RUN-R-101</x:v>
      </x:c>
      <x:c r="B248" s="58" t="str">
        <x:v>PROG-010</x:v>
      </x:c>
      <x:c r="C248" s="58" t="str">
        <x:v>Retest</x:v>
      </x:c>
      <x:c r="D248" s="63" t="n">
        <x:v>46259.89027777778</x:v>
      </x:c>
      <x:c r="E248" s="58" t="str">
        <x:v>All</x:v>
      </x:c>
      <x:c r="F248" s="58" t="str">
        <x:v>Automated + browser</x:v>
      </x:c>
      <x:c r="G248" s="58" t="str">
        <x:v>Pass</x:v>
      </x:c>
      <x:c r="H248" s="58" t="str">
        <x:v>Automated coverage passed; live desktop/mobile navigation and safe interaction sweep passed with zero fresh browser warnings/errors.</x:v>
      </x:c>
      <x:c r="I248" s="58" t="str"/>
      <x:c r="J248" s="58" t="str"/>
    </x:row>
    <x:row r="249" ht="52" customHeight="1">
      <x:c r="A249" s="58" t="str">
        <x:v>RUN-R-102</x:v>
      </x:c>
      <x:c r="B249" s="58" t="str">
        <x:v>PROG-011</x:v>
      </x:c>
      <x:c r="C249" s="58" t="str">
        <x:v>Retest</x:v>
      </x:c>
      <x:c r="D249" s="63" t="n">
        <x:v>46259.89027777778</x:v>
      </x:c>
      <x:c r="E249" s="58" t="str">
        <x:v>All</x:v>
      </x:c>
      <x:c r="F249" s="58" t="str">
        <x:v>Automated + browser</x:v>
      </x:c>
      <x:c r="G249" s="58" t="str">
        <x:v>Pass</x:v>
      </x:c>
      <x:c r="H249" s="58" t="str">
        <x:v>Automated coverage passed; live desktop/mobile navigation and safe interaction sweep passed with zero fresh browser warnings/errors.</x:v>
      </x:c>
      <x:c r="I249" s="58" t="str"/>
      <x:c r="J249" s="58" t="str"/>
    </x:row>
    <x:row r="250" ht="52" customHeight="1">
      <x:c r="A250" s="58" t="str">
        <x:v>RUN-R-103</x:v>
      </x:c>
      <x:c r="B250" s="58" t="str">
        <x:v>PROG-012</x:v>
      </x:c>
      <x:c r="C250" s="58" t="str">
        <x:v>Retest</x:v>
      </x:c>
      <x:c r="D250" s="63" t="n">
        <x:v>46259.89027777778</x:v>
      </x:c>
      <x:c r="E250" s="58" t="str">
        <x:v>All</x:v>
      </x:c>
      <x:c r="F250" s="58" t="str">
        <x:v>Browser + native device</x:v>
      </x:c>
      <x:c r="G250" s="58" t="str">
        <x:v>Pass</x:v>
      </x:c>
      <x:c r="H250" s="58" t="str">
        <x:v>Front and Side captures advanced pose state; post-rebuild Back closed the camera while staying on Progress.</x:v>
      </x:c>
      <x:c r="I250" s="58" t="str">
        <x:v>ERR-022; ERR-023</x:v>
      </x:c>
      <x:c r="J250" s="58" t="str"/>
    </x:row>
    <x:row r="251" ht="52" customHeight="1">
      <x:c r="A251" s="58" t="str">
        <x:v>RUN-R-104</x:v>
      </x:c>
      <x:c r="B251" s="58" t="str">
        <x:v>PROG-013</x:v>
      </x:c>
      <x:c r="C251" s="58" t="str">
        <x:v>Retest</x:v>
      </x:c>
      <x:c r="D251" s="63" t="n">
        <x:v>46259.89027777778</x:v>
      </x:c>
      <x:c r="E251" s="58" t="str">
        <x:v>All</x:v>
      </x:c>
      <x:c r="F251" s="58" t="str">
        <x:v>Browser + native device</x:v>
      </x:c>
      <x:c r="G251" s="58" t="str">
        <x:v>Pass</x:v>
      </x:c>
      <x:c r="H251" s="58" t="str">
        <x:v>The native flip control switched between distinct front and rear camera IDs and remained readable.</x:v>
      </x:c>
      <x:c r="I251" s="58" t="str">
        <x:v>ERR-023</x:v>
      </x:c>
      <x:c r="J251" s="58" t="str"/>
    </x:row>
    <x:row r="252" ht="52" customHeight="1">
      <x:c r="A252" s="58" t="str">
        <x:v>RUN-R-105</x:v>
      </x:c>
      <x:c r="B252" s="58" t="str">
        <x:v>PROG-014</x:v>
      </x:c>
      <x:c r="C252" s="58" t="str">
        <x:v>Retest</x:v>
      </x:c>
      <x:c r="D252" s="63" t="n">
        <x:v>46259.89027777778</x:v>
      </x:c>
      <x:c r="E252" s="58" t="str">
        <x:v>All</x:v>
      </x:c>
      <x:c r="F252" s="58" t="str">
        <x:v>Automated + browser</x:v>
      </x:c>
      <x:c r="G252" s="58" t="str">
        <x:v>Pass</x:v>
      </x:c>
      <x:c r="H252" s="58" t="str">
        <x:v>Automated coverage passed; live desktop/mobile navigation and safe interaction sweep passed with zero fresh browser warnings/errors.</x:v>
      </x:c>
      <x:c r="I252" s="58" t="str"/>
      <x:c r="J252" s="58" t="str"/>
    </x:row>
    <x:row r="253" ht="52" customHeight="1">
      <x:c r="A253" s="58" t="str">
        <x:v>RUN-R-106</x:v>
      </x:c>
      <x:c r="B253" s="58" t="str">
        <x:v>PROG-015</x:v>
      </x:c>
      <x:c r="C253" s="58" t="str">
        <x:v>Retest</x:v>
      </x:c>
      <x:c r="D253" s="63" t="n">
        <x:v>46259.89027777778</x:v>
      </x:c>
      <x:c r="E253" s="58" t="str">
        <x:v>All</x:v>
      </x:c>
      <x:c r="F253" s="58" t="str">
        <x:v>Automated + browser</x:v>
      </x:c>
      <x:c r="G253" s="58" t="str">
        <x:v>Pass</x:v>
      </x:c>
      <x:c r="H253" s="58" t="str">
        <x:v>Automated coverage passed; live desktop/mobile navigation and safe interaction sweep passed with zero fresh browser warnings/errors.</x:v>
      </x:c>
      <x:c r="I253" s="58" t="str"/>
      <x:c r="J253" s="58" t="str"/>
    </x:row>
    <x:row r="254" ht="52" customHeight="1">
      <x:c r="A254" s="58" t="str">
        <x:v>RUN-R-107</x:v>
      </x:c>
      <x:c r="B254" s="58" t="str">
        <x:v>PROG-016</x:v>
      </x:c>
      <x:c r="C254" s="58" t="str">
        <x:v>Retest</x:v>
      </x:c>
      <x:c r="D254" s="63" t="n">
        <x:v>46259.89027777778</x:v>
      </x:c>
      <x:c r="E254" s="58" t="str">
        <x:v>All</x:v>
      </x:c>
      <x:c r="F254" s="58" t="str">
        <x:v>Automated + browser</x:v>
      </x:c>
      <x:c r="G254" s="58" t="str">
        <x:v>Pass</x:v>
      </x:c>
      <x:c r="H254" s="58" t="str">
        <x:v>Automated coverage passed; live desktop/mobile navigation and safe interaction sweep passed with zero fresh browser warnings/errors.</x:v>
      </x:c>
      <x:c r="I254" s="58" t="str"/>
      <x:c r="J254" s="58" t="str"/>
    </x:row>
    <x:row r="255" ht="52" customHeight="1">
      <x:c r="A255" s="58" t="str">
        <x:v>RUN-R-108</x:v>
      </x:c>
      <x:c r="B255" s="58" t="str">
        <x:v>PROG-017</x:v>
      </x:c>
      <x:c r="C255" s="58" t="str">
        <x:v>Retest</x:v>
      </x:c>
      <x:c r="D255" s="63" t="n">
        <x:v>46259.89027777778</x:v>
      </x:c>
      <x:c r="E255" s="58" t="str">
        <x:v>All</x:v>
      </x:c>
      <x:c r="F255" s="58" t="str">
        <x:v>Automated + browser</x:v>
      </x:c>
      <x:c r="G255" s="58" t="str">
        <x:v>Pass</x:v>
      </x:c>
      <x:c r="H255" s="58" t="str">
        <x:v>Linked regressions passed: ERR-011. See Errors for fix-specific evidence.</x:v>
      </x:c>
      <x:c r="I255" s="58" t="str">
        <x:v>ERR-011</x:v>
      </x:c>
      <x:c r="J255" s="58" t="str"/>
    </x:row>
    <x:row r="256" ht="52" customHeight="1">
      <x:c r="A256" s="58" t="str">
        <x:v>RUN-R-109</x:v>
      </x:c>
      <x:c r="B256" s="58" t="str">
        <x:v>PROG-018</x:v>
      </x:c>
      <x:c r="C256" s="58" t="str">
        <x:v>Retest</x:v>
      </x:c>
      <x:c r="D256" s="63" t="n">
        <x:v>46259.89027777778</x:v>
      </x:c>
      <x:c r="E256" s="58" t="str">
        <x:v>All</x:v>
      </x:c>
      <x:c r="F256" s="58" t="str">
        <x:v>Automated + browser</x:v>
      </x:c>
      <x:c r="G256" s="58" t="str">
        <x:v>Pass</x:v>
      </x:c>
      <x:c r="H256" s="58" t="str">
        <x:v>Automated coverage passed; live desktop/mobile navigation and safe interaction sweep passed with zero fresh browser warnings/errors.</x:v>
      </x:c>
      <x:c r="I256" s="58" t="str"/>
      <x:c r="J256" s="58" t="str"/>
    </x:row>
    <x:row r="257" ht="52" customHeight="1">
      <x:c r="A257" s="58" t="str">
        <x:v>RUN-R-110</x:v>
      </x:c>
      <x:c r="B257" s="58" t="str">
        <x:v>PROG-019</x:v>
      </x:c>
      <x:c r="C257" s="58" t="str">
        <x:v>Retest</x:v>
      </x:c>
      <x:c r="D257" s="63" t="n">
        <x:v>46259.89027777778</x:v>
      </x:c>
      <x:c r="E257" s="58" t="str">
        <x:v>All</x:v>
      </x:c>
      <x:c r="F257" s="58" t="str">
        <x:v>Automated + browser</x:v>
      </x:c>
      <x:c r="G257" s="58" t="str">
        <x:v>Pass</x:v>
      </x:c>
      <x:c r="H257" s="58" t="str">
        <x:v>Linked regressions passed: ERR-013. See Errors for fix-specific evidence.</x:v>
      </x:c>
      <x:c r="I257" s="58" t="str">
        <x:v>ERR-013</x:v>
      </x:c>
      <x:c r="J257" s="58" t="str"/>
    </x:row>
    <x:row r="258" ht="52" customHeight="1">
      <x:c r="A258" s="58" t="str">
        <x:v>RUN-R-111</x:v>
      </x:c>
      <x:c r="B258" s="58" t="str">
        <x:v>PROG-020</x:v>
      </x:c>
      <x:c r="C258" s="58" t="str">
        <x:v>Retest</x:v>
      </x:c>
      <x:c r="D258" s="63" t="n">
        <x:v>46259.89027777778</x:v>
      </x:c>
      <x:c r="E258" s="58" t="str">
        <x:v>All</x:v>
      </x:c>
      <x:c r="F258" s="58" t="str">
        <x:v>Automated</x:v>
      </x:c>
      <x:c r="G258" s="58" t="str">
        <x:v>Pass</x:v>
      </x:c>
      <x:c r="H258" s="58" t="str">
        <x:v>Linked regressions passed: ERR-010. See Errors for fix-specific evidence.</x:v>
      </x:c>
      <x:c r="I258" s="58" t="str">
        <x:v>ERR-010</x:v>
      </x:c>
      <x:c r="J258" s="58" t="str"/>
    </x:row>
    <x:row r="259" ht="52" customHeight="1">
      <x:c r="A259" s="58" t="str">
        <x:v>RUN-R-112</x:v>
      </x:c>
      <x:c r="B259" s="58" t="str">
        <x:v>PROG-021</x:v>
      </x:c>
      <x:c r="C259" s="58" t="str">
        <x:v>Retest</x:v>
      </x:c>
      <x:c r="D259" s="63" t="n">
        <x:v>46259.89027777778</x:v>
      </x:c>
      <x:c r="E259" s="58" t="str">
        <x:v>All</x:v>
      </x:c>
      <x:c r="F259" s="58" t="str">
        <x:v>Automated</x:v>
      </x:c>
      <x:c r="G259" s="58" t="str">
        <x:v>Pass</x:v>
      </x:c>
      <x:c r="H259" s="58" t="str">
        <x:v>Linked regressions passed: ERR-012. See Errors for fix-specific evidence.</x:v>
      </x:c>
      <x:c r="I259" s="58" t="str">
        <x:v>ERR-012</x:v>
      </x:c>
      <x:c r="J259" s="58" t="str"/>
    </x:row>
    <x:row r="260" ht="52" customHeight="1">
      <x:c r="A260" s="58" t="str">
        <x:v>RUN-R-113</x:v>
      </x:c>
      <x:c r="B260" s="58" t="str">
        <x:v>SET-001</x:v>
      </x:c>
      <x:c r="C260" s="58" t="str">
        <x:v>Retest</x:v>
      </x:c>
      <x:c r="D260" s="63" t="n">
        <x:v>46259.89027777778</x:v>
      </x:c>
      <x:c r="E260" s="58" t="str">
        <x:v>All</x:v>
      </x:c>
      <x:c r="F260" s="58" t="str">
        <x:v>Automated + browser</x:v>
      </x:c>
      <x:c r="G260" s="58" t="str">
        <x:v>Pass</x:v>
      </x:c>
      <x:c r="H260" s="58" t="str">
        <x:v>Automated coverage passed; live desktop/mobile navigation and safe interaction sweep passed with zero fresh browser warnings/errors.</x:v>
      </x:c>
      <x:c r="I260" s="58" t="str"/>
      <x:c r="J260" s="58" t="str"/>
    </x:row>
    <x:row r="261" ht="52" customHeight="1">
      <x:c r="A261" s="58" t="str">
        <x:v>RUN-R-114</x:v>
      </x:c>
      <x:c r="B261" s="58" t="str">
        <x:v>SET-002</x:v>
      </x:c>
      <x:c r="C261" s="58" t="str">
        <x:v>Retest</x:v>
      </x:c>
      <x:c r="D261" s="63" t="n">
        <x:v>46259.89027777778</x:v>
      </x:c>
      <x:c r="E261" s="58" t="str">
        <x:v>All</x:v>
      </x:c>
      <x:c r="F261" s="58" t="str">
        <x:v>Automated + browser</x:v>
      </x:c>
      <x:c r="G261" s="58" t="str">
        <x:v>Pass</x:v>
      </x:c>
      <x:c r="H261" s="58" t="str">
        <x:v>Automated coverage passed; live desktop/mobile navigation and safe interaction sweep passed with zero fresh browser warnings/errors.</x:v>
      </x:c>
      <x:c r="I261" s="58" t="str"/>
      <x:c r="J261" s="58" t="str"/>
    </x:row>
    <x:row r="262" ht="52" customHeight="1">
      <x:c r="A262" s="58" t="str">
        <x:v>RUN-R-115</x:v>
      </x:c>
      <x:c r="B262" s="58" t="str">
        <x:v>SET-003</x:v>
      </x:c>
      <x:c r="C262" s="58" t="str">
        <x:v>Retest</x:v>
      </x:c>
      <x:c r="D262" s="63" t="n">
        <x:v>46259.89027777778</x:v>
      </x:c>
      <x:c r="E262" s="58" t="str">
        <x:v>All</x:v>
      </x:c>
      <x:c r="F262" s="58" t="str">
        <x:v>Automated + browser</x:v>
      </x:c>
      <x:c r="G262" s="58" t="str">
        <x:v>Pass</x:v>
      </x:c>
      <x:c r="H262" s="58" t="str">
        <x:v>Automated coverage passed; live desktop/mobile navigation and safe interaction sweep passed with zero fresh browser warnings/errors.</x:v>
      </x:c>
      <x:c r="I262" s="58" t="str"/>
      <x:c r="J262" s="58" t="str"/>
    </x:row>
    <x:row r="263" ht="52" customHeight="1">
      <x:c r="A263" s="58" t="str">
        <x:v>RUN-R-116</x:v>
      </x:c>
      <x:c r="B263" s="58" t="str">
        <x:v>SET-004</x:v>
      </x:c>
      <x:c r="C263" s="58" t="str">
        <x:v>Retest</x:v>
      </x:c>
      <x:c r="D263" s="63" t="n">
        <x:v>46259.89027777778</x:v>
      </x:c>
      <x:c r="E263" s="58" t="str">
        <x:v>All</x:v>
      </x:c>
      <x:c r="F263" s="58" t="str">
        <x:v>Automated + browser</x:v>
      </x:c>
      <x:c r="G263" s="58" t="str">
        <x:v>Pass</x:v>
      </x:c>
      <x:c r="H263" s="58" t="str">
        <x:v>Automated coverage passed; live desktop/mobile navigation and safe interaction sweep passed with zero fresh browser warnings/errors.</x:v>
      </x:c>
      <x:c r="I263" s="58" t="str"/>
      <x:c r="J263" s="58" t="str"/>
    </x:row>
    <x:row r="264" ht="52" customHeight="1">
      <x:c r="A264" s="58" t="str">
        <x:v>RUN-R-117</x:v>
      </x:c>
      <x:c r="B264" s="58" t="str">
        <x:v>SET-005</x:v>
      </x:c>
      <x:c r="C264" s="58" t="str">
        <x:v>Retest</x:v>
      </x:c>
      <x:c r="D264" s="63" t="n">
        <x:v>46259.89027777778</x:v>
      </x:c>
      <x:c r="E264" s="58" t="str">
        <x:v>Android</x:v>
      </x:c>
      <x:c r="F264" s="58" t="str">
        <x:v>Automated + native device</x:v>
      </x:c>
      <x:c r="G264" s="58" t="str">
        <x:v>Pass</x:v>
      </x:c>
      <x:c r="H264" s="58" t="str">
        <x:v>Android scheduled and cancelled MealReminderWorker while keeping the UI state aligned.</x:v>
      </x:c>
      <x:c r="I264" s="58" t="str">
        <x:v>ERR-021</x:v>
      </x:c>
      <x:c r="J264" s="58" t="str"/>
    </x:row>
    <x:row r="265" ht="52" customHeight="1">
      <x:c r="A265" s="58" t="str">
        <x:v>RUN-R-118</x:v>
      </x:c>
      <x:c r="B265" s="58" t="str">
        <x:v>SET-006</x:v>
      </x:c>
      <x:c r="C265" s="58" t="str">
        <x:v>Retest</x:v>
      </x:c>
      <x:c r="D265" s="63" t="n">
        <x:v>46259.89027777778</x:v>
      </x:c>
      <x:c r="E265" s="58" t="str">
        <x:v>Android</x:v>
      </x:c>
      <x:c r="F265" s="58" t="str">
        <x:v>Automated</x:v>
      </x:c>
      <x:c r="G265" s="58" t="str">
        <x:v>Pass</x:v>
      </x:c>
      <x:c r="H265" s="58" t="str">
        <x:v>Final regression passed: Buff PHP 230/230 (1,832 assertions), server PHP 149/149, frontend 44/44, type-check clean, and production build clean as applicable.</x:v>
      </x:c>
      <x:c r="I265" s="58" t="str"/>
      <x:c r="J265" s="58" t="str"/>
    </x:row>
    <x:row r="266" ht="52" customHeight="1">
      <x:c r="A266" s="58" t="str">
        <x:v>RUN-R-119</x:v>
      </x:c>
      <x:c r="B266" s="58" t="str">
        <x:v>SET-007</x:v>
      </x:c>
      <x:c r="C266" s="58" t="str">
        <x:v>Retest</x:v>
      </x:c>
      <x:c r="D266" s="63" t="n">
        <x:v>46259.89027777778</x:v>
      </x:c>
      <x:c r="E266" s="58" t="str">
        <x:v>Android</x:v>
      </x:c>
      <x:c r="F266" s="58" t="str">
        <x:v>Automated + native device</x:v>
      </x:c>
      <x:c r="G266" s="58" t="str">
        <x:v>Pass</x:v>
      </x:c>
      <x:c r="H266" s="58" t="str">
        <x:v>Scheduling failure preserved the prior state and the corrected native capability succeeded on retry.</x:v>
      </x:c>
      <x:c r="I266" s="58" t="str">
        <x:v>ERR-005; ERR-021</x:v>
      </x:c>
      <x:c r="J266" s="58" t="str"/>
    </x:row>
    <x:row r="267" ht="52" customHeight="1">
      <x:c r="A267" s="58" t="str">
        <x:v>RUN-R-120</x:v>
      </x:c>
      <x:c r="B267" s="58" t="str">
        <x:v>SET-008</x:v>
      </x:c>
      <x:c r="C267" s="58" t="str">
        <x:v>Retest</x:v>
      </x:c>
      <x:c r="D267" s="63" t="n">
        <x:v>46259.89027777778</x:v>
      </x:c>
      <x:c r="E267" s="58" t="str">
        <x:v>All</x:v>
      </x:c>
      <x:c r="F267" s="58" t="str">
        <x:v>Automated + browser</x:v>
      </x:c>
      <x:c r="G267" s="58" t="str">
        <x:v>Pass</x:v>
      </x:c>
      <x:c r="H267" s="58" t="str">
        <x:v>Automated coverage passed; live desktop/mobile navigation and safe interaction sweep passed with zero fresh browser warnings/errors.</x:v>
      </x:c>
      <x:c r="I267" s="58" t="str"/>
      <x:c r="J267" s="58" t="str"/>
    </x:row>
    <x:row r="268" ht="52" customHeight="1">
      <x:c r="A268" s="58" t="str">
        <x:v>RUN-R-121</x:v>
      </x:c>
      <x:c r="B268" s="58" t="str">
        <x:v>SET-009</x:v>
      </x:c>
      <x:c r="C268" s="58" t="str">
        <x:v>Retest</x:v>
      </x:c>
      <x:c r="D268" s="63" t="n">
        <x:v>46259.89027777778</x:v>
      </x:c>
      <x:c r="E268" s="58" t="str">
        <x:v>All</x:v>
      </x:c>
      <x:c r="F268" s="58" t="str">
        <x:v>Automated + browser</x:v>
      </x:c>
      <x:c r="G268" s="58" t="str">
        <x:v>Pass</x:v>
      </x:c>
      <x:c r="H268" s="58" t="str">
        <x:v>Automated coverage passed; live desktop/mobile navigation and safe interaction sweep passed with zero fresh browser warnings/errors.</x:v>
      </x:c>
      <x:c r="I268" s="58" t="str"/>
      <x:c r="J268" s="58" t="str"/>
    </x:row>
    <x:row r="269" ht="52" customHeight="1">
      <x:c r="A269" s="58" t="str">
        <x:v>RUN-R-122</x:v>
      </x:c>
      <x:c r="B269" s="58" t="str">
        <x:v>SET-010</x:v>
      </x:c>
      <x:c r="C269" s="58" t="str">
        <x:v>Retest</x:v>
      </x:c>
      <x:c r="D269" s="63" t="n">
        <x:v>46259.89027777778</x:v>
      </x:c>
      <x:c r="E269" s="58" t="str">
        <x:v>All</x:v>
      </x:c>
      <x:c r="F269" s="58" t="str">
        <x:v>Automated + browser</x:v>
      </x:c>
      <x:c r="G269" s="58" t="str">
        <x:v>Pass</x:v>
      </x:c>
      <x:c r="H269" s="58" t="str">
        <x:v>Automated coverage passed; live desktop/mobile navigation and safe interaction sweep passed with zero fresh browser warnings/errors.</x:v>
      </x:c>
      <x:c r="I269" s="58" t="str"/>
      <x:c r="J269" s="58" t="str"/>
    </x:row>
    <x:row r="270" ht="52" customHeight="1">
      <x:c r="A270" s="58" t="str">
        <x:v>RUN-R-123</x:v>
      </x:c>
      <x:c r="B270" s="58" t="str">
        <x:v>SET-011</x:v>
      </x:c>
      <x:c r="C270" s="58" t="str">
        <x:v>Retest</x:v>
      </x:c>
      <x:c r="D270" s="63" t="n">
        <x:v>46259.89027777778</x:v>
      </x:c>
      <x:c r="E270" s="58" t="str">
        <x:v>iOS + Android</x:v>
      </x:c>
      <x:c r="F270" s="58" t="str">
        <x:v>Automated + native device</x:v>
      </x:c>
      <x:c r="G270" s="58" t="str">
        <x:v>Pass</x:v>
      </x:c>
      <x:c r="H270" s="58" t="str">
        <x:v>Health Connect passed on Android; iOS showed Apple Health authorization, provider state, and successful sync.</x:v>
      </x:c>
      <x:c r="I270" s="58" t="str">
        <x:v>ERR-030</x:v>
      </x:c>
      <x:c r="J270" s="58" t="str"/>
    </x:row>
    <x:row r="271" ht="52" customHeight="1">
      <x:c r="A271" s="58" t="str">
        <x:v>RUN-R-124</x:v>
      </x:c>
      <x:c r="B271" s="58" t="str">
        <x:v>MCP-001</x:v>
      </x:c>
      <x:c r="C271" s="58" t="str">
        <x:v>Retest</x:v>
      </x:c>
      <x:c r="D271" s="63" t="n">
        <x:v>46259.89027777778</x:v>
      </x:c>
      <x:c r="E271" s="58" t="str">
        <x:v>All</x:v>
      </x:c>
      <x:c r="F271" s="58" t="str">
        <x:v>Automated + browser</x:v>
      </x:c>
      <x:c r="G271" s="58" t="str">
        <x:v>Pass</x:v>
      </x:c>
      <x:c r="H271" s="58" t="str">
        <x:v>Automated coverage passed; live desktop/mobile navigation and safe interaction sweep passed with zero fresh browser warnings/errors.</x:v>
      </x:c>
      <x:c r="I271" s="58" t="str"/>
      <x:c r="J271" s="58" t="str"/>
    </x:row>
    <x:row r="272" ht="52" customHeight="1">
      <x:c r="A272" s="58" t="str">
        <x:v>RUN-R-125</x:v>
      </x:c>
      <x:c r="B272" s="58" t="str">
        <x:v>MCP-002</x:v>
      </x:c>
      <x:c r="C272" s="58" t="str">
        <x:v>Retest</x:v>
      </x:c>
      <x:c r="D272" s="63" t="n">
        <x:v>46259.89027777778</x:v>
      </x:c>
      <x:c r="E272" s="58" t="str">
        <x:v>All</x:v>
      </x:c>
      <x:c r="F272" s="58" t="str">
        <x:v>Automated + browser</x:v>
      </x:c>
      <x:c r="G272" s="58" t="str">
        <x:v>Pass</x:v>
      </x:c>
      <x:c r="H272" s="58" t="str">
        <x:v>Automated coverage passed; live desktop/mobile navigation and safe interaction sweep passed with zero fresh browser warnings/errors.</x:v>
      </x:c>
      <x:c r="I272" s="58" t="str"/>
      <x:c r="J272" s="58" t="str"/>
    </x:row>
    <x:row r="273" ht="52" customHeight="1">
      <x:c r="A273" s="58" t="str">
        <x:v>RUN-R-126</x:v>
      </x:c>
      <x:c r="B273" s="58" t="str">
        <x:v>MCP-003</x:v>
      </x:c>
      <x:c r="C273" s="58" t="str">
        <x:v>Retest</x:v>
      </x:c>
      <x:c r="D273" s="63" t="n">
        <x:v>46259.89027777778</x:v>
      </x:c>
      <x:c r="E273" s="58" t="str">
        <x:v>All</x:v>
      </x:c>
      <x:c r="F273" s="58" t="str">
        <x:v>Automated + browser</x:v>
      </x:c>
      <x:c r="G273" s="58" t="str">
        <x:v>Pass</x:v>
      </x:c>
      <x:c r="H273" s="58" t="str">
        <x:v>Automated coverage passed; live desktop/mobile navigation and safe interaction sweep passed with zero fresh browser warnings/errors.</x:v>
      </x:c>
      <x:c r="I273" s="58" t="str"/>
      <x:c r="J273" s="58" t="str"/>
    </x:row>
    <x:row r="274" ht="52" customHeight="1">
      <x:c r="A274" s="58" t="str">
        <x:v>RUN-R-127</x:v>
      </x:c>
      <x:c r="B274" s="58" t="str">
        <x:v>MCP-004</x:v>
      </x:c>
      <x:c r="C274" s="58" t="str">
        <x:v>Retest</x:v>
      </x:c>
      <x:c r="D274" s="63" t="n">
        <x:v>46259.89027777778</x:v>
      </x:c>
      <x:c r="E274" s="58" t="str">
        <x:v>All</x:v>
      </x:c>
      <x:c r="F274" s="58" t="str">
        <x:v>Automated + browser</x:v>
      </x:c>
      <x:c r="G274" s="58" t="str">
        <x:v>Pass</x:v>
      </x:c>
      <x:c r="H274" s="58" t="str">
        <x:v>Automated coverage passed; live desktop/mobile navigation and safe interaction sweep passed with zero fresh browser warnings/errors.</x:v>
      </x:c>
      <x:c r="I274" s="58" t="str"/>
      <x:c r="J274" s="58" t="str"/>
    </x:row>
    <x:row r="275" ht="52" customHeight="1">
      <x:c r="A275" s="58" t="str">
        <x:v>RUN-R-128</x:v>
      </x:c>
      <x:c r="B275" s="58" t="str">
        <x:v>MCP-005</x:v>
      </x:c>
      <x:c r="C275" s="58" t="str">
        <x:v>Retest</x:v>
      </x:c>
      <x:c r="D275" s="63" t="n">
        <x:v>46259.89027777778</x:v>
      </x:c>
      <x:c r="E275" s="58" t="str">
        <x:v>All</x:v>
      </x:c>
      <x:c r="F275" s="58" t="str">
        <x:v>Automated + browser</x:v>
      </x:c>
      <x:c r="G275" s="58" t="str">
        <x:v>Pass</x:v>
      </x:c>
      <x:c r="H275" s="58" t="str">
        <x:v>Automated coverage passed; live desktop/mobile navigation and safe interaction sweep passed with zero fresh browser warnings/errors.</x:v>
      </x:c>
      <x:c r="I275" s="58" t="str"/>
      <x:c r="J275" s="58" t="str"/>
    </x:row>
    <x:row r="276" ht="52" customHeight="1">
      <x:c r="A276" s="58" t="str">
        <x:v>RUN-R-129</x:v>
      </x:c>
      <x:c r="B276" s="58" t="str">
        <x:v>MCP-006</x:v>
      </x:c>
      <x:c r="C276" s="58" t="str">
        <x:v>Retest</x:v>
      </x:c>
      <x:c r="D276" s="63" t="n">
        <x:v>46259.89027777778</x:v>
      </x:c>
      <x:c r="E276" s="58" t="str">
        <x:v>All</x:v>
      </x:c>
      <x:c r="F276" s="58" t="str">
        <x:v>Automated + browser</x:v>
      </x:c>
      <x:c r="G276" s="58" t="str">
        <x:v>Pass</x:v>
      </x:c>
      <x:c r="H276" s="58" t="str">
        <x:v>Automated coverage passed; live desktop/mobile navigation and safe interaction sweep passed with zero fresh browser warnings/errors.</x:v>
      </x:c>
      <x:c r="I276" s="58" t="str"/>
      <x:c r="J276" s="58" t="str"/>
    </x:row>
    <x:row r="277" ht="52" customHeight="1">
      <x:c r="A277" s="58" t="str">
        <x:v>RUN-R-130</x:v>
      </x:c>
      <x:c r="B277" s="58" t="str">
        <x:v>HEALTH-001</x:v>
      </x:c>
      <x:c r="C277" s="58" t="str">
        <x:v>Retest</x:v>
      </x:c>
      <x:c r="D277" s="63" t="n">
        <x:v>46259.89027777778</x:v>
      </x:c>
      <x:c r="E277" s="58" t="str">
        <x:v>iOS + Android</x:v>
      </x:c>
      <x:c r="F277" s="58" t="str">
        <x:v>Automated</x:v>
      </x:c>
      <x:c r="G277" s="58" t="str">
        <x:v>Pass</x:v>
      </x:c>
      <x:c r="H277" s="58" t="str">
        <x:v>Final regression passed: Buff PHP 230/230 (1,832 assertions), server PHP 149/149, frontend 44/44, type-check clean, and production build clean as applicable.</x:v>
      </x:c>
      <x:c r="I277" s="58" t="str"/>
      <x:c r="J277" s="58" t="str"/>
    </x:row>
    <x:row r="278" ht="52" customHeight="1">
      <x:c r="A278" s="58" t="str">
        <x:v>RUN-R-131</x:v>
      </x:c>
      <x:c r="B278" s="58" t="str">
        <x:v>HEALTH-002</x:v>
      </x:c>
      <x:c r="C278" s="58" t="str">
        <x:v>Retest</x:v>
      </x:c>
      <x:c r="D278" s="63" t="n">
        <x:v>46259.89027777778</x:v>
      </x:c>
      <x:c r="E278" s="58" t="str">
        <x:v>iOS + Android</x:v>
      </x:c>
      <x:c r="F278" s="58" t="str">
        <x:v>Automated + native device</x:v>
      </x:c>
      <x:c r="G278" s="58" t="str">
        <x:v>Pass</x:v>
      </x:c>
      <x:c r="H278" s="58" t="str">
        <x:v>Health Connect permissions passed on Android and Apple Health authorization completed on iOS.</x:v>
      </x:c>
      <x:c r="I278" s="58" t="str">
        <x:v>ERR-030</x:v>
      </x:c>
      <x:c r="J278" s="58" t="str"/>
    </x:row>
    <x:row r="279" ht="52" customHeight="1">
      <x:c r="A279" s="58" t="str">
        <x:v>RUN-R-132</x:v>
      </x:c>
      <x:c r="B279" s="58" t="str">
        <x:v>HEALTH-003</x:v>
      </x:c>
      <x:c r="C279" s="58" t="str">
        <x:v>Retest</x:v>
      </x:c>
      <x:c r="D279" s="63" t="n">
        <x:v>46259.89027777778</x:v>
      </x:c>
      <x:c r="E279" s="58" t="str">
        <x:v>iOS + Android</x:v>
      </x:c>
      <x:c r="F279" s="58" t="str">
        <x:v>Automated + native device</x:v>
      </x:c>
      <x:c r="G279" s="58" t="str">
        <x:v>Pass</x:v>
      </x:c>
      <x:c r="H279" s="58" t="str">
        <x:v>Native imports completed safely on Android and Apple Health sync completed on iOS.</x:v>
      </x:c>
      <x:c r="I279" s="58" t="str"/>
      <x:c r="J279" s="58" t="str"/>
    </x:row>
    <x:row r="280" ht="52" customHeight="1">
      <x:c r="A280" s="58" t="str">
        <x:v>RUN-R-133</x:v>
      </x:c>
      <x:c r="B280" s="58" t="str">
        <x:v>HEALTH-004</x:v>
      </x:c>
      <x:c r="C280" s="58" t="str">
        <x:v>Retest</x:v>
      </x:c>
      <x:c r="D280" s="63" t="n">
        <x:v>46259.89027777778</x:v>
      </x:c>
      <x:c r="E280" s="58" t="str">
        <x:v>iOS + Android</x:v>
      </x:c>
      <x:c r="F280" s="58" t="str">
        <x:v>Automated</x:v>
      </x:c>
      <x:c r="G280" s="58" t="str">
        <x:v>Pass</x:v>
      </x:c>
      <x:c r="H280" s="58" t="str">
        <x:v>Final regression passed: Buff PHP 230/230 (1,832 assertions), server PHP 149/149, frontend 44/44, type-check clean, and production build clean as applicable.</x:v>
      </x:c>
      <x:c r="I280" s="58" t="str"/>
      <x:c r="J280" s="58" t="str"/>
    </x:row>
    <x:row r="281" ht="52" customHeight="1">
      <x:c r="A281" s="58" t="str">
        <x:v>RUN-R-134</x:v>
      </x:c>
      <x:c r="B281" s="58" t="str">
        <x:v>HEALTH-005</x:v>
      </x:c>
      <x:c r="C281" s="58" t="str">
        <x:v>Retest</x:v>
      </x:c>
      <x:c r="D281" s="63" t="n">
        <x:v>46259.89027777778</x:v>
      </x:c>
      <x:c r="E281" s="58" t="str">
        <x:v>iOS + Android</x:v>
      </x:c>
      <x:c r="F281" s="58" t="str">
        <x:v>Automated</x:v>
      </x:c>
      <x:c r="G281" s="58" t="str">
        <x:v>Pass</x:v>
      </x:c>
      <x:c r="H281" s="58" t="str">
        <x:v>Linked regressions passed: ERR-009. See Errors for fix-specific evidence.</x:v>
      </x:c>
      <x:c r="I281" s="58" t="str">
        <x:v>ERR-009</x:v>
      </x:c>
      <x:c r="J281" s="58" t="str"/>
    </x:row>
    <x:row r="282" ht="52" customHeight="1">
      <x:c r="A282" s="58" t="str">
        <x:v>RUN-R-135</x:v>
      </x:c>
      <x:c r="B282" s="58" t="str">
        <x:v>HEALTH-006</x:v>
      </x:c>
      <x:c r="C282" s="58" t="str">
        <x:v>Retest</x:v>
      </x:c>
      <x:c r="D282" s="63" t="n">
        <x:v>46259.89027777778</x:v>
      </x:c>
      <x:c r="E282" s="58" t="str">
        <x:v>iOS + Android</x:v>
      </x:c>
      <x:c r="F282" s="58" t="str">
        <x:v>Automated + native device</x:v>
      </x:c>
      <x:c r="G282" s="58" t="str">
        <x:v>Pass</x:v>
      </x:c>
      <x:c r="H282" s="58" t="str">
        <x:v>Manual Health Connect work queued on Android and Apple Health sync returned successfully on iOS.</x:v>
      </x:c>
      <x:c r="I282" s="58" t="str">
        <x:v>ERR-030</x:v>
      </x:c>
      <x:c r="J282" s="58" t="str"/>
    </x:row>
    <x:row r="283" ht="52" customHeight="1">
      <x:c r="A283" s="58" t="str">
        <x:v>RUN-R-136</x:v>
      </x:c>
      <x:c r="B283" s="58" t="str">
        <x:v>HEALTH-007</x:v>
      </x:c>
      <x:c r="C283" s="58" t="str">
        <x:v>Retest</x:v>
      </x:c>
      <x:c r="D283" s="63" t="n">
        <x:v>46259.89027777778</x:v>
      </x:c>
      <x:c r="E283" s="58" t="str">
        <x:v>iOS + Android</x:v>
      </x:c>
      <x:c r="F283" s="58" t="str">
        <x:v>Automated + native device</x:v>
      </x:c>
      <x:c r="G283" s="58" t="str">
        <x:v>Pass</x:v>
      </x:c>
      <x:c r="H283" s="58" t="str">
        <x:v>Android JobScheduler completed and the iOS background schedule retained automated coverage.</x:v>
      </x:c>
      <x:c r="I283" s="58" t="str"/>
      <x:c r="J283" s="58" t="str"/>
    </x:row>
    <x:row r="284" ht="52" customHeight="1">
      <x:c r="A284" s="58" t="str">
        <x:v>RUN-R-137</x:v>
      </x:c>
      <x:c r="B284" s="58" t="str">
        <x:v>SYNC-001</x:v>
      </x:c>
      <x:c r="C284" s="58" t="str">
        <x:v>Retest</x:v>
      </x:c>
      <x:c r="D284" s="63" t="n">
        <x:v>46259.89027777778</x:v>
      </x:c>
      <x:c r="E284" s="58" t="str">
        <x:v>All</x:v>
      </x:c>
      <x:c r="F284" s="58" t="str">
        <x:v>Automated</x:v>
      </x:c>
      <x:c r="G284" s="58" t="str">
        <x:v>Pass</x:v>
      </x:c>
      <x:c r="H284" s="58" t="str">
        <x:v>Final regression passed: Buff PHP 230/230 (1,832 assertions), server PHP 149/149, frontend 44/44, type-check clean, and production build clean as applicable.</x:v>
      </x:c>
      <x:c r="I284" s="58" t="str"/>
      <x:c r="J284" s="58" t="str"/>
    </x:row>
    <x:row r="285" ht="52" customHeight="1">
      <x:c r="A285" s="58" t="str">
        <x:v>RUN-R-138</x:v>
      </x:c>
      <x:c r="B285" s="58" t="str">
        <x:v>SYNC-002</x:v>
      </x:c>
      <x:c r="C285" s="58" t="str">
        <x:v>Retest</x:v>
      </x:c>
      <x:c r="D285" s="63" t="n">
        <x:v>46259.89027777778</x:v>
      </x:c>
      <x:c r="E285" s="58" t="str">
        <x:v>All</x:v>
      </x:c>
      <x:c r="F285" s="58" t="str">
        <x:v>Automated</x:v>
      </x:c>
      <x:c r="G285" s="58" t="str">
        <x:v>Pass</x:v>
      </x:c>
      <x:c r="H285" s="58" t="str">
        <x:v>Final regression passed: Buff PHP 230/230 (1,832 assertions), server PHP 149/149, frontend 44/44, type-check clean, and production build clean as applicable.</x:v>
      </x:c>
      <x:c r="I285" s="58" t="str"/>
      <x:c r="J285" s="58" t="str"/>
    </x:row>
    <x:row r="286" ht="52" customHeight="1">
      <x:c r="A286" s="58" t="str">
        <x:v>RUN-R-139</x:v>
      </x:c>
      <x:c r="B286" s="58" t="str">
        <x:v>SYNC-003</x:v>
      </x:c>
      <x:c r="C286" s="58" t="str">
        <x:v>Retest</x:v>
      </x:c>
      <x:c r="D286" s="63" t="n">
        <x:v>46259.89027777778</x:v>
      </x:c>
      <x:c r="E286" s="58" t="str">
        <x:v>All</x:v>
      </x:c>
      <x:c r="F286" s="58" t="str">
        <x:v>Automated</x:v>
      </x:c>
      <x:c r="G286" s="58" t="str">
        <x:v>Pass</x:v>
      </x:c>
      <x:c r="H286" s="58" t="str">
        <x:v>Linked regressions passed: ERR-010. See Errors for fix-specific evidence.</x:v>
      </x:c>
      <x:c r="I286" s="58" t="str">
        <x:v>ERR-010</x:v>
      </x:c>
      <x:c r="J286" s="58" t="str"/>
    </x:row>
    <x:row r="287" ht="52" customHeight="1">
      <x:c r="A287" s="58" t="str">
        <x:v>RUN-R-140</x:v>
      </x:c>
      <x:c r="B287" s="58" t="str">
        <x:v>SYNC-004</x:v>
      </x:c>
      <x:c r="C287" s="58" t="str">
        <x:v>Retest</x:v>
      </x:c>
      <x:c r="D287" s="63" t="n">
        <x:v>46259.89027777778</x:v>
      </x:c>
      <x:c r="E287" s="58" t="str">
        <x:v>All</x:v>
      </x:c>
      <x:c r="F287" s="58" t="str">
        <x:v>Automated</x:v>
      </x:c>
      <x:c r="G287" s="58" t="str">
        <x:v>Pass</x:v>
      </x:c>
      <x:c r="H287" s="58" t="str">
        <x:v>Final regression passed: Buff PHP 230/230 (1,832 assertions), server PHP 149/149, frontend 44/44, type-check clean, and production build clean as applicable.</x:v>
      </x:c>
      <x:c r="I287" s="58" t="str"/>
      <x:c r="J287" s="58" t="str"/>
    </x:row>
    <x:row r="288" ht="52" customHeight="1">
      <x:c r="A288" s="58" t="str">
        <x:v>RUN-R-141</x:v>
      </x:c>
      <x:c r="B288" s="58" t="str">
        <x:v>SYNC-005</x:v>
      </x:c>
      <x:c r="C288" s="58" t="str">
        <x:v>Retest</x:v>
      </x:c>
      <x:c r="D288" s="63" t="n">
        <x:v>46259.89027777778</x:v>
      </x:c>
      <x:c r="E288" s="58" t="str">
        <x:v>All</x:v>
      </x:c>
      <x:c r="F288" s="58" t="str">
        <x:v>Automated</x:v>
      </x:c>
      <x:c r="G288" s="58" t="str">
        <x:v>Pass</x:v>
      </x:c>
      <x:c r="H288" s="58" t="str">
        <x:v>Final regression passed: Buff PHP 230/230 (1,832 assertions), server PHP 149/149, frontend 44/44, type-check clean, and production build clean as applicable.</x:v>
      </x:c>
      <x:c r="I288" s="58" t="str"/>
      <x:c r="J288" s="58" t="str"/>
    </x:row>
    <x:row r="289" ht="52" customHeight="1">
      <x:c r="A289" s="58" t="str">
        <x:v>RUN-R-142</x:v>
      </x:c>
      <x:c r="B289" s="58" t="str">
        <x:v>SYNC-006</x:v>
      </x:c>
      <x:c r="C289" s="58" t="str">
        <x:v>Retest</x:v>
      </x:c>
      <x:c r="D289" s="63" t="n">
        <x:v>46259.89027777778</x:v>
      </x:c>
      <x:c r="E289" s="58" t="str">
        <x:v>All</x:v>
      </x:c>
      <x:c r="F289" s="58" t="str">
        <x:v>Automated</x:v>
      </x:c>
      <x:c r="G289" s="58" t="str">
        <x:v>Pass</x:v>
      </x:c>
      <x:c r="H289" s="58" t="str">
        <x:v>Final regression passed: Buff PHP 230/230 (1,832 assertions), server PHP 149/149, frontend 44/44, type-check clean, and production build clean as applicable.</x:v>
      </x:c>
      <x:c r="I289" s="58" t="str"/>
      <x:c r="J289" s="58" t="str"/>
    </x:row>
    <x:row r="290" ht="52" customHeight="1">
      <x:c r="A290" s="58" t="str">
        <x:v>RUN-R-143</x:v>
      </x:c>
      <x:c r="B290" s="58" t="str">
        <x:v>SYNC-007</x:v>
      </x:c>
      <x:c r="C290" s="58" t="str">
        <x:v>Retest</x:v>
      </x:c>
      <x:c r="D290" s="63" t="n">
        <x:v>46259.89027777778</x:v>
      </x:c>
      <x:c r="E290" s="58" t="str">
        <x:v>iOS + Android</x:v>
      </x:c>
      <x:c r="F290" s="58" t="str">
        <x:v>Automated</x:v>
      </x:c>
      <x:c r="G290" s="58" t="str">
        <x:v>Pass</x:v>
      </x:c>
      <x:c r="H290" s="58" t="str">
        <x:v>Final regression passed: Buff PHP 230/230 (1,832 assertions), server PHP 149/149, frontend 44/44, type-check clean, and production build clean as applicable.</x:v>
      </x:c>
      <x:c r="I290" s="58" t="str"/>
      <x:c r="J290" s="58" t="str"/>
    </x:row>
    <x:row r="291" ht="52" customHeight="1">
      <x:c r="A291" s="58" t="str">
        <x:v>RUN-IOS-001</x:v>
      </x:c>
      <x:c r="B291" s="58" t="str">
        <x:v>APP-001</x:v>
      </x:c>
      <x:c r="C291" s="58" t="str">
        <x:v>iOS Retest</x:v>
      </x:c>
      <x:c r="D291" s="63" t="n">
        <x:v>46260.447916666664</x:v>
      </x:c>
      <x:c r="E291" s="58" t="str">
        <x:v>iOS</x:v>
      </x:c>
      <x:c r="F291" s="58" t="str">
        <x:v>Automated + iOS simulator</x:v>
      </x:c>
      <x:c r="G291" s="58" t="str">
        <x:v>Pass</x:v>
      </x:c>
      <x:c r="H291" s="58" t="str">
        <x:v>The rebuilt iOS account shell loaded its light and dark artwork through /_assets; ERR-025 passed.</x:v>
      </x:c>
      <x:c r="I291" s="58" t="str">
        <x:v>ERR-017; ERR-018; ERR-019; ERR-025; ERR-036</x:v>
      </x:c>
      <x:c r="J291" s="58" t="str"/>
    </x:row>
    <x:row r="292" ht="52" customHeight="1">
      <x:c r="A292" s="58" t="str">
        <x:v>RUN-IOS-002</x:v>
      </x:c>
      <x:c r="B292" s="58" t="str">
        <x:v>APP-002</x:v>
      </x:c>
      <x:c r="C292" s="58" t="str">
        <x:v>iOS Retest</x:v>
      </x:c>
      <x:c r="D292" s="63" t="n">
        <x:v>46260.447916666664</x:v>
      </x:c>
      <x:c r="E292" s="58" t="str">
        <x:v>iOS</x:v>
      </x:c>
      <x:c r="F292" s="58" t="str">
        <x:v>Automated + iOS simulator</x:v>
      </x:c>
      <x:c r="G292" s="58" t="str">
        <x:v>Pass</x:v>
      </x:c>
      <x:c r="H292" s="58" t="str">
        <x:v>Shared final regression passed; no iOS-specific divergence was present for this behavior.</x:v>
      </x:c>
      <x:c r="I292" s="58" t="str"/>
      <x:c r="J292" s="58" t="str"/>
    </x:row>
    <x:row r="293" ht="52" customHeight="1">
      <x:c r="A293" s="58" t="str">
        <x:v>RUN-IOS-003</x:v>
      </x:c>
      <x:c r="B293" s="58" t="str">
        <x:v>APP-003</x:v>
      </x:c>
      <x:c r="C293" s="58" t="str">
        <x:v>iOS Retest</x:v>
      </x:c>
      <x:c r="D293" s="63" t="n">
        <x:v>46260.447916666664</x:v>
      </x:c>
      <x:c r="E293" s="58" t="str">
        <x:v>iOS</x:v>
      </x:c>
      <x:c r="F293" s="58" t="str">
        <x:v>Automated + iOS simulator</x:v>
      </x:c>
      <x:c r="G293" s="58" t="str">
        <x:v>Pass</x:v>
      </x:c>
      <x:c r="H293" s="58" t="str">
        <x:v>The Add launcher and all dated modes passed; generated iOS quick actions route through the same deep-link handler.</x:v>
      </x:c>
      <x:c r="I293" s="58" t="str">
        <x:v>ERR-020; ERR-029</x:v>
      </x:c>
      <x:c r="J293" s="58" t="str"/>
    </x:row>
    <x:row r="294" ht="52" customHeight="1">
      <x:c r="A294" s="58" t="str">
        <x:v>RUN-IOS-004</x:v>
      </x:c>
      <x:c r="B294" s="58" t="str">
        <x:v>APP-004</x:v>
      </x:c>
      <x:c r="C294" s="58" t="str">
        <x:v>iOS Retest</x:v>
      </x:c>
      <x:c r="D294" s="63" t="n">
        <x:v>46260.447916666664</x:v>
      </x:c>
      <x:c r="E294" s="58" t="str">
        <x:v>iOS</x:v>
      </x:c>
      <x:c r="F294" s="58" t="str">
        <x:v>Platform applicability review</x:v>
      </x:c>
      <x:c r="G294" s="58" t="str">
        <x:v>Not applicable</x:v>
      </x:c>
      <x:c r="H294" s="58" t="str">
        <x:v>Android-only behavior; correctly omitted from the iOS build.</x:v>
      </x:c>
      <x:c r="I294" s="58" t="str">
        <x:v>ERR-022</x:v>
      </x:c>
      <x:c r="J294" s="58" t="str">
        <x:v>Covered in the completed Android run; not shipped on iOS.</x:v>
      </x:c>
    </x:row>
    <x:row r="295" ht="52" customHeight="1">
      <x:c r="A295" s="58" t="str">
        <x:v>RUN-IOS-005</x:v>
      </x:c>
      <x:c r="B295" s="58" t="str">
        <x:v>APP-005</x:v>
      </x:c>
      <x:c r="C295" s="58" t="str">
        <x:v>iOS Retest</x:v>
      </x:c>
      <x:c r="D295" s="63" t="n">
        <x:v>46260.447916666664</x:v>
      </x:c>
      <x:c r="E295" s="58" t="str">
        <x:v>iOS</x:v>
      </x:c>
      <x:c r="F295" s="58" t="str">
        <x:v>Automated + iOS simulator</x:v>
      </x:c>
      <x:c r="G295" s="58" t="str">
        <x:v>Pass</x:v>
      </x:c>
      <x:c r="H295" s="58" t="str">
        <x:v>Shared automated coverage passed and the applicable iOS route or safe interaction was exercised without fresh errors.</x:v>
      </x:c>
      <x:c r="I295" s="58" t="str"/>
      <x:c r="J295" s="58" t="str"/>
    </x:row>
    <x:row r="296" ht="52" customHeight="1">
      <x:c r="A296" s="58" t="str">
        <x:v>RUN-IOS-006</x:v>
      </x:c>
      <x:c r="B296" s="58" t="str">
        <x:v>APP-006</x:v>
      </x:c>
      <x:c r="C296" s="58" t="str">
        <x:v>iOS Retest</x:v>
      </x:c>
      <x:c r="D296" s="63" t="n">
        <x:v>46260.447916666664</x:v>
      </x:c>
      <x:c r="E296" s="58" t="str">
        <x:v>iOS</x:v>
      </x:c>
      <x:c r="F296" s="58" t="str">
        <x:v>Automated + iOS simulator</x:v>
      </x:c>
      <x:c r="G296" s="58" t="str">
        <x:v>Pass</x:v>
      </x:c>
      <x:c r="H296" s="58" t="str">
        <x:v>Shared automated coverage passed and the applicable iOS route or safe interaction was exercised without fresh errors.</x:v>
      </x:c>
      <x:c r="I296" s="58" t="str"/>
      <x:c r="J296" s="58" t="str"/>
    </x:row>
    <x:row r="297" ht="52" customHeight="1">
      <x:c r="A297" s="58" t="str">
        <x:v>RUN-IOS-007</x:v>
      </x:c>
      <x:c r="B297" s="58" t="str">
        <x:v>APP-007</x:v>
      </x:c>
      <x:c r="C297" s="58" t="str">
        <x:v>iOS Retest</x:v>
      </x:c>
      <x:c r="D297" s="63" t="n">
        <x:v>46260.447916666664</x:v>
      </x:c>
      <x:c r="E297" s="58" t="str">
        <x:v>iOS</x:v>
      </x:c>
      <x:c r="F297" s="58" t="str">
        <x:v>Automated + iOS simulator</x:v>
      </x:c>
      <x:c r="G297" s="58" t="str">
        <x:v>Pass</x:v>
      </x:c>
      <x:c r="H297" s="58" t="str">
        <x:v>Shared final regression passed; no iOS-specific divergence was present for this behavior.</x:v>
      </x:c>
      <x:c r="I297" s="58" t="str"/>
      <x:c r="J297" s="58" t="str"/>
    </x:row>
    <x:row r="298" ht="52" customHeight="1">
      <x:c r="A298" s="58" t="str">
        <x:v>RUN-IOS-008</x:v>
      </x:c>
      <x:c r="B298" s="58" t="str">
        <x:v>APP-008</x:v>
      </x:c>
      <x:c r="C298" s="58" t="str">
        <x:v>iOS Retest</x:v>
      </x:c>
      <x:c r="D298" s="63" t="n">
        <x:v>46260.447916666664</x:v>
      </x:c>
      <x:c r="E298" s="58" t="str">
        <x:v>iOS</x:v>
      </x:c>
      <x:c r="F298" s="58" t="str">
        <x:v>Automated + iOS simulator</x:v>
      </x:c>
      <x:c r="G298" s="58" t="str">
        <x:v>Pass</x:v>
      </x:c>
      <x:c r="H298" s="58" t="str">
        <x:v>Shared final regression passed; no iOS-specific divergence was present for this behavior.</x:v>
      </x:c>
      <x:c r="I298" s="58" t="str"/>
      <x:c r="J298" s="58" t="str"/>
    </x:row>
    <x:row r="299" ht="52" customHeight="1">
      <x:c r="A299" s="58" t="str">
        <x:v>RUN-IOS-009</x:v>
      </x:c>
      <x:c r="B299" s="58" t="str">
        <x:v>APP-009</x:v>
      </x:c>
      <x:c r="C299" s="58" t="str">
        <x:v>iOS Retest</x:v>
      </x:c>
      <x:c r="D299" s="63" t="n">
        <x:v>46260.447916666664</x:v>
      </x:c>
      <x:c r="E299" s="58" t="str">
        <x:v>iOS</x:v>
      </x:c>
      <x:c r="F299" s="58" t="str">
        <x:v>Automated + iOS simulator</x:v>
      </x:c>
      <x:c r="G299" s="58" t="str">
        <x:v>Pass</x:v>
      </x:c>
      <x:c r="H299" s="58" t="str">
        <x:v>LLDB confirmed portrait interface orientation, 402×874 app bounds, and the portrait-only supported mask after frame rotation.</x:v>
      </x:c>
      <x:c r="I299" s="58" t="str">
        <x:v>ERR-026</x:v>
      </x:c>
      <x:c r="J299" s="58" t="str"/>
    </x:row>
    <x:row r="300" ht="52" customHeight="1">
      <x:c r="A300" s="58" t="str">
        <x:v>RUN-IOS-010</x:v>
      </x:c>
      <x:c r="B300" s="58" t="str">
        <x:v>APP-010</x:v>
      </x:c>
      <x:c r="C300" s="58" t="str">
        <x:v>iOS Retest</x:v>
      </x:c>
      <x:c r="D300" s="63" t="n">
        <x:v>46260.447916666664</x:v>
      </x:c>
      <x:c r="E300" s="58" t="str">
        <x:v>iOS</x:v>
      </x:c>
      <x:c r="F300" s="58" t="str">
        <x:v>Automated + iOS simulator</x:v>
      </x:c>
      <x:c r="G300" s="58" t="str">
        <x:v>Pass</x:v>
      </x:c>
      <x:c r="H300" s="58" t="str">
        <x:v>The iOS pull gesture displayed UIRefreshControl, reloaded the WKWebView, and ended cleanly.</x:v>
      </x:c>
      <x:c r="I300" s="58" t="str">
        <x:v>ERR-027</x:v>
      </x:c>
      <x:c r="J300" s="58" t="str"/>
    </x:row>
    <x:row r="301" ht="52" customHeight="1">
      <x:c r="A301" s="58" t="str">
        <x:v>RUN-IOS-011</x:v>
      </x:c>
      <x:c r="B301" s="58" t="str">
        <x:v>AUTH-001</x:v>
      </x:c>
      <x:c r="C301" s="58" t="str">
        <x:v>iOS Retest</x:v>
      </x:c>
      <x:c r="D301" s="63" t="n">
        <x:v>46260.447916666664</x:v>
      </x:c>
      <x:c r="E301" s="58" t="str">
        <x:v>iOS</x:v>
      </x:c>
      <x:c r="F301" s="58" t="str">
        <x:v>Automated + iOS simulator</x:v>
      </x:c>
      <x:c r="G301" s="58" t="str">
        <x:v>Pass</x:v>
      </x:c>
      <x:c r="H301" s="58" t="str">
        <x:v>Linked regressions passed on iOS or in the shared automated suite: ERR-015.</x:v>
      </x:c>
      <x:c r="I301" s="58" t="str">
        <x:v>ERR-015</x:v>
      </x:c>
      <x:c r="J301" s="58" t="str"/>
    </x:row>
    <x:row r="302" ht="52" customHeight="1">
      <x:c r="A302" s="58" t="str">
        <x:v>RUN-IOS-012</x:v>
      </x:c>
      <x:c r="B302" s="58" t="str">
        <x:v>AUTH-002</x:v>
      </x:c>
      <x:c r="C302" s="58" t="str">
        <x:v>iOS Retest</x:v>
      </x:c>
      <x:c r="D302" s="63" t="n">
        <x:v>46260.447916666664</x:v>
      </x:c>
      <x:c r="E302" s="58" t="str">
        <x:v>iOS</x:v>
      </x:c>
      <x:c r="F302" s="58" t="str">
        <x:v>Automated + iOS simulator</x:v>
      </x:c>
      <x:c r="G302" s="58" t="str">
        <x:v>Pass</x:v>
      </x:c>
      <x:c r="H302" s="58" t="str">
        <x:v>Shared final regression passed; no iOS-specific divergence was present for this behavior.</x:v>
      </x:c>
      <x:c r="I302" s="58" t="str"/>
      <x:c r="J302" s="58" t="str"/>
    </x:row>
    <x:row r="303" ht="52" customHeight="1">
      <x:c r="A303" s="58" t="str">
        <x:v>RUN-IOS-013</x:v>
      </x:c>
      <x:c r="B303" s="58" t="str">
        <x:v>AUTH-003</x:v>
      </x:c>
      <x:c r="C303" s="58" t="str">
        <x:v>iOS Retest</x:v>
      </x:c>
      <x:c r="D303" s="63" t="n">
        <x:v>46260.447916666664</x:v>
      </x:c>
      <x:c r="E303" s="58" t="str">
        <x:v>iOS</x:v>
      </x:c>
      <x:c r="F303" s="58" t="str">
        <x:v>Automated + iOS simulator</x:v>
      </x:c>
      <x:c r="G303" s="58" t="str">
        <x:v>Pass</x:v>
      </x:c>
      <x:c r="H303" s="58" t="str">
        <x:v>Shared automated coverage passed and the applicable iOS route or safe interaction was exercised without fresh errors.</x:v>
      </x:c>
      <x:c r="I303" s="58" t="str"/>
      <x:c r="J303" s="58" t="str"/>
    </x:row>
    <x:row r="304" ht="52" customHeight="1">
      <x:c r="A304" s="58" t="str">
        <x:v>RUN-IOS-014</x:v>
      </x:c>
      <x:c r="B304" s="58" t="str">
        <x:v>AUTH-004</x:v>
      </x:c>
      <x:c r="C304" s="58" t="str">
        <x:v>iOS Retest</x:v>
      </x:c>
      <x:c r="D304" s="63" t="n">
        <x:v>46260.447916666664</x:v>
      </x:c>
      <x:c r="E304" s="58" t="str">
        <x:v>iOS</x:v>
      </x:c>
      <x:c r="F304" s="58" t="str">
        <x:v>Automated + iOS simulator</x:v>
      </x:c>
      <x:c r="G304" s="58" t="str">
        <x:v>Pass</x:v>
      </x:c>
      <x:c r="H304" s="58" t="str">
        <x:v>Shared automated coverage passed and the applicable iOS route or safe interaction was exercised without fresh errors.</x:v>
      </x:c>
      <x:c r="I304" s="58" t="str"/>
      <x:c r="J304" s="58" t="str"/>
    </x:row>
    <x:row r="305" ht="52" customHeight="1">
      <x:c r="A305" s="58" t="str">
        <x:v>RUN-IOS-015</x:v>
      </x:c>
      <x:c r="B305" s="58" t="str">
        <x:v>AUTH-005</x:v>
      </x:c>
      <x:c r="C305" s="58" t="str">
        <x:v>iOS Retest</x:v>
      </x:c>
      <x:c r="D305" s="63" t="n">
        <x:v>46260.447916666664</x:v>
      </x:c>
      <x:c r="E305" s="58" t="str">
        <x:v>iOS</x:v>
      </x:c>
      <x:c r="F305" s="58" t="str">
        <x:v>Automated + iOS simulator</x:v>
      </x:c>
      <x:c r="G305" s="58" t="str">
        <x:v>Pass</x:v>
      </x:c>
      <x:c r="H305" s="58" t="str">
        <x:v>Shared automated coverage passed and the applicable iOS route or safe interaction was exercised without fresh errors.</x:v>
      </x:c>
      <x:c r="I305" s="58" t="str"/>
      <x:c r="J305" s="58" t="str"/>
    </x:row>
    <x:row r="306" ht="52" customHeight="1">
      <x:c r="A306" s="58" t="str">
        <x:v>RUN-IOS-016</x:v>
      </x:c>
      <x:c r="B306" s="58" t="str">
        <x:v>AUTH-006</x:v>
      </x:c>
      <x:c r="C306" s="58" t="str">
        <x:v>iOS Retest</x:v>
      </x:c>
      <x:c r="D306" s="63" t="n">
        <x:v>46260.447916666664</x:v>
      </x:c>
      <x:c r="E306" s="58" t="str">
        <x:v>iOS</x:v>
      </x:c>
      <x:c r="F306" s="58" t="str">
        <x:v>Automated + iOS simulator</x:v>
      </x:c>
      <x:c r="G306" s="58" t="str">
        <x:v>Pass</x:v>
      </x:c>
      <x:c r="H306" s="58" t="str">
        <x:v>Shared final regression passed; no iOS-specific divergence was present for this behavior.</x:v>
      </x:c>
      <x:c r="I306" s="58" t="str"/>
      <x:c r="J306" s="58" t="str"/>
    </x:row>
    <x:row r="307" ht="52" customHeight="1">
      <x:c r="A307" s="58" t="str">
        <x:v>RUN-IOS-017</x:v>
      </x:c>
      <x:c r="B307" s="58" t="str">
        <x:v>AUTH-007</x:v>
      </x:c>
      <x:c r="C307" s="58" t="str">
        <x:v>iOS Retest</x:v>
      </x:c>
      <x:c r="D307" s="63" t="n">
        <x:v>46260.447916666664</x:v>
      </x:c>
      <x:c r="E307" s="58" t="str">
        <x:v>iOS</x:v>
      </x:c>
      <x:c r="F307" s="58" t="str">
        <x:v>Automated + iOS simulator</x:v>
      </x:c>
      <x:c r="G307" s="58" t="str">
        <x:v>Pass</x:v>
      </x:c>
      <x:c r="H307" s="58" t="str">
        <x:v>Shared automated coverage passed and the applicable iOS route or safe interaction was exercised without fresh errors.</x:v>
      </x:c>
      <x:c r="I307" s="58" t="str"/>
      <x:c r="J307" s="58" t="str"/>
    </x:row>
    <x:row r="308" ht="52" customHeight="1">
      <x:c r="A308" s="58" t="str">
        <x:v>RUN-IOS-018</x:v>
      </x:c>
      <x:c r="B308" s="58" t="str">
        <x:v>AUTH-008</x:v>
      </x:c>
      <x:c r="C308" s="58" t="str">
        <x:v>iOS Retest</x:v>
      </x:c>
      <x:c r="D308" s="63" t="n">
        <x:v>46260.447916666664</x:v>
      </x:c>
      <x:c r="E308" s="58" t="str">
        <x:v>iOS</x:v>
      </x:c>
      <x:c r="F308" s="58" t="str">
        <x:v>Automated + iOS simulator</x:v>
      </x:c>
      <x:c r="G308" s="58" t="str">
        <x:v>Pass</x:v>
      </x:c>
      <x:c r="H308" s="58" t="str">
        <x:v>The Apple option rendered only on iOS and its native OAuth callback remains covered automatically.</x:v>
      </x:c>
      <x:c r="I308" s="58" t="str"/>
      <x:c r="J308" s="58" t="str"/>
    </x:row>
    <x:row r="309" ht="52" customHeight="1">
      <x:c r="A309" s="58" t="str">
        <x:v>RUN-IOS-019</x:v>
      </x:c>
      <x:c r="B309" s="58" t="str">
        <x:v>AUTH-009</x:v>
      </x:c>
      <x:c r="C309" s="58" t="str">
        <x:v>iOS Retest</x:v>
      </x:c>
      <x:c r="D309" s="63" t="n">
        <x:v>46260.447916666664</x:v>
      </x:c>
      <x:c r="E309" s="58" t="str">
        <x:v>iOS</x:v>
      </x:c>
      <x:c r="F309" s="58" t="str">
        <x:v>Automated + iOS simulator</x:v>
      </x:c>
      <x:c r="G309" s="58" t="str">
        <x:v>Pass</x:v>
      </x:c>
      <x:c r="H309" s="58" t="str">
        <x:v>Linked regressions passed on iOS or in the shared automated suite: ERR-001.</x:v>
      </x:c>
      <x:c r="I309" s="58" t="str">
        <x:v>ERR-001</x:v>
      </x:c>
      <x:c r="J309" s="58" t="str"/>
    </x:row>
    <x:row r="310" ht="52" customHeight="1">
      <x:c r="A310" s="58" t="str">
        <x:v>RUN-IOS-020</x:v>
      </x:c>
      <x:c r="B310" s="58" t="str">
        <x:v>AUTH-010</x:v>
      </x:c>
      <x:c r="C310" s="58" t="str">
        <x:v>iOS Retest</x:v>
      </x:c>
      <x:c r="D310" s="63" t="n">
        <x:v>46260.447916666664</x:v>
      </x:c>
      <x:c r="E310" s="58" t="str">
        <x:v>iOS</x:v>
      </x:c>
      <x:c r="F310" s="58" t="str">
        <x:v>Automated + iOS simulator</x:v>
      </x:c>
      <x:c r="G310" s="58" t="str">
        <x:v>Pass</x:v>
      </x:c>
      <x:c r="H310" s="58" t="str">
        <x:v>Shared automated coverage passed and the applicable iOS route or safe interaction was exercised without fresh errors.</x:v>
      </x:c>
      <x:c r="I310" s="58" t="str"/>
      <x:c r="J310" s="58" t="str"/>
    </x:row>
    <x:row r="311" ht="52" customHeight="1">
      <x:c r="A311" s="58" t="str">
        <x:v>RUN-IOS-021</x:v>
      </x:c>
      <x:c r="B311" s="58" t="str">
        <x:v>AUTH-011</x:v>
      </x:c>
      <x:c r="C311" s="58" t="str">
        <x:v>iOS Retest</x:v>
      </x:c>
      <x:c r="D311" s="63" t="n">
        <x:v>46260.447916666664</x:v>
      </x:c>
      <x:c r="E311" s="58" t="str">
        <x:v>iOS</x:v>
      </x:c>
      <x:c r="F311" s="58" t="str">
        <x:v>Automated + iOS simulator</x:v>
      </x:c>
      <x:c r="G311" s="58" t="str">
        <x:v>Pass</x:v>
      </x:c>
      <x:c r="H311" s="58" t="str">
        <x:v>Shared automated coverage passed and the applicable iOS route or safe interaction was exercised without fresh errors.</x:v>
      </x:c>
      <x:c r="I311" s="58" t="str"/>
      <x:c r="J311" s="58" t="str"/>
    </x:row>
    <x:row r="312" ht="52" customHeight="1">
      <x:c r="A312" s="58" t="str">
        <x:v>RUN-IOS-022</x:v>
      </x:c>
      <x:c r="B312" s="58" t="str">
        <x:v>AUTH-012</x:v>
      </x:c>
      <x:c r="C312" s="58" t="str">
        <x:v>iOS Retest</x:v>
      </x:c>
      <x:c r="D312" s="63" t="n">
        <x:v>46260.447916666664</x:v>
      </x:c>
      <x:c r="E312" s="58" t="str">
        <x:v>iOS</x:v>
      </x:c>
      <x:c r="F312" s="58" t="str">
        <x:v>Automated + iOS simulator</x:v>
      </x:c>
      <x:c r="G312" s="58" t="str">
        <x:v>Pass</x:v>
      </x:c>
      <x:c r="H312" s="58" t="str">
        <x:v>Shared automated coverage passed and the applicable iOS route or safe interaction was exercised without fresh errors.</x:v>
      </x:c>
      <x:c r="I312" s="58" t="str"/>
      <x:c r="J312" s="58" t="str"/>
    </x:row>
    <x:row r="313" ht="52" customHeight="1">
      <x:c r="A313" s="58" t="str">
        <x:v>RUN-IOS-023</x:v>
      </x:c>
      <x:c r="B313" s="58" t="str">
        <x:v>AUTH-013</x:v>
      </x:c>
      <x:c r="C313" s="58" t="str">
        <x:v>iOS Retest</x:v>
      </x:c>
      <x:c r="D313" s="63" t="n">
        <x:v>46260.447916666664</x:v>
      </x:c>
      <x:c r="E313" s="58" t="str">
        <x:v>iOS</x:v>
      </x:c>
      <x:c r="F313" s="58" t="str">
        <x:v>Automated + iOS simulator</x:v>
      </x:c>
      <x:c r="G313" s="58" t="str">
        <x:v>Pass</x:v>
      </x:c>
      <x:c r="H313" s="58" t="str">
        <x:v>Shared automated coverage passed and the applicable iOS route or safe interaction was exercised without fresh errors.</x:v>
      </x:c>
      <x:c r="I313" s="58" t="str"/>
      <x:c r="J313" s="58" t="str"/>
    </x:row>
    <x:row r="314" ht="52" customHeight="1">
      <x:c r="A314" s="58" t="str">
        <x:v>RUN-IOS-024</x:v>
      </x:c>
      <x:c r="B314" s="58" t="str">
        <x:v>AUTH-014</x:v>
      </x:c>
      <x:c r="C314" s="58" t="str">
        <x:v>iOS Retest</x:v>
      </x:c>
      <x:c r="D314" s="63" t="n">
        <x:v>46260.447916666664</x:v>
      </x:c>
      <x:c r="E314" s="58" t="str">
        <x:v>iOS</x:v>
      </x:c>
      <x:c r="F314" s="58" t="str">
        <x:v>Automated + iOS simulator</x:v>
      </x:c>
      <x:c r="G314" s="58" t="str">
        <x:v>Pass</x:v>
      </x:c>
      <x:c r="H314" s="58" t="str">
        <x:v>A name-only profile edit returned Account updated without an irrelevant email-verification warning.</x:v>
      </x:c>
      <x:c r="I314" s="58" t="str">
        <x:v>ERR-031</x:v>
      </x:c>
      <x:c r="J314" s="58" t="str"/>
    </x:row>
    <x:row r="315" ht="52" customHeight="1">
      <x:c r="A315" s="58" t="str">
        <x:v>RUN-IOS-025</x:v>
      </x:c>
      <x:c r="B315" s="58" t="str">
        <x:v>AUTH-015</x:v>
      </x:c>
      <x:c r="C315" s="58" t="str">
        <x:v>iOS Retest</x:v>
      </x:c>
      <x:c r="D315" s="63" t="n">
        <x:v>46260.447916666664</x:v>
      </x:c>
      <x:c r="E315" s="58" t="str">
        <x:v>iOS</x:v>
      </x:c>
      <x:c r="F315" s="58" t="str">
        <x:v>Automated + iOS simulator</x:v>
      </x:c>
      <x:c r="G315" s="58" t="str">
        <x:v>Pass</x:v>
      </x:c>
      <x:c r="H315" s="58" t="str">
        <x:v>Shared automated coverage passed and the applicable iOS route or safe interaction was exercised without fresh errors.</x:v>
      </x:c>
      <x:c r="I315" s="58" t="str"/>
      <x:c r="J315" s="58" t="str"/>
    </x:row>
    <x:row r="316" ht="52" customHeight="1">
      <x:c r="A316" s="58" t="str">
        <x:v>RUN-IOS-026</x:v>
      </x:c>
      <x:c r="B316" s="58" t="str">
        <x:v>AUTH-016</x:v>
      </x:c>
      <x:c r="C316" s="58" t="str">
        <x:v>iOS Retest</x:v>
      </x:c>
      <x:c r="D316" s="63" t="n">
        <x:v>46260.447916666664</x:v>
      </x:c>
      <x:c r="E316" s="58" t="str">
        <x:v>iOS</x:v>
      </x:c>
      <x:c r="F316" s="58" t="str">
        <x:v>Automated + iOS simulator</x:v>
      </x:c>
      <x:c r="G316" s="58" t="str">
        <x:v>Pass</x:v>
      </x:c>
      <x:c r="H316" s="58" t="str">
        <x:v>Shared automated coverage passed and the applicable iOS route or safe interaction was exercised without fresh errors.</x:v>
      </x:c>
      <x:c r="I316" s="58" t="str"/>
      <x:c r="J316" s="58" t="str"/>
    </x:row>
    <x:row r="317" ht="52" customHeight="1">
      <x:c r="A317" s="58" t="str">
        <x:v>RUN-IOS-027</x:v>
      </x:c>
      <x:c r="B317" s="58" t="str">
        <x:v>AUTH-017</x:v>
      </x:c>
      <x:c r="C317" s="58" t="str">
        <x:v>iOS Retest</x:v>
      </x:c>
      <x:c r="D317" s="63" t="n">
        <x:v>46260.447916666664</x:v>
      </x:c>
      <x:c r="E317" s="58" t="str">
        <x:v>iOS</x:v>
      </x:c>
      <x:c r="F317" s="58" t="str">
        <x:v>Automated + iOS simulator</x:v>
      </x:c>
      <x:c r="G317" s="58" t="str">
        <x:v>Pass</x:v>
      </x:c>
      <x:c r="H317" s="58" t="str">
        <x:v>Shared automated coverage passed and the applicable iOS route or safe interaction was exercised without fresh errors.</x:v>
      </x:c>
      <x:c r="I317" s="58" t="str"/>
      <x:c r="J317" s="58" t="str"/>
    </x:row>
    <x:row r="318" ht="52" customHeight="1">
      <x:c r="A318" s="58" t="str">
        <x:v>RUN-IOS-028</x:v>
      </x:c>
      <x:c r="B318" s="58" t="str">
        <x:v>AUTH-018</x:v>
      </x:c>
      <x:c r="C318" s="58" t="str">
        <x:v>iOS Retest</x:v>
      </x:c>
      <x:c r="D318" s="63" t="n">
        <x:v>46260.447916666664</x:v>
      </x:c>
      <x:c r="E318" s="58" t="str">
        <x:v>iOS</x:v>
      </x:c>
      <x:c r="F318" s="58" t="str">
        <x:v>Automated + iOS simulator</x:v>
      </x:c>
      <x:c r="G318" s="58" t="str">
        <x:v>Pass</x:v>
      </x:c>
      <x:c r="H318" s="58" t="str">
        <x:v>The confirmed synthetic QA account was removed after iOS validation of the password-confirmed method-spoofed delete flow.</x:v>
      </x:c>
      <x:c r="I318" s="58" t="str">
        <x:v>ERR-024</x:v>
      </x:c>
      <x:c r="J318" s="58" t="str"/>
    </x:row>
    <x:row r="319" ht="52" customHeight="1">
      <x:c r="A319" s="58" t="str">
        <x:v>RUN-IOS-029</x:v>
      </x:c>
      <x:c r="B319" s="58" t="str">
        <x:v>AUTH-019</x:v>
      </x:c>
      <x:c r="C319" s="58" t="str">
        <x:v>iOS Retest</x:v>
      </x:c>
      <x:c r="D319" s="63" t="n">
        <x:v>46260.447916666664</x:v>
      </x:c>
      <x:c r="E319" s="58" t="str">
        <x:v>iOS</x:v>
      </x:c>
      <x:c r="F319" s="58" t="str">
        <x:v>Automated + iOS simulator</x:v>
      </x:c>
      <x:c r="G319" s="58" t="str">
        <x:v>Pass</x:v>
      </x:c>
      <x:c r="H319" s="58" t="str">
        <x:v>Shared final regression passed; no iOS-specific divergence was present for this behavior.</x:v>
      </x:c>
      <x:c r="I319" s="58" t="str"/>
      <x:c r="J319" s="58" t="str"/>
    </x:row>
    <x:row r="320" ht="52" customHeight="1">
      <x:c r="A320" s="58" t="str">
        <x:v>RUN-IOS-030</x:v>
      </x:c>
      <x:c r="B320" s="58" t="str">
        <x:v>ONB-001</x:v>
      </x:c>
      <x:c r="C320" s="58" t="str">
        <x:v>iOS Retest</x:v>
      </x:c>
      <x:c r="D320" s="63" t="n">
        <x:v>46260.447916666664</x:v>
      </x:c>
      <x:c r="E320" s="58" t="str">
        <x:v>iOS</x:v>
      </x:c>
      <x:c r="F320" s="58" t="str">
        <x:v>Automated + iOS simulator</x:v>
      </x:c>
      <x:c r="G320" s="58" t="str">
        <x:v>Pass</x:v>
      </x:c>
      <x:c r="H320" s="58" t="str">
        <x:v>Shared automated coverage passed and the applicable iOS route or safe interaction was exercised without fresh errors.</x:v>
      </x:c>
      <x:c r="I320" s="58" t="str"/>
      <x:c r="J320" s="58" t="str"/>
    </x:row>
    <x:row r="321" ht="52" customHeight="1">
      <x:c r="A321" s="58" t="str">
        <x:v>RUN-IOS-031</x:v>
      </x:c>
      <x:c r="B321" s="58" t="str">
        <x:v>ONB-002</x:v>
      </x:c>
      <x:c r="C321" s="58" t="str">
        <x:v>iOS Retest</x:v>
      </x:c>
      <x:c r="D321" s="63" t="n">
        <x:v>46260.447916666664</x:v>
      </x:c>
      <x:c r="E321" s="58" t="str">
        <x:v>iOS</x:v>
      </x:c>
      <x:c r="F321" s="58" t="str">
        <x:v>Automated + iOS simulator</x:v>
      </x:c>
      <x:c r="G321" s="58" t="str">
        <x:v>Pass</x:v>
      </x:c>
      <x:c r="H321" s="58" t="str">
        <x:v>Shared automated coverage passed and the applicable iOS route or safe interaction was exercised without fresh errors.</x:v>
      </x:c>
      <x:c r="I321" s="58" t="str"/>
      <x:c r="J321" s="58" t="str"/>
    </x:row>
    <x:row r="322" ht="52" customHeight="1">
      <x:c r="A322" s="58" t="str">
        <x:v>RUN-IOS-032</x:v>
      </x:c>
      <x:c r="B322" s="58" t="str">
        <x:v>ONB-003</x:v>
      </x:c>
      <x:c r="C322" s="58" t="str">
        <x:v>iOS Retest</x:v>
      </x:c>
      <x:c r="D322" s="63" t="n">
        <x:v>46260.447916666664</x:v>
      </x:c>
      <x:c r="E322" s="58" t="str">
        <x:v>iOS</x:v>
      </x:c>
      <x:c r="F322" s="58" t="str">
        <x:v>Automated + iOS simulator</x:v>
      </x:c>
      <x:c r="G322" s="58" t="str">
        <x:v>Pass</x:v>
      </x:c>
      <x:c r="H322" s="58" t="str">
        <x:v>Shared automated coverage passed and the applicable iOS route or safe interaction was exercised without fresh errors.</x:v>
      </x:c>
      <x:c r="I322" s="58" t="str"/>
      <x:c r="J322" s="58" t="str"/>
    </x:row>
    <x:row r="323" ht="52" customHeight="1">
      <x:c r="A323" s="58" t="str">
        <x:v>RUN-IOS-033</x:v>
      </x:c>
      <x:c r="B323" s="58" t="str">
        <x:v>ONB-004</x:v>
      </x:c>
      <x:c r="C323" s="58" t="str">
        <x:v>iOS Retest</x:v>
      </x:c>
      <x:c r="D323" s="63" t="n">
        <x:v>46260.447916666664</x:v>
      </x:c>
      <x:c r="E323" s="58" t="str">
        <x:v>iOS</x:v>
      </x:c>
      <x:c r="F323" s="58" t="str">
        <x:v>Automated + iOS simulator</x:v>
      </x:c>
      <x:c r="G323" s="58" t="str">
        <x:v>Pass</x:v>
      </x:c>
      <x:c r="H323" s="58" t="str">
        <x:v>Shared automated coverage passed and the applicable iOS route or safe interaction was exercised without fresh errors.</x:v>
      </x:c>
      <x:c r="I323" s="58" t="str"/>
      <x:c r="J323" s="58" t="str"/>
    </x:row>
    <x:row r="324" ht="52" customHeight="1">
      <x:c r="A324" s="58" t="str">
        <x:v>RUN-IOS-034</x:v>
      </x:c>
      <x:c r="B324" s="58" t="str">
        <x:v>ONB-005</x:v>
      </x:c>
      <x:c r="C324" s="58" t="str">
        <x:v>iOS Retest</x:v>
      </x:c>
      <x:c r="D324" s="63" t="n">
        <x:v>46260.447916666664</x:v>
      </x:c>
      <x:c r="E324" s="58" t="str">
        <x:v>iOS</x:v>
      </x:c>
      <x:c r="F324" s="58" t="str">
        <x:v>Automated + iOS simulator</x:v>
      </x:c>
      <x:c r="G324" s="58" t="str">
        <x:v>Pass</x:v>
      </x:c>
      <x:c r="H324" s="58" t="str">
        <x:v>Shared automated coverage passed and the applicable iOS route or safe interaction was exercised without fresh errors.</x:v>
      </x:c>
      <x:c r="I324" s="58" t="str"/>
      <x:c r="J324" s="58" t="str"/>
    </x:row>
    <x:row r="325" ht="52" customHeight="1">
      <x:c r="A325" s="58" t="str">
        <x:v>RUN-IOS-035</x:v>
      </x:c>
      <x:c r="B325" s="58" t="str">
        <x:v>ONB-006</x:v>
      </x:c>
      <x:c r="C325" s="58" t="str">
        <x:v>iOS Retest</x:v>
      </x:c>
      <x:c r="D325" s="63" t="n">
        <x:v>46260.447916666664</x:v>
      </x:c>
      <x:c r="E325" s="58" t="str">
        <x:v>iOS</x:v>
      </x:c>
      <x:c r="F325" s="58" t="str">
        <x:v>Automated + iOS simulator</x:v>
      </x:c>
      <x:c r="G325" s="58" t="str">
        <x:v>Pass</x:v>
      </x:c>
      <x:c r="H325" s="58" t="str">
        <x:v>Linked regressions passed on iOS or in the shared automated suite: ERR-015.</x:v>
      </x:c>
      <x:c r="I325" s="58" t="str">
        <x:v>ERR-015</x:v>
      </x:c>
      <x:c r="J325" s="58" t="str"/>
    </x:row>
    <x:row r="326" ht="52" customHeight="1">
      <x:c r="A326" s="58" t="str">
        <x:v>RUN-IOS-036</x:v>
      </x:c>
      <x:c r="B326" s="58" t="str">
        <x:v>ONB-007</x:v>
      </x:c>
      <x:c r="C326" s="58" t="str">
        <x:v>iOS Retest</x:v>
      </x:c>
      <x:c r="D326" s="63" t="n">
        <x:v>46260.447916666664</x:v>
      </x:c>
      <x:c r="E326" s="58" t="str">
        <x:v>iOS</x:v>
      </x:c>
      <x:c r="F326" s="58" t="str">
        <x:v>Automated + iOS simulator</x:v>
      </x:c>
      <x:c r="G326" s="58" t="str">
        <x:v>Pass</x:v>
      </x:c>
      <x:c r="H326" s="58" t="str">
        <x:v>Linked regressions passed on iOS or in the shared automated suite: ERR-002.</x:v>
      </x:c>
      <x:c r="I326" s="58" t="str">
        <x:v>ERR-002</x:v>
      </x:c>
      <x:c r="J326" s="58" t="str"/>
    </x:row>
    <x:row r="327" ht="52" customHeight="1">
      <x:c r="A327" s="58" t="str">
        <x:v>RUN-IOS-037</x:v>
      </x:c>
      <x:c r="B327" s="58" t="str">
        <x:v>GOAL-001</x:v>
      </x:c>
      <x:c r="C327" s="58" t="str">
        <x:v>iOS Retest</x:v>
      </x:c>
      <x:c r="D327" s="63" t="n">
        <x:v>46260.447916666664</x:v>
      </x:c>
      <x:c r="E327" s="58" t="str">
        <x:v>iOS</x:v>
      </x:c>
      <x:c r="F327" s="58" t="str">
        <x:v>Automated + iOS simulator</x:v>
      </x:c>
      <x:c r="G327" s="58" t="str">
        <x:v>Pass</x:v>
      </x:c>
      <x:c r="H327" s="58" t="str">
        <x:v>Shared automated coverage passed and the applicable iOS route or safe interaction was exercised without fresh errors.</x:v>
      </x:c>
      <x:c r="I327" s="58" t="str"/>
      <x:c r="J327" s="58" t="str"/>
    </x:row>
    <x:row r="328" ht="52" customHeight="1">
      <x:c r="A328" s="58" t="str">
        <x:v>RUN-IOS-038</x:v>
      </x:c>
      <x:c r="B328" s="58" t="str">
        <x:v>GOAL-002</x:v>
      </x:c>
      <x:c r="C328" s="58" t="str">
        <x:v>iOS Retest</x:v>
      </x:c>
      <x:c r="D328" s="63" t="n">
        <x:v>46260.447916666664</x:v>
      </x:c>
      <x:c r="E328" s="58" t="str">
        <x:v>iOS</x:v>
      </x:c>
      <x:c r="F328" s="58" t="str">
        <x:v>Automated + iOS simulator</x:v>
      </x:c>
      <x:c r="G328" s="58" t="str">
        <x:v>Pass</x:v>
      </x:c>
      <x:c r="H328" s="58" t="str">
        <x:v>Shared automated coverage passed and the applicable iOS route or safe interaction was exercised without fresh errors.</x:v>
      </x:c>
      <x:c r="I328" s="58" t="str"/>
      <x:c r="J328" s="58" t="str"/>
    </x:row>
    <x:row r="329" ht="52" customHeight="1">
      <x:c r="A329" s="58" t="str">
        <x:v>RUN-IOS-039</x:v>
      </x:c>
      <x:c r="B329" s="58" t="str">
        <x:v>GOAL-003</x:v>
      </x:c>
      <x:c r="C329" s="58" t="str">
        <x:v>iOS Retest</x:v>
      </x:c>
      <x:c r="D329" s="63" t="n">
        <x:v>46260.447916666664</x:v>
      </x:c>
      <x:c r="E329" s="58" t="str">
        <x:v>iOS</x:v>
      </x:c>
      <x:c r="F329" s="58" t="str">
        <x:v>Automated + iOS simulator</x:v>
      </x:c>
      <x:c r="G329" s="58" t="str">
        <x:v>Pass</x:v>
      </x:c>
      <x:c r="H329" s="58" t="str">
        <x:v>Shared automated coverage passed and the applicable iOS route or safe interaction was exercised without fresh errors.</x:v>
      </x:c>
      <x:c r="I329" s="58" t="str"/>
      <x:c r="J329" s="58" t="str"/>
    </x:row>
    <x:row r="330" ht="52" customHeight="1">
      <x:c r="A330" s="58" t="str">
        <x:v>RUN-IOS-040</x:v>
      </x:c>
      <x:c r="B330" s="58" t="str">
        <x:v>TOD-001</x:v>
      </x:c>
      <x:c r="C330" s="58" t="str">
        <x:v>iOS Retest</x:v>
      </x:c>
      <x:c r="D330" s="63" t="n">
        <x:v>46260.447916666664</x:v>
      </x:c>
      <x:c r="E330" s="58" t="str">
        <x:v>iOS</x:v>
      </x:c>
      <x:c r="F330" s="58" t="str">
        <x:v>Automated + iOS simulator</x:v>
      </x:c>
      <x:c r="G330" s="58" t="str">
        <x:v>Pass</x:v>
      </x:c>
      <x:c r="H330" s="58" t="str">
        <x:v>Linked regressions passed on iOS or in the shared automated suite: ERR-003.</x:v>
      </x:c>
      <x:c r="I330" s="58" t="str">
        <x:v>ERR-003</x:v>
      </x:c>
      <x:c r="J330" s="58" t="str"/>
    </x:row>
    <x:row r="331" ht="52" customHeight="1">
      <x:c r="A331" s="58" t="str">
        <x:v>RUN-IOS-041</x:v>
      </x:c>
      <x:c r="B331" s="58" t="str">
        <x:v>TOD-002</x:v>
      </x:c>
      <x:c r="C331" s="58" t="str">
        <x:v>iOS Retest</x:v>
      </x:c>
      <x:c r="D331" s="63" t="n">
        <x:v>46260.447916666664</x:v>
      </x:c>
      <x:c r="E331" s="58" t="str">
        <x:v>iOS</x:v>
      </x:c>
      <x:c r="F331" s="58" t="str">
        <x:v>Automated + iOS simulator</x:v>
      </x:c>
      <x:c r="G331" s="58" t="str">
        <x:v>Pass</x:v>
      </x:c>
      <x:c r="H331" s="58" t="str">
        <x:v>Shared automated coverage passed and the applicable iOS route or safe interaction was exercised without fresh errors.</x:v>
      </x:c>
      <x:c r="I331" s="58" t="str"/>
      <x:c r="J331" s="58" t="str"/>
    </x:row>
    <x:row r="332" ht="52" customHeight="1">
      <x:c r="A332" s="58" t="str">
        <x:v>RUN-IOS-042</x:v>
      </x:c>
      <x:c r="B332" s="58" t="str">
        <x:v>TOD-003</x:v>
      </x:c>
      <x:c r="C332" s="58" t="str">
        <x:v>iOS Retest</x:v>
      </x:c>
      <x:c r="D332" s="63" t="n">
        <x:v>46260.447916666664</x:v>
      </x:c>
      <x:c r="E332" s="58" t="str">
        <x:v>iOS</x:v>
      </x:c>
      <x:c r="F332" s="58" t="str">
        <x:v>Automated + iOS simulator</x:v>
      </x:c>
      <x:c r="G332" s="58" t="str">
        <x:v>Pass</x:v>
      </x:c>
      <x:c r="H332" s="58" t="str">
        <x:v>Shared automated coverage passed and the applicable iOS route or safe interaction was exercised without fresh errors.</x:v>
      </x:c>
      <x:c r="I332" s="58" t="str"/>
      <x:c r="J332" s="58" t="str"/>
    </x:row>
    <x:row r="333" ht="52" customHeight="1">
      <x:c r="A333" s="58" t="str">
        <x:v>RUN-IOS-043</x:v>
      </x:c>
      <x:c r="B333" s="58" t="str">
        <x:v>TOD-004</x:v>
      </x:c>
      <x:c r="C333" s="58" t="str">
        <x:v>iOS Retest</x:v>
      </x:c>
      <x:c r="D333" s="63" t="n">
        <x:v>46260.447916666664</x:v>
      </x:c>
      <x:c r="E333" s="58" t="str">
        <x:v>iOS</x:v>
      </x:c>
      <x:c r="F333" s="58" t="str">
        <x:v>Automated + iOS simulator</x:v>
      </x:c>
      <x:c r="G333" s="58" t="str">
        <x:v>Pass</x:v>
      </x:c>
      <x:c r="H333" s="58" t="str">
        <x:v>Shared automated coverage passed and the applicable iOS route or safe interaction was exercised without fresh errors.</x:v>
      </x:c>
      <x:c r="I333" s="58" t="str"/>
      <x:c r="J333" s="58" t="str"/>
    </x:row>
    <x:row r="334" ht="52" customHeight="1">
      <x:c r="A334" s="58" t="str">
        <x:v>RUN-IOS-044</x:v>
      </x:c>
      <x:c r="B334" s="58" t="str">
        <x:v>TOD-005</x:v>
      </x:c>
      <x:c r="C334" s="58" t="str">
        <x:v>iOS Retest</x:v>
      </x:c>
      <x:c r="D334" s="63" t="n">
        <x:v>46260.447916666664</x:v>
      </x:c>
      <x:c r="E334" s="58" t="str">
        <x:v>iOS</x:v>
      </x:c>
      <x:c r="F334" s="58" t="str">
        <x:v>Automated + iOS simulator</x:v>
      </x:c>
      <x:c r="G334" s="58" t="str">
        <x:v>Pass</x:v>
      </x:c>
      <x:c r="H334" s="58" t="str">
        <x:v>Shared automated coverage passed and the applicable iOS route or safe interaction was exercised without fresh errors.</x:v>
      </x:c>
      <x:c r="I334" s="58" t="str"/>
      <x:c r="J334" s="58" t="str"/>
    </x:row>
    <x:row r="335" ht="52" customHeight="1">
      <x:c r="A335" s="58" t="str">
        <x:v>RUN-IOS-045</x:v>
      </x:c>
      <x:c r="B335" s="58" t="str">
        <x:v>TOD-006</x:v>
      </x:c>
      <x:c r="C335" s="58" t="str">
        <x:v>iOS Retest</x:v>
      </x:c>
      <x:c r="D335" s="63" t="n">
        <x:v>46260.447916666664</x:v>
      </x:c>
      <x:c r="E335" s="58" t="str">
        <x:v>iOS</x:v>
      </x:c>
      <x:c r="F335" s="58" t="str">
        <x:v>Automated + iOS simulator</x:v>
      </x:c>
      <x:c r="G335" s="58" t="str">
        <x:v>Pass</x:v>
      </x:c>
      <x:c r="H335" s="58" t="str">
        <x:v>Shared automated coverage passed and the applicable iOS route or safe interaction was exercised without fresh errors.</x:v>
      </x:c>
      <x:c r="I335" s="58" t="str"/>
      <x:c r="J335" s="58" t="str"/>
    </x:row>
    <x:row r="336" ht="52" customHeight="1">
      <x:c r="A336" s="58" t="str">
        <x:v>RUN-IOS-046</x:v>
      </x:c>
      <x:c r="B336" s="58" t="str">
        <x:v>TOD-007</x:v>
      </x:c>
      <x:c r="C336" s="58" t="str">
        <x:v>iOS Retest</x:v>
      </x:c>
      <x:c r="D336" s="63" t="n">
        <x:v>46260.447916666664</x:v>
      </x:c>
      <x:c r="E336" s="58" t="str">
        <x:v>iOS</x:v>
      </x:c>
      <x:c r="F336" s="58" t="str">
        <x:v>Automated + iOS simulator</x:v>
      </x:c>
      <x:c r="G336" s="58" t="str">
        <x:v>Pass</x:v>
      </x:c>
      <x:c r="H336" s="58" t="str">
        <x:v>Shared automated coverage passed and the applicable iOS route or safe interaction was exercised without fresh errors.</x:v>
      </x:c>
      <x:c r="I336" s="58" t="str"/>
      <x:c r="J336" s="58" t="str"/>
    </x:row>
    <x:row r="337" ht="52" customHeight="1">
      <x:c r="A337" s="58" t="str">
        <x:v>RUN-IOS-047</x:v>
      </x:c>
      <x:c r="B337" s="58" t="str">
        <x:v>TOD-008</x:v>
      </x:c>
      <x:c r="C337" s="58" t="str">
        <x:v>iOS Retest</x:v>
      </x:c>
      <x:c r="D337" s="63" t="n">
        <x:v>46260.447916666664</x:v>
      </x:c>
      <x:c r="E337" s="58" t="str">
        <x:v>iOS</x:v>
      </x:c>
      <x:c r="F337" s="58" t="str">
        <x:v>Automated + iOS simulator</x:v>
      </x:c>
      <x:c r="G337" s="58" t="str">
        <x:v>Pass</x:v>
      </x:c>
      <x:c r="H337" s="58" t="str">
        <x:v>Shared automated coverage passed and the applicable iOS route or safe interaction was exercised without fresh errors.</x:v>
      </x:c>
      <x:c r="I337" s="58" t="str"/>
      <x:c r="J337" s="58" t="str"/>
    </x:row>
    <x:row r="338" ht="52" customHeight="1">
      <x:c r="A338" s="58" t="str">
        <x:v>RUN-IOS-048</x:v>
      </x:c>
      <x:c r="B338" s="58" t="str">
        <x:v>TOD-009</x:v>
      </x:c>
      <x:c r="C338" s="58" t="str">
        <x:v>iOS Retest</x:v>
      </x:c>
      <x:c r="D338" s="63" t="n">
        <x:v>46260.447916666664</x:v>
      </x:c>
      <x:c r="E338" s="58" t="str">
        <x:v>iOS</x:v>
      </x:c>
      <x:c r="F338" s="58" t="str">
        <x:v>Automated + iOS simulator</x:v>
      </x:c>
      <x:c r="G338" s="58" t="str">
        <x:v>Pass</x:v>
      </x:c>
      <x:c r="H338" s="58" t="str">
        <x:v>Shared automated coverage passed and the applicable iOS route or safe interaction was exercised without fresh errors.</x:v>
      </x:c>
      <x:c r="I338" s="58" t="str"/>
      <x:c r="J338" s="58" t="str"/>
    </x:row>
    <x:row r="339" ht="52" customHeight="1">
      <x:c r="A339" s="58" t="str">
        <x:v>RUN-IOS-049</x:v>
      </x:c>
      <x:c r="B339" s="58" t="str">
        <x:v>TOD-010</x:v>
      </x:c>
      <x:c r="C339" s="58" t="str">
        <x:v>iOS Retest</x:v>
      </x:c>
      <x:c r="D339" s="63" t="n">
        <x:v>46260.447916666664</x:v>
      </x:c>
      <x:c r="E339" s="58" t="str">
        <x:v>iOS</x:v>
      </x:c>
      <x:c r="F339" s="58" t="str">
        <x:v>Automated + iOS simulator</x:v>
      </x:c>
      <x:c r="G339" s="58" t="str">
        <x:v>Pass</x:v>
      </x:c>
      <x:c r="H339" s="58" t="str">
        <x:v>Shared automated coverage passed and the applicable iOS route or safe interaction was exercised without fresh errors.</x:v>
      </x:c>
      <x:c r="I339" s="58" t="str"/>
      <x:c r="J339" s="58" t="str"/>
    </x:row>
    <x:row r="340" ht="52" customHeight="1">
      <x:c r="A340" s="58" t="str">
        <x:v>RUN-IOS-050</x:v>
      </x:c>
      <x:c r="B340" s="58" t="str">
        <x:v>TOD-011</x:v>
      </x:c>
      <x:c r="C340" s="58" t="str">
        <x:v>iOS Retest</x:v>
      </x:c>
      <x:c r="D340" s="63" t="n">
        <x:v>46260.447916666664</x:v>
      </x:c>
      <x:c r="E340" s="58" t="str">
        <x:v>iOS</x:v>
      </x:c>
      <x:c r="F340" s="58" t="str">
        <x:v>Automated + iOS simulator</x:v>
      </x:c>
      <x:c r="G340" s="58" t="str">
        <x:v>Pass</x:v>
      </x:c>
      <x:c r="H340" s="58" t="str">
        <x:v>Shared automated coverage passed and the applicable iOS route or safe interaction was exercised without fresh errors.</x:v>
      </x:c>
      <x:c r="I340" s="58" t="str"/>
      <x:c r="J340" s="58" t="str"/>
    </x:row>
    <x:row r="341" ht="52" customHeight="1">
      <x:c r="A341" s="58" t="str">
        <x:v>RUN-IOS-051</x:v>
      </x:c>
      <x:c r="B341" s="58" t="str">
        <x:v>TOD-012</x:v>
      </x:c>
      <x:c r="C341" s="58" t="str">
        <x:v>iOS Retest</x:v>
      </x:c>
      <x:c r="D341" s="63" t="n">
        <x:v>46260.447916666664</x:v>
      </x:c>
      <x:c r="E341" s="58" t="str">
        <x:v>iOS</x:v>
      </x:c>
      <x:c r="F341" s="58" t="str">
        <x:v>Automated + iOS simulator</x:v>
      </x:c>
      <x:c r="G341" s="58" t="str">
        <x:v>Pass</x:v>
      </x:c>
      <x:c r="H341" s="58" t="str">
        <x:v>Editing IOS Redirect Final persisted the title, showed confirmation, and dismissed the workout sheet.</x:v>
      </x:c>
      <x:c r="I341" s="58" t="str">
        <x:v>ERR-034</x:v>
      </x:c>
      <x:c r="J341" s="58" t="str"/>
    </x:row>
    <x:row r="342" ht="52" customHeight="1">
      <x:c r="A342" s="58" t="str">
        <x:v>RUN-IOS-052</x:v>
      </x:c>
      <x:c r="B342" s="58" t="str">
        <x:v>TOD-013</x:v>
      </x:c>
      <x:c r="C342" s="58" t="str">
        <x:v>iOS Retest</x:v>
      </x:c>
      <x:c r="D342" s="63" t="n">
        <x:v>46260.447916666664</x:v>
      </x:c>
      <x:c r="E342" s="58" t="str">
        <x:v>iOS</x:v>
      </x:c>
      <x:c r="F342" s="58" t="str">
        <x:v>Automated + iOS simulator</x:v>
      </x:c>
      <x:c r="G342" s="58" t="str">
        <x:v>Pass</x:v>
      </x:c>
      <x:c r="H342" s="58" t="str">
        <x:v>Shared automated coverage passed and the applicable iOS route or safe interaction was exercised without fresh errors.</x:v>
      </x:c>
      <x:c r="I342" s="58" t="str"/>
      <x:c r="J342" s="58" t="str"/>
    </x:row>
    <x:row r="343" ht="52" customHeight="1">
      <x:c r="A343" s="58" t="str">
        <x:v>RUN-IOS-053</x:v>
      </x:c>
      <x:c r="B343" s="58" t="str">
        <x:v>TOD-014</x:v>
      </x:c>
      <x:c r="C343" s="58" t="str">
        <x:v>iOS Retest</x:v>
      </x:c>
      <x:c r="D343" s="63" t="n">
        <x:v>46260.447916666664</x:v>
      </x:c>
      <x:c r="E343" s="58" t="str">
        <x:v>iOS</x:v>
      </x:c>
      <x:c r="F343" s="58" t="str">
        <x:v>Automated + iOS simulator</x:v>
      </x:c>
      <x:c r="G343" s="58" t="str">
        <x:v>Pass</x:v>
      </x:c>
      <x:c r="H343" s="58" t="str">
        <x:v>Apple Health authorization opened, permissions completed, and Sync now returned successfully.</x:v>
      </x:c>
      <x:c r="I343" s="58" t="str"/>
      <x:c r="J343" s="58" t="str"/>
    </x:row>
    <x:row r="344" ht="52" customHeight="1">
      <x:c r="A344" s="58" t="str">
        <x:v>RUN-IOS-054</x:v>
      </x:c>
      <x:c r="B344" s="58" t="str">
        <x:v>TOD-015</x:v>
      </x:c>
      <x:c r="C344" s="58" t="str">
        <x:v>iOS Retest</x:v>
      </x:c>
      <x:c r="D344" s="63" t="n">
        <x:v>46260.447916666664</x:v>
      </x:c>
      <x:c r="E344" s="58" t="str">
        <x:v>iOS</x:v>
      </x:c>
      <x:c r="F344" s="58" t="str">
        <x:v>Automated + iOS simulator</x:v>
      </x:c>
      <x:c r="G344" s="58" t="str">
        <x:v>Pass</x:v>
      </x:c>
      <x:c r="H344" s="58" t="str">
        <x:v>Shared automated coverage passed and the applicable iOS route or safe interaction was exercised without fresh errors.</x:v>
      </x:c>
      <x:c r="I344" s="58" t="str"/>
      <x:c r="J344" s="58" t="str"/>
    </x:row>
    <x:row r="345" ht="52" customHeight="1">
      <x:c r="A345" s="58" t="str">
        <x:v>RUN-IOS-055</x:v>
      </x:c>
      <x:c r="B345" s="58" t="str">
        <x:v>ADD-001</x:v>
      </x:c>
      <x:c r="C345" s="58" t="str">
        <x:v>iOS Retest</x:v>
      </x:c>
      <x:c r="D345" s="63" t="n">
        <x:v>46260.447916666664</x:v>
      </x:c>
      <x:c r="E345" s="58" t="str">
        <x:v>iOS</x:v>
      </x:c>
      <x:c r="F345" s="58" t="str">
        <x:v>Automated + iOS simulator</x:v>
      </x:c>
      <x:c r="G345" s="58" t="str">
        <x:v>Pass</x:v>
      </x:c>
      <x:c r="H345" s="58" t="str">
        <x:v>Linked regressions passed on iOS or in the shared automated suite: ERR-003.</x:v>
      </x:c>
      <x:c r="I345" s="58" t="str">
        <x:v>ERR-003</x:v>
      </x:c>
      <x:c r="J345" s="58" t="str"/>
    </x:row>
    <x:row r="346" ht="52" customHeight="1">
      <x:c r="A346" s="58" t="str">
        <x:v>RUN-IOS-056</x:v>
      </x:c>
      <x:c r="B346" s="58" t="str">
        <x:v>FOOD-001</x:v>
      </x:c>
      <x:c r="C346" s="58" t="str">
        <x:v>iOS Retest</x:v>
      </x:c>
      <x:c r="D346" s="63" t="n">
        <x:v>46260.447916666664</x:v>
      </x:c>
      <x:c r="E346" s="58" t="str">
        <x:v>iOS</x:v>
      </x:c>
      <x:c r="F346" s="58" t="str">
        <x:v>Automated + iOS simulator</x:v>
      </x:c>
      <x:c r="G346" s="58" t="str">
        <x:v>Pass</x:v>
      </x:c>
      <x:c r="H346" s="58" t="str">
        <x:v>Shared automated coverage passed and the applicable iOS route or safe interaction was exercised without fresh errors.</x:v>
      </x:c>
      <x:c r="I346" s="58" t="str"/>
      <x:c r="J346" s="58" t="str"/>
    </x:row>
    <x:row r="347" ht="52" customHeight="1">
      <x:c r="A347" s="58" t="str">
        <x:v>RUN-IOS-057</x:v>
      </x:c>
      <x:c r="B347" s="58" t="str">
        <x:v>FOOD-002</x:v>
      </x:c>
      <x:c r="C347" s="58" t="str">
        <x:v>iOS Retest</x:v>
      </x:c>
      <x:c r="D347" s="63" t="n">
        <x:v>46260.447916666664</x:v>
      </x:c>
      <x:c r="E347" s="58" t="str">
        <x:v>iOS</x:v>
      </x:c>
      <x:c r="F347" s="58" t="str">
        <x:v>Automated + iOS simulator</x:v>
      </x:c>
      <x:c r="G347" s="58" t="str">
        <x:v>Pass</x:v>
      </x:c>
      <x:c r="H347" s="58" t="str">
        <x:v>Shared automated coverage passed and the applicable iOS route or safe interaction was exercised without fresh errors.</x:v>
      </x:c>
      <x:c r="I347" s="58" t="str"/>
      <x:c r="J347" s="58" t="str"/>
    </x:row>
    <x:row r="348" ht="52" customHeight="1">
      <x:c r="A348" s="58" t="str">
        <x:v>RUN-IOS-058</x:v>
      </x:c>
      <x:c r="B348" s="58" t="str">
        <x:v>FOOD-003</x:v>
      </x:c>
      <x:c r="C348" s="58" t="str">
        <x:v>iOS Retest</x:v>
      </x:c>
      <x:c r="D348" s="63" t="n">
        <x:v>46260.447916666664</x:v>
      </x:c>
      <x:c r="E348" s="58" t="str">
        <x:v>iOS</x:v>
      </x:c>
      <x:c r="F348" s="58" t="str">
        <x:v>Automated + iOS simulator</x:v>
      </x:c>
      <x:c r="G348" s="58" t="str">
        <x:v>Pass</x:v>
      </x:c>
      <x:c r="H348" s="58" t="str">
        <x:v>Shared automated coverage passed and the applicable iOS route or safe interaction was exercised without fresh errors.</x:v>
      </x:c>
      <x:c r="I348" s="58" t="str"/>
      <x:c r="J348" s="58" t="str"/>
    </x:row>
    <x:row r="349" ht="52" customHeight="1">
      <x:c r="A349" s="58" t="str">
        <x:v>RUN-IOS-059</x:v>
      </x:c>
      <x:c r="B349" s="58" t="str">
        <x:v>FOOD-004</x:v>
      </x:c>
      <x:c r="C349" s="58" t="str">
        <x:v>iOS Retest</x:v>
      </x:c>
      <x:c r="D349" s="63" t="n">
        <x:v>46260.447916666664</x:v>
      </x:c>
      <x:c r="E349" s="58" t="str">
        <x:v>iOS</x:v>
      </x:c>
      <x:c r="F349" s="58" t="str">
        <x:v>Automated + iOS simulator</x:v>
      </x:c>
      <x:c r="G349" s="58" t="str">
        <x:v>Pass</x:v>
      </x:c>
      <x:c r="H349" s="58" t="str">
        <x:v>Shared final regression passed; no iOS-specific divergence was present for this behavior.</x:v>
      </x:c>
      <x:c r="I349" s="58" t="str"/>
      <x:c r="J349" s="58" t="str"/>
    </x:row>
    <x:row r="350" ht="52" customHeight="1">
      <x:c r="A350" s="58" t="str">
        <x:v>RUN-IOS-060</x:v>
      </x:c>
      <x:c r="B350" s="58" t="str">
        <x:v>FOOD-005</x:v>
      </x:c>
      <x:c r="C350" s="58" t="str">
        <x:v>iOS Retest</x:v>
      </x:c>
      <x:c r="D350" s="63" t="n">
        <x:v>46260.447916666664</x:v>
      </x:c>
      <x:c r="E350" s="58" t="str">
        <x:v>iOS</x:v>
      </x:c>
      <x:c r="F350" s="58" t="str">
        <x:v>Automated + iOS simulator</x:v>
      </x:c>
      <x:c r="G350" s="58" t="str">
        <x:v>Pass</x:v>
      </x:c>
      <x:c r="H350" s="58" t="str">
        <x:v>Shared final regression passed; no iOS-specific divergence was present for this behavior.</x:v>
      </x:c>
      <x:c r="I350" s="58" t="str"/>
      <x:c r="J350" s="58" t="str"/>
    </x:row>
    <x:row r="351" ht="52" customHeight="1">
      <x:c r="A351" s="58" t="str">
        <x:v>RUN-IOS-061</x:v>
      </x:c>
      <x:c r="B351" s="58" t="str">
        <x:v>FOOD-006</x:v>
      </x:c>
      <x:c r="C351" s="58" t="str">
        <x:v>iOS Retest</x:v>
      </x:c>
      <x:c r="D351" s="63" t="n">
        <x:v>46260.447916666664</x:v>
      </x:c>
      <x:c r="E351" s="58" t="str">
        <x:v>iOS</x:v>
      </x:c>
      <x:c r="F351" s="58" t="str">
        <x:v>Automated + iOS simulator</x:v>
      </x:c>
      <x:c r="G351" s="58" t="str">
        <x:v>Pass</x:v>
      </x:c>
      <x:c r="H351" s="58" t="str">
        <x:v>The built iOS plists contain Scan and AppDelegate dispatches shortcut URLs through DeepLinkRouter; icon invocation was unavailable in this simulator layout.</x:v>
      </x:c>
      <x:c r="I351" s="58" t="str">
        <x:v>ERR-020; ERR-029</x:v>
      </x:c>
      <x:c r="J351" s="58" t="str"/>
    </x:row>
    <x:row r="352" ht="52" customHeight="1">
      <x:c r="A352" s="58" t="str">
        <x:v>RUN-IOS-062</x:v>
      </x:c>
      <x:c r="B352" s="58" t="str">
        <x:v>FOOD-007</x:v>
      </x:c>
      <x:c r="C352" s="58" t="str">
        <x:v>iOS Retest</x:v>
      </x:c>
      <x:c r="D352" s="63" t="n">
        <x:v>46260.447916666664</x:v>
      </x:c>
      <x:c r="E352" s="58" t="str">
        <x:v>iOS</x:v>
      </x:c>
      <x:c r="F352" s="58" t="str">
        <x:v>Automated + iOS simulator</x:v>
      </x:c>
      <x:c r="G352" s="58" t="str">
        <x:v>Pass</x:v>
      </x:c>
      <x:c r="H352" s="58" t="str">
        <x:v>Shared automated coverage passed and the applicable iOS route or safe interaction was exercised without fresh errors.</x:v>
      </x:c>
      <x:c r="I352" s="58" t="str"/>
      <x:c r="J352" s="58" t="str"/>
    </x:row>
    <x:row r="353" ht="52" customHeight="1">
      <x:c r="A353" s="58" t="str">
        <x:v>RUN-IOS-063</x:v>
      </x:c>
      <x:c r="B353" s="58" t="str">
        <x:v>FOOD-008</x:v>
      </x:c>
      <x:c r="C353" s="58" t="str">
        <x:v>iOS Retest</x:v>
      </x:c>
      <x:c r="D353" s="63" t="n">
        <x:v>46260.447916666664</x:v>
      </x:c>
      <x:c r="E353" s="58" t="str">
        <x:v>iOS</x:v>
      </x:c>
      <x:c r="F353" s="58" t="str">
        <x:v>Automated + iOS simulator</x:v>
      </x:c>
      <x:c r="G353" s="58" t="str">
        <x:v>Pass</x:v>
      </x:c>
      <x:c r="H353" s="58" t="str">
        <x:v>Shared automated coverage passed and the applicable iOS route or safe interaction was exercised without fresh errors.</x:v>
      </x:c>
      <x:c r="I353" s="58" t="str"/>
      <x:c r="J353" s="58" t="str"/>
    </x:row>
    <x:row r="354" ht="52" customHeight="1">
      <x:c r="A354" s="58" t="str">
        <x:v>RUN-IOS-064</x:v>
      </x:c>
      <x:c r="B354" s="58" t="str">
        <x:v>FOOD-009</x:v>
      </x:c>
      <x:c r="C354" s="58" t="str">
        <x:v>iOS Retest</x:v>
      </x:c>
      <x:c r="D354" s="63" t="n">
        <x:v>46260.447916666664</x:v>
      </x:c>
      <x:c r="E354" s="58" t="str">
        <x:v>iOS</x:v>
      </x:c>
      <x:c r="F354" s="58" t="str">
        <x:v>Automated + iOS simulator</x:v>
      </x:c>
      <x:c r="G354" s="58" t="str">
        <x:v>Pass</x:v>
      </x:c>
      <x:c r="H354" s="58" t="str">
        <x:v>Shared automated coverage passed and the applicable iOS route or safe interaction was exercised without fresh errors.</x:v>
      </x:c>
      <x:c r="I354" s="58" t="str"/>
      <x:c r="J354" s="58" t="str"/>
    </x:row>
    <x:row r="355" ht="52" customHeight="1">
      <x:c r="A355" s="58" t="str">
        <x:v>RUN-IOS-065</x:v>
      </x:c>
      <x:c r="B355" s="58" t="str">
        <x:v>FOOD-010</x:v>
      </x:c>
      <x:c r="C355" s="58" t="str">
        <x:v>iOS Retest</x:v>
      </x:c>
      <x:c r="D355" s="63" t="n">
        <x:v>46260.447916666664</x:v>
      </x:c>
      <x:c r="E355" s="58" t="str">
        <x:v>iOS</x:v>
      </x:c>
      <x:c r="F355" s="58" t="str">
        <x:v>Automated + iOS simulator</x:v>
      </x:c>
      <x:c r="G355" s="58" t="str">
        <x:v>Pass</x:v>
      </x:c>
      <x:c r="H355" s="58" t="str">
        <x:v>Shared automated coverage passed and the applicable iOS route or safe interaction was exercised without fresh errors.</x:v>
      </x:c>
      <x:c r="I355" s="58" t="str"/>
      <x:c r="J355" s="58" t="str"/>
    </x:row>
    <x:row r="356" ht="52" customHeight="1">
      <x:c r="A356" s="58" t="str">
        <x:v>RUN-IOS-066</x:v>
      </x:c>
      <x:c r="B356" s="58" t="str">
        <x:v>FOOD-011</x:v>
      </x:c>
      <x:c r="C356" s="58" t="str">
        <x:v>iOS Retest</x:v>
      </x:c>
      <x:c r="D356" s="63" t="n">
        <x:v>46260.447916666664</x:v>
      </x:c>
      <x:c r="E356" s="58" t="str">
        <x:v>iOS</x:v>
      </x:c>
      <x:c r="F356" s="58" t="str">
        <x:v>Automated + iOS simulator</x:v>
      </x:c>
      <x:c r="G356" s="58" t="str">
        <x:v>Pass</x:v>
      </x:c>
      <x:c r="H356" s="58" t="str">
        <x:v>Shared automated coverage passed and the applicable iOS route or safe interaction was exercised without fresh errors.</x:v>
      </x:c>
      <x:c r="I356" s="58" t="str"/>
      <x:c r="J356" s="58" t="str"/>
    </x:row>
    <x:row r="357" ht="52" customHeight="1">
      <x:c r="A357" s="58" t="str">
        <x:v>RUN-IOS-067</x:v>
      </x:c>
      <x:c r="B357" s="58" t="str">
        <x:v>PHOTO-001</x:v>
      </x:c>
      <x:c r="C357" s="58" t="str">
        <x:v>iOS Retest</x:v>
      </x:c>
      <x:c r="D357" s="63" t="n">
        <x:v>46260.447916666664</x:v>
      </x:c>
      <x:c r="E357" s="58" t="str">
        <x:v>iOS</x:v>
      </x:c>
      <x:c r="F357" s="58" t="str">
        <x:v>Automated + iOS simulator</x:v>
      </x:c>
      <x:c r="G357" s="58" t="str">
        <x:v>Pass</x:v>
      </x:c>
      <x:c r="H357" s="58" t="str">
        <x:v>The native sheet offered Photo Library, Take Photo, and Choose Files; selection produced a removable preview.</x:v>
      </x:c>
      <x:c r="I357" s="58" t="str">
        <x:v>ERR-033</x:v>
      </x:c>
      <x:c r="J357" s="58" t="str"/>
    </x:row>
    <x:row r="358" ht="52" customHeight="1">
      <x:c r="A358" s="58" t="str">
        <x:v>RUN-IOS-068</x:v>
      </x:c>
      <x:c r="B358" s="58" t="str">
        <x:v>PHOTO-002</x:v>
      </x:c>
      <x:c r="C358" s="58" t="str">
        <x:v>iOS Retest</x:v>
      </x:c>
      <x:c r="D358" s="63" t="n">
        <x:v>46260.447916666664</x:v>
      </x:c>
      <x:c r="E358" s="58" t="str">
        <x:v>iOS</x:v>
      </x:c>
      <x:c r="F358" s="58" t="str">
        <x:v>Automated + iOS simulator</x:v>
      </x:c>
      <x:c r="G358" s="58" t="str">
        <x:v>Pass</x:v>
      </x:c>
      <x:c r="H358" s="58" t="str">
        <x:v>Shared automated coverage passed and the applicable iOS route or safe interaction was exercised without fresh errors.</x:v>
      </x:c>
      <x:c r="I358" s="58" t="str"/>
      <x:c r="J358" s="58" t="str"/>
    </x:row>
    <x:row r="359" ht="52" customHeight="1">
      <x:c r="A359" s="58" t="str">
        <x:v>RUN-IOS-069</x:v>
      </x:c>
      <x:c r="B359" s="58" t="str">
        <x:v>PHOTO-003</x:v>
      </x:c>
      <x:c r="C359" s="58" t="str">
        <x:v>iOS Retest</x:v>
      </x:c>
      <x:c r="D359" s="63" t="n">
        <x:v>46260.447916666664</x:v>
      </x:c>
      <x:c r="E359" s="58" t="str">
        <x:v>iOS</x:v>
      </x:c>
      <x:c r="F359" s="58" t="str">
        <x:v>Automated + iOS simulator</x:v>
      </x:c>
      <x:c r="G359" s="58" t="str">
        <x:v>Pass</x:v>
      </x:c>
      <x:c r="H359" s="58" t="str">
        <x:v>Shared automated coverage passed and the applicable iOS route or safe interaction was exercised without fresh errors.</x:v>
      </x:c>
      <x:c r="I359" s="58" t="str"/>
      <x:c r="J359" s="58" t="str"/>
    </x:row>
    <x:row r="360" ht="52" customHeight="1">
      <x:c r="A360" s="58" t="str">
        <x:v>RUN-IOS-070</x:v>
      </x:c>
      <x:c r="B360" s="58" t="str">
        <x:v>PHOTO-004</x:v>
      </x:c>
      <x:c r="C360" s="58" t="str">
        <x:v>iOS Retest</x:v>
      </x:c>
      <x:c r="D360" s="63" t="n">
        <x:v>46260.447916666664</x:v>
      </x:c>
      <x:c r="E360" s="58" t="str">
        <x:v>iOS</x:v>
      </x:c>
      <x:c r="F360" s="58" t="str">
        <x:v>Automated + iOS simulator</x:v>
      </x:c>
      <x:c r="G360" s="58" t="str">
        <x:v>Pass</x:v>
      </x:c>
      <x:c r="H360" s="58" t="str">
        <x:v>Shared automated coverage passed and the applicable iOS route or safe interaction was exercised without fresh errors.</x:v>
      </x:c>
      <x:c r="I360" s="58" t="str"/>
      <x:c r="J360" s="58" t="str"/>
    </x:row>
    <x:row r="361" ht="52" customHeight="1">
      <x:c r="A361" s="58" t="str">
        <x:v>RUN-IOS-071</x:v>
      </x:c>
      <x:c r="B361" s="58" t="str">
        <x:v>PHOTO-005</x:v>
      </x:c>
      <x:c r="C361" s="58" t="str">
        <x:v>iOS Retest</x:v>
      </x:c>
      <x:c r="D361" s="63" t="n">
        <x:v>46260.447916666664</x:v>
      </x:c>
      <x:c r="E361" s="58" t="str">
        <x:v>iOS</x:v>
      </x:c>
      <x:c r="F361" s="58" t="str">
        <x:v>Automated + iOS simulator</x:v>
      </x:c>
      <x:c r="G361" s="58" t="str">
        <x:v>Pass</x:v>
      </x:c>
      <x:c r="H361" s="58" t="str">
        <x:v>Shared automated coverage passed and the applicable iOS route or safe interaction was exercised without fresh errors.</x:v>
      </x:c>
      <x:c r="I361" s="58" t="str"/>
      <x:c r="J361" s="58" t="str"/>
    </x:row>
    <x:row r="362" ht="52" customHeight="1">
      <x:c r="A362" s="58" t="str">
        <x:v>RUN-IOS-072</x:v>
      </x:c>
      <x:c r="B362" s="58" t="str">
        <x:v>PHOTO-006</x:v>
      </x:c>
      <x:c r="C362" s="58" t="str">
        <x:v>iOS Retest</x:v>
      </x:c>
      <x:c r="D362" s="63" t="n">
        <x:v>46260.447916666664</x:v>
      </x:c>
      <x:c r="E362" s="58" t="str">
        <x:v>iOS</x:v>
      </x:c>
      <x:c r="F362" s="58" t="str">
        <x:v>Automated + iOS simulator</x:v>
      </x:c>
      <x:c r="G362" s="58" t="str">
        <x:v>Pass</x:v>
      </x:c>
      <x:c r="H362" s="58" t="str">
        <x:v>Shared final regression passed; no iOS-specific divergence was present for this behavior.</x:v>
      </x:c>
      <x:c r="I362" s="58" t="str"/>
      <x:c r="J362" s="58" t="str"/>
    </x:row>
    <x:row r="363" ht="52" customHeight="1">
      <x:c r="A363" s="58" t="str">
        <x:v>RUN-IOS-073</x:v>
      </x:c>
      <x:c r="B363" s="58" t="str">
        <x:v>PHOTO-007</x:v>
      </x:c>
      <x:c r="C363" s="58" t="str">
        <x:v>iOS Retest</x:v>
      </x:c>
      <x:c r="D363" s="63" t="n">
        <x:v>46260.447916666664</x:v>
      </x:c>
      <x:c r="E363" s="58" t="str">
        <x:v>iOS</x:v>
      </x:c>
      <x:c r="F363" s="58" t="str">
        <x:v>Automated + iOS simulator</x:v>
      </x:c>
      <x:c r="G363" s="58" t="str">
        <x:v>Pass</x:v>
      </x:c>
      <x:c r="H363" s="58" t="str">
        <x:v>Linked regressions passed on iOS or in the shared automated suite: ERR-008.</x:v>
      </x:c>
      <x:c r="I363" s="58" t="str">
        <x:v>ERR-008</x:v>
      </x:c>
      <x:c r="J363" s="58" t="str"/>
    </x:row>
    <x:row r="364" ht="52" customHeight="1">
      <x:c r="A364" s="58" t="str">
        <x:v>RUN-IOS-074</x:v>
      </x:c>
      <x:c r="B364" s="58" t="str">
        <x:v>RECIPE-001</x:v>
      </x:c>
      <x:c r="C364" s="58" t="str">
        <x:v>iOS Retest</x:v>
      </x:c>
      <x:c r="D364" s="63" t="n">
        <x:v>46260.447916666664</x:v>
      </x:c>
      <x:c r="E364" s="58" t="str">
        <x:v>iOS</x:v>
      </x:c>
      <x:c r="F364" s="58" t="str">
        <x:v>Automated + iOS simulator</x:v>
      </x:c>
      <x:c r="G364" s="58" t="str">
        <x:v>Pass</x:v>
      </x:c>
      <x:c r="H364" s="58" t="str">
        <x:v>Shared automated coverage passed and the applicable iOS route or safe interaction was exercised without fresh errors.</x:v>
      </x:c>
      <x:c r="I364" s="58" t="str"/>
      <x:c r="J364" s="58" t="str"/>
    </x:row>
    <x:row r="365" ht="52" customHeight="1">
      <x:c r="A365" s="58" t="str">
        <x:v>RUN-IOS-075</x:v>
      </x:c>
      <x:c r="B365" s="58" t="str">
        <x:v>RECIPE-002</x:v>
      </x:c>
      <x:c r="C365" s="58" t="str">
        <x:v>iOS Retest</x:v>
      </x:c>
      <x:c r="D365" s="63" t="n">
        <x:v>46260.447916666664</x:v>
      </x:c>
      <x:c r="E365" s="58" t="str">
        <x:v>iOS</x:v>
      </x:c>
      <x:c r="F365" s="58" t="str">
        <x:v>Automated + iOS simulator</x:v>
      </x:c>
      <x:c r="G365" s="58" t="str">
        <x:v>Pass</x:v>
      </x:c>
      <x:c r="H365" s="58" t="str">
        <x:v>Shared automated coverage passed and the applicable iOS route or safe interaction was exercised without fresh errors.</x:v>
      </x:c>
      <x:c r="I365" s="58" t="str"/>
      <x:c r="J365" s="58" t="str"/>
    </x:row>
    <x:row r="366" ht="52" customHeight="1">
      <x:c r="A366" s="58" t="str">
        <x:v>RUN-IOS-076</x:v>
      </x:c>
      <x:c r="B366" s="58" t="str">
        <x:v>RECIPE-003</x:v>
      </x:c>
      <x:c r="C366" s="58" t="str">
        <x:v>iOS Retest</x:v>
      </x:c>
      <x:c r="D366" s="63" t="n">
        <x:v>46260.447916666664</x:v>
      </x:c>
      <x:c r="E366" s="58" t="str">
        <x:v>iOS</x:v>
      </x:c>
      <x:c r="F366" s="58" t="str">
        <x:v>Automated + iOS simulator</x:v>
      </x:c>
      <x:c r="G366" s="58" t="str">
        <x:v>Pass</x:v>
      </x:c>
      <x:c r="H366" s="58" t="str">
        <x:v>Shared automated coverage passed and the applicable iOS route or safe interaction was exercised without fresh errors.</x:v>
      </x:c>
      <x:c r="I366" s="58" t="str"/>
      <x:c r="J366" s="58" t="str"/>
    </x:row>
    <x:row r="367" ht="52" customHeight="1">
      <x:c r="A367" s="58" t="str">
        <x:v>RUN-IOS-077</x:v>
      </x:c>
      <x:c r="B367" s="58" t="str">
        <x:v>RECIPE-004</x:v>
      </x:c>
      <x:c r="C367" s="58" t="str">
        <x:v>iOS Retest</x:v>
      </x:c>
      <x:c r="D367" s="63" t="n">
        <x:v>46260.447916666664</x:v>
      </x:c>
      <x:c r="E367" s="58" t="str">
        <x:v>iOS</x:v>
      </x:c>
      <x:c r="F367" s="58" t="str">
        <x:v>Automated + iOS simulator</x:v>
      </x:c>
      <x:c r="G367" s="58" t="str">
        <x:v>Pass</x:v>
      </x:c>
      <x:c r="H367" s="58" t="str">
        <x:v>Shared final regression passed; no iOS-specific divergence was present for this behavior.</x:v>
      </x:c>
      <x:c r="I367" s="58" t="str"/>
      <x:c r="J367" s="58" t="str"/>
    </x:row>
    <x:row r="368" ht="52" customHeight="1">
      <x:c r="A368" s="58" t="str">
        <x:v>RUN-IOS-078</x:v>
      </x:c>
      <x:c r="B368" s="58" t="str">
        <x:v>RECIPE-005</x:v>
      </x:c>
      <x:c r="C368" s="58" t="str">
        <x:v>iOS Retest</x:v>
      </x:c>
      <x:c r="D368" s="63" t="n">
        <x:v>46260.447916666664</x:v>
      </x:c>
      <x:c r="E368" s="58" t="str">
        <x:v>iOS</x:v>
      </x:c>
      <x:c r="F368" s="58" t="str">
        <x:v>Automated + iOS simulator</x:v>
      </x:c>
      <x:c r="G368" s="58" t="str">
        <x:v>Pass</x:v>
      </x:c>
      <x:c r="H368" s="58" t="str">
        <x:v>Creating IOS Recipe QA reset and closed the editor and returned to the saved recipe list.</x:v>
      </x:c>
      <x:c r="I368" s="58" t="str">
        <x:v>ERR-006; ERR-032</x:v>
      </x:c>
      <x:c r="J368" s="58" t="str"/>
    </x:row>
    <x:row r="369" ht="52" customHeight="1">
      <x:c r="A369" s="58" t="str">
        <x:v>RUN-IOS-079</x:v>
      </x:c>
      <x:c r="B369" s="58" t="str">
        <x:v>RECIPE-006</x:v>
      </x:c>
      <x:c r="C369" s="58" t="str">
        <x:v>iOS Retest</x:v>
      </x:c>
      <x:c r="D369" s="63" t="n">
        <x:v>46260.447916666664</x:v>
      </x:c>
      <x:c r="E369" s="58" t="str">
        <x:v>iOS</x:v>
      </x:c>
      <x:c r="F369" s="58" t="str">
        <x:v>Automated + iOS simulator</x:v>
      </x:c>
      <x:c r="G369" s="58" t="str">
        <x:v>Pass</x:v>
      </x:c>
      <x:c r="H369" s="58" t="str">
        <x:v>Linked regressions passed on iOS or in the shared automated suite: ERR-007.</x:v>
      </x:c>
      <x:c r="I369" s="58" t="str">
        <x:v>ERR-007</x:v>
      </x:c>
      <x:c r="J369" s="58" t="str"/>
    </x:row>
    <x:row r="370" ht="52" customHeight="1">
      <x:c r="A370" s="58" t="str">
        <x:v>RUN-IOS-080</x:v>
      </x:c>
      <x:c r="B370" s="58" t="str">
        <x:v>RECIPE-007</x:v>
      </x:c>
      <x:c r="C370" s="58" t="str">
        <x:v>iOS Retest</x:v>
      </x:c>
      <x:c r="D370" s="63" t="n">
        <x:v>46260.447916666664</x:v>
      </x:c>
      <x:c r="E370" s="58" t="str">
        <x:v>iOS</x:v>
      </x:c>
      <x:c r="F370" s="58" t="str">
        <x:v>Automated + iOS simulator</x:v>
      </x:c>
      <x:c r="G370" s="58" t="str">
        <x:v>Pass</x:v>
      </x:c>
      <x:c r="H370" s="58" t="str">
        <x:v>Shared final regression passed; no iOS-specific divergence was present for this behavior.</x:v>
      </x:c>
      <x:c r="I370" s="58" t="str"/>
      <x:c r="J370" s="58" t="str"/>
    </x:row>
    <x:row r="371" ht="52" customHeight="1">
      <x:c r="A371" s="58" t="str">
        <x:v>RUN-IOS-081</x:v>
      </x:c>
      <x:c r="B371" s="58" t="str">
        <x:v>RECIPE-008</x:v>
      </x:c>
      <x:c r="C371" s="58" t="str">
        <x:v>iOS Retest</x:v>
      </x:c>
      <x:c r="D371" s="63" t="n">
        <x:v>46260.447916666664</x:v>
      </x:c>
      <x:c r="E371" s="58" t="str">
        <x:v>iOS</x:v>
      </x:c>
      <x:c r="F371" s="58" t="str">
        <x:v>Automated + iOS simulator</x:v>
      </x:c>
      <x:c r="G371" s="58" t="str">
        <x:v>Pass</x:v>
      </x:c>
      <x:c r="H371" s="58" t="str">
        <x:v>Breakfast defaulted from an empty meal query and the 165 kcal IOS Recipe QA log persisted on Today.</x:v>
      </x:c>
      <x:c r="I371" s="58" t="str">
        <x:v>ERR-035</x:v>
      </x:c>
      <x:c r="J371" s="58" t="str"/>
    </x:row>
    <x:row r="372" ht="52" customHeight="1">
      <x:c r="A372" s="58" t="str">
        <x:v>RUN-IOS-082</x:v>
      </x:c>
      <x:c r="B372" s="58" t="str">
        <x:v>RECIPE-009</x:v>
      </x:c>
      <x:c r="C372" s="58" t="str">
        <x:v>iOS Retest</x:v>
      </x:c>
      <x:c r="D372" s="63" t="n">
        <x:v>46260.447916666664</x:v>
      </x:c>
      <x:c r="E372" s="58" t="str">
        <x:v>iOS</x:v>
      </x:c>
      <x:c r="F372" s="58" t="str">
        <x:v>Automated + iOS simulator</x:v>
      </x:c>
      <x:c r="G372" s="58" t="str">
        <x:v>Pass</x:v>
      </x:c>
      <x:c r="H372" s="58" t="str">
        <x:v>Linked regressions passed on iOS or in the shared automated suite: ERR-014.</x:v>
      </x:c>
      <x:c r="I372" s="58" t="str">
        <x:v>ERR-014</x:v>
      </x:c>
      <x:c r="J372" s="58" t="str"/>
    </x:row>
    <x:row r="373" ht="52" customHeight="1">
      <x:c r="A373" s="58" t="str">
        <x:v>RUN-IOS-083</x:v>
      </x:c>
      <x:c r="B373" s="58" t="str">
        <x:v>WORK-001</x:v>
      </x:c>
      <x:c r="C373" s="58" t="str">
        <x:v>iOS Retest</x:v>
      </x:c>
      <x:c r="D373" s="63" t="n">
        <x:v>46260.447916666664</x:v>
      </x:c>
      <x:c r="E373" s="58" t="str">
        <x:v>iOS</x:v>
      </x:c>
      <x:c r="F373" s="58" t="str">
        <x:v>Automated + iOS simulator</x:v>
      </x:c>
      <x:c r="G373" s="58" t="str">
        <x:v>Pass</x:v>
      </x:c>
      <x:c r="H373" s="58" t="str">
        <x:v>Creating IOS Redirect Final persisted the 120 kcal workout and normalized the redirect to Today.</x:v>
      </x:c>
      <x:c r="I373" s="58" t="str">
        <x:v>ERR-028</x:v>
      </x:c>
      <x:c r="J373" s="58" t="str"/>
    </x:row>
    <x:row r="374" ht="52" customHeight="1">
      <x:c r="A374" s="58" t="str">
        <x:v>RUN-IOS-084</x:v>
      </x:c>
      <x:c r="B374" s="58" t="str">
        <x:v>WEEK-001</x:v>
      </x:c>
      <x:c r="C374" s="58" t="str">
        <x:v>iOS Retest</x:v>
      </x:c>
      <x:c r="D374" s="63" t="n">
        <x:v>46260.447916666664</x:v>
      </x:c>
      <x:c r="E374" s="58" t="str">
        <x:v>iOS</x:v>
      </x:c>
      <x:c r="F374" s="58" t="str">
        <x:v>Automated + iOS simulator</x:v>
      </x:c>
      <x:c r="G374" s="58" t="str">
        <x:v>Pass</x:v>
      </x:c>
      <x:c r="H374" s="58" t="str">
        <x:v>Shared automated coverage passed and the applicable iOS route or safe interaction was exercised without fresh errors.</x:v>
      </x:c>
      <x:c r="I374" s="58" t="str"/>
      <x:c r="J374" s="58" t="str"/>
    </x:row>
    <x:row r="375" ht="52" customHeight="1">
      <x:c r="A375" s="58" t="str">
        <x:v>RUN-IOS-085</x:v>
      </x:c>
      <x:c r="B375" s="58" t="str">
        <x:v>WEEK-002</x:v>
      </x:c>
      <x:c r="C375" s="58" t="str">
        <x:v>iOS Retest</x:v>
      </x:c>
      <x:c r="D375" s="63" t="n">
        <x:v>46260.447916666664</x:v>
      </x:c>
      <x:c r="E375" s="58" t="str">
        <x:v>iOS</x:v>
      </x:c>
      <x:c r="F375" s="58" t="str">
        <x:v>Automated + iOS simulator</x:v>
      </x:c>
      <x:c r="G375" s="58" t="str">
        <x:v>Pass</x:v>
      </x:c>
      <x:c r="H375" s="58" t="str">
        <x:v>Linked regressions passed on iOS or in the shared automated suite: ERR-004.</x:v>
      </x:c>
      <x:c r="I375" s="58" t="str">
        <x:v>ERR-004</x:v>
      </x:c>
      <x:c r="J375" s="58" t="str"/>
    </x:row>
    <x:row r="376" ht="52" customHeight="1">
      <x:c r="A376" s="58" t="str">
        <x:v>RUN-IOS-086</x:v>
      </x:c>
      <x:c r="B376" s="58" t="str">
        <x:v>WEEK-003</x:v>
      </x:c>
      <x:c r="C376" s="58" t="str">
        <x:v>iOS Retest</x:v>
      </x:c>
      <x:c r="D376" s="63" t="n">
        <x:v>46260.447916666664</x:v>
      </x:c>
      <x:c r="E376" s="58" t="str">
        <x:v>iOS</x:v>
      </x:c>
      <x:c r="F376" s="58" t="str">
        <x:v>Automated + iOS simulator</x:v>
      </x:c>
      <x:c r="G376" s="58" t="str">
        <x:v>Pass</x:v>
      </x:c>
      <x:c r="H376" s="58" t="str">
        <x:v>Shared automated coverage passed and the applicable iOS route or safe interaction was exercised without fresh errors.</x:v>
      </x:c>
      <x:c r="I376" s="58" t="str"/>
      <x:c r="J376" s="58" t="str"/>
    </x:row>
    <x:row r="377" ht="52" customHeight="1">
      <x:c r="A377" s="58" t="str">
        <x:v>RUN-IOS-087</x:v>
      </x:c>
      <x:c r="B377" s="58" t="str">
        <x:v>WEEK-004</x:v>
      </x:c>
      <x:c r="C377" s="58" t="str">
        <x:v>iOS Retest</x:v>
      </x:c>
      <x:c r="D377" s="63" t="n">
        <x:v>46260.447916666664</x:v>
      </x:c>
      <x:c r="E377" s="58" t="str">
        <x:v>iOS</x:v>
      </x:c>
      <x:c r="F377" s="58" t="str">
        <x:v>Automated + iOS simulator</x:v>
      </x:c>
      <x:c r="G377" s="58" t="str">
        <x:v>Pass</x:v>
      </x:c>
      <x:c r="H377" s="58" t="str">
        <x:v>Shared automated coverage passed and the applicable iOS route or safe interaction was exercised without fresh errors.</x:v>
      </x:c>
      <x:c r="I377" s="58" t="str"/>
      <x:c r="J377" s="58" t="str"/>
    </x:row>
    <x:row r="378" ht="52" customHeight="1">
      <x:c r="A378" s="58" t="str">
        <x:v>RUN-IOS-088</x:v>
      </x:c>
      <x:c r="B378" s="58" t="str">
        <x:v>WEEK-005</x:v>
      </x:c>
      <x:c r="C378" s="58" t="str">
        <x:v>iOS Retest</x:v>
      </x:c>
      <x:c r="D378" s="63" t="n">
        <x:v>46260.447916666664</x:v>
      </x:c>
      <x:c r="E378" s="58" t="str">
        <x:v>iOS</x:v>
      </x:c>
      <x:c r="F378" s="58" t="str">
        <x:v>Automated + iOS simulator</x:v>
      </x:c>
      <x:c r="G378" s="58" t="str">
        <x:v>Pass</x:v>
      </x:c>
      <x:c r="H378" s="58" t="str">
        <x:v>Shared automated coverage passed and the applicable iOS route or safe interaction was exercised without fresh errors.</x:v>
      </x:c>
      <x:c r="I378" s="58" t="str"/>
      <x:c r="J378" s="58" t="str"/>
    </x:row>
    <x:row r="379" ht="52" customHeight="1">
      <x:c r="A379" s="58" t="str">
        <x:v>RUN-IOS-089</x:v>
      </x:c>
      <x:c r="B379" s="58" t="str">
        <x:v>MAC-001</x:v>
      </x:c>
      <x:c r="C379" s="58" t="str">
        <x:v>iOS Retest</x:v>
      </x:c>
      <x:c r="D379" s="63" t="n">
        <x:v>46260.447916666664</x:v>
      </x:c>
      <x:c r="E379" s="58" t="str">
        <x:v>iOS</x:v>
      </x:c>
      <x:c r="F379" s="58" t="str">
        <x:v>Automated + iOS simulator</x:v>
      </x:c>
      <x:c r="G379" s="58" t="str">
        <x:v>Pass</x:v>
      </x:c>
      <x:c r="H379" s="58" t="str">
        <x:v>Shared automated coverage passed and the applicable iOS route or safe interaction was exercised without fresh errors.</x:v>
      </x:c>
      <x:c r="I379" s="58" t="str"/>
      <x:c r="J379" s="58" t="str"/>
    </x:row>
    <x:row r="380" ht="52" customHeight="1">
      <x:c r="A380" s="58" t="str">
        <x:v>RUN-IOS-090</x:v>
      </x:c>
      <x:c r="B380" s="58" t="str">
        <x:v>MAC-002</x:v>
      </x:c>
      <x:c r="C380" s="58" t="str">
        <x:v>iOS Retest</x:v>
      </x:c>
      <x:c r="D380" s="63" t="n">
        <x:v>46260.447916666664</x:v>
      </x:c>
      <x:c r="E380" s="58" t="str">
        <x:v>iOS</x:v>
      </x:c>
      <x:c r="F380" s="58" t="str">
        <x:v>Automated + iOS simulator</x:v>
      </x:c>
      <x:c r="G380" s="58" t="str">
        <x:v>Pass</x:v>
      </x:c>
      <x:c r="H380" s="58" t="str">
        <x:v>Shared final regression passed; no iOS-specific divergence was present for this behavior.</x:v>
      </x:c>
      <x:c r="I380" s="58" t="str"/>
      <x:c r="J380" s="58" t="str"/>
    </x:row>
    <x:row r="381" ht="52" customHeight="1">
      <x:c r="A381" s="58" t="str">
        <x:v>RUN-IOS-091</x:v>
      </x:c>
      <x:c r="B381" s="58" t="str">
        <x:v>MAC-003</x:v>
      </x:c>
      <x:c r="C381" s="58" t="str">
        <x:v>iOS Retest</x:v>
      </x:c>
      <x:c r="D381" s="63" t="n">
        <x:v>46260.447916666664</x:v>
      </x:c>
      <x:c r="E381" s="58" t="str">
        <x:v>iOS</x:v>
      </x:c>
      <x:c r="F381" s="58" t="str">
        <x:v>Automated + iOS simulator</x:v>
      </x:c>
      <x:c r="G381" s="58" t="str">
        <x:v>Pass</x:v>
      </x:c>
      <x:c r="H381" s="58" t="str">
        <x:v>Linked regressions passed on iOS or in the shared automated suite: ERR-003.</x:v>
      </x:c>
      <x:c r="I381" s="58" t="str">
        <x:v>ERR-003</x:v>
      </x:c>
      <x:c r="J381" s="58" t="str"/>
    </x:row>
    <x:row r="382" ht="52" customHeight="1">
      <x:c r="A382" s="58" t="str">
        <x:v>RUN-IOS-092</x:v>
      </x:c>
      <x:c r="B382" s="58" t="str">
        <x:v>PROG-001</x:v>
      </x:c>
      <x:c r="C382" s="58" t="str">
        <x:v>iOS Retest</x:v>
      </x:c>
      <x:c r="D382" s="63" t="n">
        <x:v>46260.447916666664</x:v>
      </x:c>
      <x:c r="E382" s="58" t="str">
        <x:v>iOS</x:v>
      </x:c>
      <x:c r="F382" s="58" t="str">
        <x:v>Automated + iOS simulator</x:v>
      </x:c>
      <x:c r="G382" s="58" t="str">
        <x:v>Pass</x:v>
      </x:c>
      <x:c r="H382" s="58" t="str">
        <x:v>Shared automated coverage passed and the applicable iOS route or safe interaction was exercised without fresh errors.</x:v>
      </x:c>
      <x:c r="I382" s="58" t="str"/>
      <x:c r="J382" s="58" t="str"/>
    </x:row>
    <x:row r="383" ht="52" customHeight="1">
      <x:c r="A383" s="58" t="str">
        <x:v>RUN-IOS-093</x:v>
      </x:c>
      <x:c r="B383" s="58" t="str">
        <x:v>PROG-002</x:v>
      </x:c>
      <x:c r="C383" s="58" t="str">
        <x:v>iOS Retest</x:v>
      </x:c>
      <x:c r="D383" s="63" t="n">
        <x:v>46260.447916666664</x:v>
      </x:c>
      <x:c r="E383" s="58" t="str">
        <x:v>iOS</x:v>
      </x:c>
      <x:c r="F383" s="58" t="str">
        <x:v>Automated + iOS simulator</x:v>
      </x:c>
      <x:c r="G383" s="58" t="str">
        <x:v>Pass</x:v>
      </x:c>
      <x:c r="H383" s="58" t="str">
        <x:v>Shared automated coverage passed and the applicable iOS route or safe interaction was exercised without fresh errors.</x:v>
      </x:c>
      <x:c r="I383" s="58" t="str"/>
      <x:c r="J383" s="58" t="str"/>
    </x:row>
    <x:row r="384" ht="52" customHeight="1">
      <x:c r="A384" s="58" t="str">
        <x:v>RUN-IOS-094</x:v>
      </x:c>
      <x:c r="B384" s="58" t="str">
        <x:v>PROG-003</x:v>
      </x:c>
      <x:c r="C384" s="58" t="str">
        <x:v>iOS Retest</x:v>
      </x:c>
      <x:c r="D384" s="63" t="n">
        <x:v>46260.447916666664</x:v>
      </x:c>
      <x:c r="E384" s="58" t="str">
        <x:v>iOS</x:v>
      </x:c>
      <x:c r="F384" s="58" t="str">
        <x:v>Automated + iOS simulator</x:v>
      </x:c>
      <x:c r="G384" s="58" t="str">
        <x:v>Pass</x:v>
      </x:c>
      <x:c r="H384" s="58" t="str">
        <x:v>Shared automated coverage passed and the applicable iOS route or safe interaction was exercised without fresh errors.</x:v>
      </x:c>
      <x:c r="I384" s="58" t="str"/>
      <x:c r="J384" s="58" t="str"/>
    </x:row>
    <x:row r="385" ht="52" customHeight="1">
      <x:c r="A385" s="58" t="str">
        <x:v>RUN-IOS-095</x:v>
      </x:c>
      <x:c r="B385" s="58" t="str">
        <x:v>PROG-004</x:v>
      </x:c>
      <x:c r="C385" s="58" t="str">
        <x:v>iOS Retest</x:v>
      </x:c>
      <x:c r="D385" s="63" t="n">
        <x:v>46260.447916666664</x:v>
      </x:c>
      <x:c r="E385" s="58" t="str">
        <x:v>iOS</x:v>
      </x:c>
      <x:c r="F385" s="58" t="str">
        <x:v>Automated + iOS simulator</x:v>
      </x:c>
      <x:c r="G385" s="58" t="str">
        <x:v>Pass</x:v>
      </x:c>
      <x:c r="H385" s="58" t="str">
        <x:v>Shared automated coverage passed and the applicable iOS route or safe interaction was exercised without fresh errors.</x:v>
      </x:c>
      <x:c r="I385" s="58" t="str"/>
      <x:c r="J385" s="58" t="str"/>
    </x:row>
    <x:row r="386" ht="52" customHeight="1">
      <x:c r="A386" s="58" t="str">
        <x:v>RUN-IOS-096</x:v>
      </x:c>
      <x:c r="B386" s="58" t="str">
        <x:v>PROG-005</x:v>
      </x:c>
      <x:c r="C386" s="58" t="str">
        <x:v>iOS Retest</x:v>
      </x:c>
      <x:c r="D386" s="63" t="n">
        <x:v>46260.447916666664</x:v>
      </x:c>
      <x:c r="E386" s="58" t="str">
        <x:v>iOS</x:v>
      </x:c>
      <x:c r="F386" s="58" t="str">
        <x:v>Automated + iOS simulator</x:v>
      </x:c>
      <x:c r="G386" s="58" t="str">
        <x:v>Pass</x:v>
      </x:c>
      <x:c r="H386" s="58" t="str">
        <x:v>Shared automated coverage passed and the applicable iOS route or safe interaction was exercised without fresh errors.</x:v>
      </x:c>
      <x:c r="I386" s="58" t="str"/>
      <x:c r="J386" s="58" t="str"/>
    </x:row>
    <x:row r="387" ht="52" customHeight="1">
      <x:c r="A387" s="58" t="str">
        <x:v>RUN-IOS-097</x:v>
      </x:c>
      <x:c r="B387" s="58" t="str">
        <x:v>PROG-006</x:v>
      </x:c>
      <x:c r="C387" s="58" t="str">
        <x:v>iOS Retest</x:v>
      </x:c>
      <x:c r="D387" s="63" t="n">
        <x:v>46260.447916666664</x:v>
      </x:c>
      <x:c r="E387" s="58" t="str">
        <x:v>iOS</x:v>
      </x:c>
      <x:c r="F387" s="58" t="str">
        <x:v>Automated + iOS simulator</x:v>
      </x:c>
      <x:c r="G387" s="58" t="str">
        <x:v>Pass</x:v>
      </x:c>
      <x:c r="H387" s="58" t="str">
        <x:v>Shared automated coverage passed and the applicable iOS route or safe interaction was exercised without fresh errors.</x:v>
      </x:c>
      <x:c r="I387" s="58" t="str"/>
      <x:c r="J387" s="58" t="str"/>
    </x:row>
    <x:row r="388" ht="52" customHeight="1">
      <x:c r="A388" s="58" t="str">
        <x:v>RUN-IOS-098</x:v>
      </x:c>
      <x:c r="B388" s="58" t="str">
        <x:v>PROG-007</x:v>
      </x:c>
      <x:c r="C388" s="58" t="str">
        <x:v>iOS Retest</x:v>
      </x:c>
      <x:c r="D388" s="63" t="n">
        <x:v>46260.447916666664</x:v>
      </x:c>
      <x:c r="E388" s="58" t="str">
        <x:v>iOS</x:v>
      </x:c>
      <x:c r="F388" s="58" t="str">
        <x:v>Automated + iOS simulator</x:v>
      </x:c>
      <x:c r="G388" s="58" t="str">
        <x:v>Pass</x:v>
      </x:c>
      <x:c r="H388" s="58" t="str">
        <x:v>Linked regressions passed on iOS or in the shared automated suite: ERR-016.</x:v>
      </x:c>
      <x:c r="I388" s="58" t="str">
        <x:v>ERR-016</x:v>
      </x:c>
      <x:c r="J388" s="58" t="str"/>
    </x:row>
    <x:row r="389" ht="52" customHeight="1">
      <x:c r="A389" s="58" t="str">
        <x:v>RUN-IOS-099</x:v>
      </x:c>
      <x:c r="B389" s="58" t="str">
        <x:v>PROG-008</x:v>
      </x:c>
      <x:c r="C389" s="58" t="str">
        <x:v>iOS Retest</x:v>
      </x:c>
      <x:c r="D389" s="63" t="n">
        <x:v>46260.447916666664</x:v>
      </x:c>
      <x:c r="E389" s="58" t="str">
        <x:v>iOS</x:v>
      </x:c>
      <x:c r="F389" s="58" t="str">
        <x:v>Automated + iOS simulator</x:v>
      </x:c>
      <x:c r="G389" s="58" t="str">
        <x:v>Pass</x:v>
      </x:c>
      <x:c r="H389" s="58" t="str">
        <x:v>Shared automated coverage passed and the applicable iOS route or safe interaction was exercised without fresh errors.</x:v>
      </x:c>
      <x:c r="I389" s="58" t="str"/>
      <x:c r="J389" s="58" t="str"/>
    </x:row>
    <x:row r="390" ht="52" customHeight="1">
      <x:c r="A390" s="58" t="str">
        <x:v>RUN-IOS-100</x:v>
      </x:c>
      <x:c r="B390" s="58" t="str">
        <x:v>PROG-009</x:v>
      </x:c>
      <x:c r="C390" s="58" t="str">
        <x:v>iOS Retest</x:v>
      </x:c>
      <x:c r="D390" s="63" t="n">
        <x:v>46260.447916666664</x:v>
      </x:c>
      <x:c r="E390" s="58" t="str">
        <x:v>iOS</x:v>
      </x:c>
      <x:c r="F390" s="58" t="str">
        <x:v>Automated + iOS simulator</x:v>
      </x:c>
      <x:c r="G390" s="58" t="str">
        <x:v>Pass</x:v>
      </x:c>
      <x:c r="H390" s="58" t="str">
        <x:v>Shared automated coverage passed and the applicable iOS route or safe interaction was exercised without fresh errors.</x:v>
      </x:c>
      <x:c r="I390" s="58" t="str"/>
      <x:c r="J390" s="58" t="str"/>
    </x:row>
    <x:row r="391" ht="52" customHeight="1">
      <x:c r="A391" s="58" t="str">
        <x:v>RUN-IOS-101</x:v>
      </x:c>
      <x:c r="B391" s="58" t="str">
        <x:v>PROG-010</x:v>
      </x:c>
      <x:c r="C391" s="58" t="str">
        <x:v>iOS Retest</x:v>
      </x:c>
      <x:c r="D391" s="63" t="n">
        <x:v>46260.447916666664</x:v>
      </x:c>
      <x:c r="E391" s="58" t="str">
        <x:v>iOS</x:v>
      </x:c>
      <x:c r="F391" s="58" t="str">
        <x:v>Automated + iOS simulator</x:v>
      </x:c>
      <x:c r="G391" s="58" t="str">
        <x:v>Pass</x:v>
      </x:c>
      <x:c r="H391" s="58" t="str">
        <x:v>Shared automated coverage passed and the applicable iOS route or safe interaction was exercised without fresh errors.</x:v>
      </x:c>
      <x:c r="I391" s="58" t="str"/>
      <x:c r="J391" s="58" t="str"/>
    </x:row>
    <x:row r="392" ht="52" customHeight="1">
      <x:c r="A392" s="58" t="str">
        <x:v>RUN-IOS-102</x:v>
      </x:c>
      <x:c r="B392" s="58" t="str">
        <x:v>PROG-011</x:v>
      </x:c>
      <x:c r="C392" s="58" t="str">
        <x:v>iOS Retest</x:v>
      </x:c>
      <x:c r="D392" s="63" t="n">
        <x:v>46260.447916666664</x:v>
      </x:c>
      <x:c r="E392" s="58" t="str">
        <x:v>iOS</x:v>
      </x:c>
      <x:c r="F392" s="58" t="str">
        <x:v>Automated + iOS simulator</x:v>
      </x:c>
      <x:c r="G392" s="58" t="str">
        <x:v>Pass</x:v>
      </x:c>
      <x:c r="H392" s="58" t="str">
        <x:v>Shared automated coverage passed and the applicable iOS route or safe interaction was exercised without fresh errors.</x:v>
      </x:c>
      <x:c r="I392" s="58" t="str"/>
      <x:c r="J392" s="58" t="str"/>
    </x:row>
    <x:row r="393" ht="52" customHeight="1">
      <x:c r="A393" s="58" t="str">
        <x:v>RUN-IOS-103</x:v>
      </x:c>
      <x:c r="B393" s="58" t="str">
        <x:v>PROG-012</x:v>
      </x:c>
      <x:c r="C393" s="58" t="str">
        <x:v>iOS Retest</x:v>
      </x:c>
      <x:c r="D393" s="63" t="n">
        <x:v>46260.447916666664</x:v>
      </x:c>
      <x:c r="E393" s="58" t="str">
        <x:v>iOS</x:v>
      </x:c>
      <x:c r="F393" s="58" t="str">
        <x:v>Automated + iOS simulator</x:v>
      </x:c>
      <x:c r="G393" s="58" t="str">
        <x:v>Pass</x:v>
      </x:c>
      <x:c r="H393" s="58" t="str">
        <x:v>Linked regressions passed on iOS or in the shared automated suite: ERR-022, ERR-023.</x:v>
      </x:c>
      <x:c r="I393" s="58" t="str">
        <x:v>ERR-022; ERR-023</x:v>
      </x:c>
      <x:c r="J393" s="58" t="str"/>
    </x:row>
    <x:row r="394" ht="52" customHeight="1">
      <x:c r="A394" s="58" t="str">
        <x:v>RUN-IOS-104</x:v>
      </x:c>
      <x:c r="B394" s="58" t="str">
        <x:v>PROG-013</x:v>
      </x:c>
      <x:c r="C394" s="58" t="str">
        <x:v>iOS Retest</x:v>
      </x:c>
      <x:c r="D394" s="63" t="n">
        <x:v>46260.447916666664</x:v>
      </x:c>
      <x:c r="E394" s="58" t="str">
        <x:v>iOS</x:v>
      </x:c>
      <x:c r="F394" s="58" t="str">
        <x:v>Automated + iOS simulator</x:v>
      </x:c>
      <x:c r="G394" s="58" t="str">
        <x:v>Pass</x:v>
      </x:c>
      <x:c r="H394" s="58" t="str">
        <x:v>Linked regressions passed on iOS or in the shared automated suite: ERR-023.</x:v>
      </x:c>
      <x:c r="I394" s="58" t="str">
        <x:v>ERR-023</x:v>
      </x:c>
      <x:c r="J394" s="58" t="str"/>
    </x:row>
    <x:row r="395" ht="52" customHeight="1">
      <x:c r="A395" s="58" t="str">
        <x:v>RUN-IOS-105</x:v>
      </x:c>
      <x:c r="B395" s="58" t="str">
        <x:v>PROG-014</x:v>
      </x:c>
      <x:c r="C395" s="58" t="str">
        <x:v>iOS Retest</x:v>
      </x:c>
      <x:c r="D395" s="63" t="n">
        <x:v>46260.447916666664</x:v>
      </x:c>
      <x:c r="E395" s="58" t="str">
        <x:v>iOS</x:v>
      </x:c>
      <x:c r="F395" s="58" t="str">
        <x:v>Automated + iOS simulator</x:v>
      </x:c>
      <x:c r="G395" s="58" t="str">
        <x:v>Pass</x:v>
      </x:c>
      <x:c r="H395" s="58" t="str">
        <x:v>Shared automated coverage passed and the applicable iOS route or safe interaction was exercised without fresh errors.</x:v>
      </x:c>
      <x:c r="I395" s="58" t="str"/>
      <x:c r="J395" s="58" t="str"/>
    </x:row>
    <x:row r="396" ht="52" customHeight="1">
      <x:c r="A396" s="58" t="str">
        <x:v>RUN-IOS-106</x:v>
      </x:c>
      <x:c r="B396" s="58" t="str">
        <x:v>PROG-015</x:v>
      </x:c>
      <x:c r="C396" s="58" t="str">
        <x:v>iOS Retest</x:v>
      </x:c>
      <x:c r="D396" s="63" t="n">
        <x:v>46260.447916666664</x:v>
      </x:c>
      <x:c r="E396" s="58" t="str">
        <x:v>iOS</x:v>
      </x:c>
      <x:c r="F396" s="58" t="str">
        <x:v>Automated + iOS simulator</x:v>
      </x:c>
      <x:c r="G396" s="58" t="str">
        <x:v>Pass</x:v>
      </x:c>
      <x:c r="H396" s="58" t="str">
        <x:v>Shared automated coverage passed and the applicable iOS route or safe interaction was exercised without fresh errors.</x:v>
      </x:c>
      <x:c r="I396" s="58" t="str"/>
      <x:c r="J396" s="58" t="str"/>
    </x:row>
    <x:row r="397" ht="52" customHeight="1">
      <x:c r="A397" s="58" t="str">
        <x:v>RUN-IOS-107</x:v>
      </x:c>
      <x:c r="B397" s="58" t="str">
        <x:v>PROG-016</x:v>
      </x:c>
      <x:c r="C397" s="58" t="str">
        <x:v>iOS Retest</x:v>
      </x:c>
      <x:c r="D397" s="63" t="n">
        <x:v>46260.447916666664</x:v>
      </x:c>
      <x:c r="E397" s="58" t="str">
        <x:v>iOS</x:v>
      </x:c>
      <x:c r="F397" s="58" t="str">
        <x:v>Automated + iOS simulator</x:v>
      </x:c>
      <x:c r="G397" s="58" t="str">
        <x:v>Pass</x:v>
      </x:c>
      <x:c r="H397" s="58" t="str">
        <x:v>Shared automated coverage passed and the applicable iOS route or safe interaction was exercised without fresh errors.</x:v>
      </x:c>
      <x:c r="I397" s="58" t="str"/>
      <x:c r="J397" s="58" t="str"/>
    </x:row>
    <x:row r="398" ht="52" customHeight="1">
      <x:c r="A398" s="58" t="str">
        <x:v>RUN-IOS-108</x:v>
      </x:c>
      <x:c r="B398" s="58" t="str">
        <x:v>PROG-017</x:v>
      </x:c>
      <x:c r="C398" s="58" t="str">
        <x:v>iOS Retest</x:v>
      </x:c>
      <x:c r="D398" s="63" t="n">
        <x:v>46260.447916666664</x:v>
      </x:c>
      <x:c r="E398" s="58" t="str">
        <x:v>iOS</x:v>
      </x:c>
      <x:c r="F398" s="58" t="str">
        <x:v>Automated + iOS simulator</x:v>
      </x:c>
      <x:c r="G398" s="58" t="str">
        <x:v>Pass</x:v>
      </x:c>
      <x:c r="H398" s="58" t="str">
        <x:v>Linked regressions passed on iOS or in the shared automated suite: ERR-011.</x:v>
      </x:c>
      <x:c r="I398" s="58" t="str">
        <x:v>ERR-011</x:v>
      </x:c>
      <x:c r="J398" s="58" t="str"/>
    </x:row>
    <x:row r="399" ht="52" customHeight="1">
      <x:c r="A399" s="58" t="str">
        <x:v>RUN-IOS-109</x:v>
      </x:c>
      <x:c r="B399" s="58" t="str">
        <x:v>PROG-018</x:v>
      </x:c>
      <x:c r="C399" s="58" t="str">
        <x:v>iOS Retest</x:v>
      </x:c>
      <x:c r="D399" s="63" t="n">
        <x:v>46260.447916666664</x:v>
      </x:c>
      <x:c r="E399" s="58" t="str">
        <x:v>iOS</x:v>
      </x:c>
      <x:c r="F399" s="58" t="str">
        <x:v>Automated + iOS simulator</x:v>
      </x:c>
      <x:c r="G399" s="58" t="str">
        <x:v>Pass</x:v>
      </x:c>
      <x:c r="H399" s="58" t="str">
        <x:v>Shared automated coverage passed and the applicable iOS route or safe interaction was exercised without fresh errors.</x:v>
      </x:c>
      <x:c r="I399" s="58" t="str"/>
      <x:c r="J399" s="58" t="str"/>
    </x:row>
    <x:row r="400" ht="52" customHeight="1">
      <x:c r="A400" s="58" t="str">
        <x:v>RUN-IOS-110</x:v>
      </x:c>
      <x:c r="B400" s="58" t="str">
        <x:v>PROG-019</x:v>
      </x:c>
      <x:c r="C400" s="58" t="str">
        <x:v>iOS Retest</x:v>
      </x:c>
      <x:c r="D400" s="63" t="n">
        <x:v>46260.447916666664</x:v>
      </x:c>
      <x:c r="E400" s="58" t="str">
        <x:v>iOS</x:v>
      </x:c>
      <x:c r="F400" s="58" t="str">
        <x:v>Automated + iOS simulator</x:v>
      </x:c>
      <x:c r="G400" s="58" t="str">
        <x:v>Pass</x:v>
      </x:c>
      <x:c r="H400" s="58" t="str">
        <x:v>Linked regressions passed on iOS or in the shared automated suite: ERR-013.</x:v>
      </x:c>
      <x:c r="I400" s="58" t="str">
        <x:v>ERR-013</x:v>
      </x:c>
      <x:c r="J400" s="58" t="str"/>
    </x:row>
    <x:row r="401" ht="52" customHeight="1">
      <x:c r="A401" s="58" t="str">
        <x:v>RUN-IOS-111</x:v>
      </x:c>
      <x:c r="B401" s="58" t="str">
        <x:v>PROG-020</x:v>
      </x:c>
      <x:c r="C401" s="58" t="str">
        <x:v>iOS Retest</x:v>
      </x:c>
      <x:c r="D401" s="63" t="n">
        <x:v>46260.447916666664</x:v>
      </x:c>
      <x:c r="E401" s="58" t="str">
        <x:v>iOS</x:v>
      </x:c>
      <x:c r="F401" s="58" t="str">
        <x:v>Automated + iOS simulator</x:v>
      </x:c>
      <x:c r="G401" s="58" t="str">
        <x:v>Pass</x:v>
      </x:c>
      <x:c r="H401" s="58" t="str">
        <x:v>Linked regressions passed on iOS or in the shared automated suite: ERR-010.</x:v>
      </x:c>
      <x:c r="I401" s="58" t="str">
        <x:v>ERR-010</x:v>
      </x:c>
      <x:c r="J401" s="58" t="str"/>
    </x:row>
    <x:row r="402" ht="52" customHeight="1">
      <x:c r="A402" s="58" t="str">
        <x:v>RUN-IOS-112</x:v>
      </x:c>
      <x:c r="B402" s="58" t="str">
        <x:v>PROG-021</x:v>
      </x:c>
      <x:c r="C402" s="58" t="str">
        <x:v>iOS Retest</x:v>
      </x:c>
      <x:c r="D402" s="63" t="n">
        <x:v>46260.447916666664</x:v>
      </x:c>
      <x:c r="E402" s="58" t="str">
        <x:v>iOS</x:v>
      </x:c>
      <x:c r="F402" s="58" t="str">
        <x:v>Automated + iOS simulator</x:v>
      </x:c>
      <x:c r="G402" s="58" t="str">
        <x:v>Pass</x:v>
      </x:c>
      <x:c r="H402" s="58" t="str">
        <x:v>Linked regressions passed on iOS or in the shared automated suite: ERR-012.</x:v>
      </x:c>
      <x:c r="I402" s="58" t="str">
        <x:v>ERR-012</x:v>
      </x:c>
      <x:c r="J402" s="58" t="str"/>
    </x:row>
    <x:row r="403" ht="52" customHeight="1">
      <x:c r="A403" s="58" t="str">
        <x:v>RUN-IOS-113</x:v>
      </x:c>
      <x:c r="B403" s="58" t="str">
        <x:v>SET-001</x:v>
      </x:c>
      <x:c r="C403" s="58" t="str">
        <x:v>iOS Retest</x:v>
      </x:c>
      <x:c r="D403" s="63" t="n">
        <x:v>46260.447916666664</x:v>
      </x:c>
      <x:c r="E403" s="58" t="str">
        <x:v>iOS</x:v>
      </x:c>
      <x:c r="F403" s="58" t="str">
        <x:v>Automated + iOS simulator</x:v>
      </x:c>
      <x:c r="G403" s="58" t="str">
        <x:v>Pass</x:v>
      </x:c>
      <x:c r="H403" s="58" t="str">
        <x:v>Shared automated coverage passed and the applicable iOS route or safe interaction was exercised without fresh errors.</x:v>
      </x:c>
      <x:c r="I403" s="58" t="str"/>
      <x:c r="J403" s="58" t="str"/>
    </x:row>
    <x:row r="404" ht="52" customHeight="1">
      <x:c r="A404" s="58" t="str">
        <x:v>RUN-IOS-114</x:v>
      </x:c>
      <x:c r="B404" s="58" t="str">
        <x:v>SET-002</x:v>
      </x:c>
      <x:c r="C404" s="58" t="str">
        <x:v>iOS Retest</x:v>
      </x:c>
      <x:c r="D404" s="63" t="n">
        <x:v>46260.447916666664</x:v>
      </x:c>
      <x:c r="E404" s="58" t="str">
        <x:v>iOS</x:v>
      </x:c>
      <x:c r="F404" s="58" t="str">
        <x:v>Automated + iOS simulator</x:v>
      </x:c>
      <x:c r="G404" s="58" t="str">
        <x:v>Pass</x:v>
      </x:c>
      <x:c r="H404" s="58" t="str">
        <x:v>Shared automated coverage passed and the applicable iOS route or safe interaction was exercised without fresh errors.</x:v>
      </x:c>
      <x:c r="I404" s="58" t="str"/>
      <x:c r="J404" s="58" t="str"/>
    </x:row>
    <x:row r="405" ht="52" customHeight="1">
      <x:c r="A405" s="58" t="str">
        <x:v>RUN-IOS-115</x:v>
      </x:c>
      <x:c r="B405" s="58" t="str">
        <x:v>SET-003</x:v>
      </x:c>
      <x:c r="C405" s="58" t="str">
        <x:v>iOS Retest</x:v>
      </x:c>
      <x:c r="D405" s="63" t="n">
        <x:v>46260.447916666664</x:v>
      </x:c>
      <x:c r="E405" s="58" t="str">
        <x:v>iOS</x:v>
      </x:c>
      <x:c r="F405" s="58" t="str">
        <x:v>Automated + iOS simulator</x:v>
      </x:c>
      <x:c r="G405" s="58" t="str">
        <x:v>Pass</x:v>
      </x:c>
      <x:c r="H405" s="58" t="str">
        <x:v>Shared automated coverage passed and the applicable iOS route or safe interaction was exercised without fresh errors.</x:v>
      </x:c>
      <x:c r="I405" s="58" t="str"/>
      <x:c r="J405" s="58" t="str"/>
    </x:row>
    <x:row r="406" ht="52" customHeight="1">
      <x:c r="A406" s="58" t="str">
        <x:v>RUN-IOS-116</x:v>
      </x:c>
      <x:c r="B406" s="58" t="str">
        <x:v>SET-004</x:v>
      </x:c>
      <x:c r="C406" s="58" t="str">
        <x:v>iOS Retest</x:v>
      </x:c>
      <x:c r="D406" s="63" t="n">
        <x:v>46260.447916666664</x:v>
      </x:c>
      <x:c r="E406" s="58" t="str">
        <x:v>iOS</x:v>
      </x:c>
      <x:c r="F406" s="58" t="str">
        <x:v>Automated + iOS simulator</x:v>
      </x:c>
      <x:c r="G406" s="58" t="str">
        <x:v>Pass</x:v>
      </x:c>
      <x:c r="H406" s="58" t="str">
        <x:v>Shared automated coverage passed and the applicable iOS route or safe interaction was exercised without fresh errors.</x:v>
      </x:c>
      <x:c r="I406" s="58" t="str"/>
      <x:c r="J406" s="58" t="str"/>
    </x:row>
    <x:row r="407" ht="52" customHeight="1">
      <x:c r="A407" s="58" t="str">
        <x:v>RUN-IOS-117</x:v>
      </x:c>
      <x:c r="B407" s="58" t="str">
        <x:v>SET-005</x:v>
      </x:c>
      <x:c r="C407" s="58" t="str">
        <x:v>iOS Retest</x:v>
      </x:c>
      <x:c r="D407" s="63" t="n">
        <x:v>46260.447916666664</x:v>
      </x:c>
      <x:c r="E407" s="58" t="str">
        <x:v>iOS</x:v>
      </x:c>
      <x:c r="F407" s="58" t="str">
        <x:v>Platform applicability review</x:v>
      </x:c>
      <x:c r="G407" s="58" t="str">
        <x:v>Not applicable</x:v>
      </x:c>
      <x:c r="H407" s="58" t="str">
        <x:v>Android-only behavior; correctly omitted from the iOS build.</x:v>
      </x:c>
      <x:c r="I407" s="58" t="str">
        <x:v>ERR-021</x:v>
      </x:c>
      <x:c r="J407" s="58" t="str">
        <x:v>Covered in the completed Android run; not shipped on iOS.</x:v>
      </x:c>
    </x:row>
    <x:row r="408" ht="52" customHeight="1">
      <x:c r="A408" s="58" t="str">
        <x:v>RUN-IOS-118</x:v>
      </x:c>
      <x:c r="B408" s="58" t="str">
        <x:v>SET-006</x:v>
      </x:c>
      <x:c r="C408" s="58" t="str">
        <x:v>iOS Retest</x:v>
      </x:c>
      <x:c r="D408" s="63" t="n">
        <x:v>46260.447916666664</x:v>
      </x:c>
      <x:c r="E408" s="58" t="str">
        <x:v>iOS</x:v>
      </x:c>
      <x:c r="F408" s="58" t="str">
        <x:v>Platform applicability review</x:v>
      </x:c>
      <x:c r="G408" s="58" t="str">
        <x:v>Not applicable</x:v>
      </x:c>
      <x:c r="H408" s="58" t="str">
        <x:v>Android-only behavior; correctly omitted from the iOS build.</x:v>
      </x:c>
      <x:c r="I408" s="58" t="str"/>
      <x:c r="J408" s="58" t="str">
        <x:v>Covered in the completed Android run; not shipped on iOS.</x:v>
      </x:c>
    </x:row>
    <x:row r="409" ht="52" customHeight="1">
      <x:c r="A409" s="58" t="str">
        <x:v>RUN-IOS-119</x:v>
      </x:c>
      <x:c r="B409" s="58" t="str">
        <x:v>SET-007</x:v>
      </x:c>
      <x:c r="C409" s="58" t="str">
        <x:v>iOS Retest</x:v>
      </x:c>
      <x:c r="D409" s="63" t="n">
        <x:v>46260.447916666664</x:v>
      </x:c>
      <x:c r="E409" s="58" t="str">
        <x:v>iOS</x:v>
      </x:c>
      <x:c r="F409" s="58" t="str">
        <x:v>Platform applicability review</x:v>
      </x:c>
      <x:c r="G409" s="58" t="str">
        <x:v>Not applicable</x:v>
      </x:c>
      <x:c r="H409" s="58" t="str">
        <x:v>Android-only behavior; correctly omitted from the iOS build.</x:v>
      </x:c>
      <x:c r="I409" s="58" t="str">
        <x:v>ERR-005; ERR-021</x:v>
      </x:c>
      <x:c r="J409" s="58" t="str">
        <x:v>Covered in the completed Android run; not shipped on iOS.</x:v>
      </x:c>
    </x:row>
    <x:row r="410" ht="52" customHeight="1">
      <x:c r="A410" s="58" t="str">
        <x:v>RUN-IOS-120</x:v>
      </x:c>
      <x:c r="B410" s="58" t="str">
        <x:v>SET-008</x:v>
      </x:c>
      <x:c r="C410" s="58" t="str">
        <x:v>iOS Retest</x:v>
      </x:c>
      <x:c r="D410" s="63" t="n">
        <x:v>46260.447916666664</x:v>
      </x:c>
      <x:c r="E410" s="58" t="str">
        <x:v>iOS</x:v>
      </x:c>
      <x:c r="F410" s="58" t="str">
        <x:v>Automated + iOS simulator</x:v>
      </x:c>
      <x:c r="G410" s="58" t="str">
        <x:v>Pass</x:v>
      </x:c>
      <x:c r="H410" s="58" t="str">
        <x:v>Shared automated coverage passed and the applicable iOS route or safe interaction was exercised without fresh errors.</x:v>
      </x:c>
      <x:c r="I410" s="58" t="str"/>
      <x:c r="J410" s="58" t="str"/>
    </x:row>
    <x:row r="411" ht="52" customHeight="1">
      <x:c r="A411" s="58" t="str">
        <x:v>RUN-IOS-121</x:v>
      </x:c>
      <x:c r="B411" s="58" t="str">
        <x:v>SET-009</x:v>
      </x:c>
      <x:c r="C411" s="58" t="str">
        <x:v>iOS Retest</x:v>
      </x:c>
      <x:c r="D411" s="63" t="n">
        <x:v>46260.447916666664</x:v>
      </x:c>
      <x:c r="E411" s="58" t="str">
        <x:v>iOS</x:v>
      </x:c>
      <x:c r="F411" s="58" t="str">
        <x:v>Automated + iOS simulator</x:v>
      </x:c>
      <x:c r="G411" s="58" t="str">
        <x:v>Pass</x:v>
      </x:c>
      <x:c r="H411" s="58" t="str">
        <x:v>Shared automated coverage passed and the applicable iOS route or safe interaction was exercised without fresh errors.</x:v>
      </x:c>
      <x:c r="I411" s="58" t="str"/>
      <x:c r="J411" s="58" t="str"/>
    </x:row>
    <x:row r="412" ht="52" customHeight="1">
      <x:c r="A412" s="58" t="str">
        <x:v>RUN-IOS-122</x:v>
      </x:c>
      <x:c r="B412" s="58" t="str">
        <x:v>SET-010</x:v>
      </x:c>
      <x:c r="C412" s="58" t="str">
        <x:v>iOS Retest</x:v>
      </x:c>
      <x:c r="D412" s="63" t="n">
        <x:v>46260.447916666664</x:v>
      </x:c>
      <x:c r="E412" s="58" t="str">
        <x:v>iOS</x:v>
      </x:c>
      <x:c r="F412" s="58" t="str">
        <x:v>Automated + iOS simulator</x:v>
      </x:c>
      <x:c r="G412" s="58" t="str">
        <x:v>Pass</x:v>
      </x:c>
      <x:c r="H412" s="58" t="str">
        <x:v>Shared automated coverage passed and the applicable iOS route or safe interaction was exercised without fresh errors.</x:v>
      </x:c>
      <x:c r="I412" s="58" t="str"/>
      <x:c r="J412" s="58" t="str"/>
    </x:row>
    <x:row r="413" ht="52" customHeight="1">
      <x:c r="A413" s="58" t="str">
        <x:v>RUN-IOS-123</x:v>
      </x:c>
      <x:c r="B413" s="58" t="str">
        <x:v>SET-011</x:v>
      </x:c>
      <x:c r="C413" s="58" t="str">
        <x:v>iOS Retest</x:v>
      </x:c>
      <x:c r="D413" s="63" t="n">
        <x:v>46260.447916666664</x:v>
      </x:c>
      <x:c r="E413" s="58" t="str">
        <x:v>iOS</x:v>
      </x:c>
      <x:c r="F413" s="58" t="str">
        <x:v>Automated + iOS simulator</x:v>
      </x:c>
      <x:c r="G413" s="58" t="str">
        <x:v>Pass</x:v>
      </x:c>
      <x:c r="H413" s="58" t="str">
        <x:v>Apple Health showed its authorization sheet, provider status, and working sync action.</x:v>
      </x:c>
      <x:c r="I413" s="58" t="str">
        <x:v>ERR-030</x:v>
      </x:c>
      <x:c r="J413" s="58" t="str"/>
    </x:row>
    <x:row r="414" ht="52" customHeight="1">
      <x:c r="A414" s="58" t="str">
        <x:v>RUN-IOS-124</x:v>
      </x:c>
      <x:c r="B414" s="58" t="str">
        <x:v>MCP-001</x:v>
      </x:c>
      <x:c r="C414" s="58" t="str">
        <x:v>iOS Retest</x:v>
      </x:c>
      <x:c r="D414" s="63" t="n">
        <x:v>46260.447916666664</x:v>
      </x:c>
      <x:c r="E414" s="58" t="str">
        <x:v>iOS</x:v>
      </x:c>
      <x:c r="F414" s="58" t="str">
        <x:v>Automated + iOS simulator</x:v>
      </x:c>
      <x:c r="G414" s="58" t="str">
        <x:v>Pass</x:v>
      </x:c>
      <x:c r="H414" s="58" t="str">
        <x:v>Shared automated coverage passed and the applicable iOS route or safe interaction was exercised without fresh errors.</x:v>
      </x:c>
      <x:c r="I414" s="58" t="str"/>
      <x:c r="J414" s="58" t="str"/>
    </x:row>
    <x:row r="415" ht="52" customHeight="1">
      <x:c r="A415" s="58" t="str">
        <x:v>RUN-IOS-125</x:v>
      </x:c>
      <x:c r="B415" s="58" t="str">
        <x:v>MCP-002</x:v>
      </x:c>
      <x:c r="C415" s="58" t="str">
        <x:v>iOS Retest</x:v>
      </x:c>
      <x:c r="D415" s="63" t="n">
        <x:v>46260.447916666664</x:v>
      </x:c>
      <x:c r="E415" s="58" t="str">
        <x:v>iOS</x:v>
      </x:c>
      <x:c r="F415" s="58" t="str">
        <x:v>Automated + iOS simulator</x:v>
      </x:c>
      <x:c r="G415" s="58" t="str">
        <x:v>Pass</x:v>
      </x:c>
      <x:c r="H415" s="58" t="str">
        <x:v>Shared automated coverage passed and the applicable iOS route or safe interaction was exercised without fresh errors.</x:v>
      </x:c>
      <x:c r="I415" s="58" t="str"/>
      <x:c r="J415" s="58" t="str"/>
    </x:row>
    <x:row r="416" ht="52" customHeight="1">
      <x:c r="A416" s="58" t="str">
        <x:v>RUN-IOS-126</x:v>
      </x:c>
      <x:c r="B416" s="58" t="str">
        <x:v>MCP-003</x:v>
      </x:c>
      <x:c r="C416" s="58" t="str">
        <x:v>iOS Retest</x:v>
      </x:c>
      <x:c r="D416" s="63" t="n">
        <x:v>46260.447916666664</x:v>
      </x:c>
      <x:c r="E416" s="58" t="str">
        <x:v>iOS</x:v>
      </x:c>
      <x:c r="F416" s="58" t="str">
        <x:v>Automated + iOS simulator</x:v>
      </x:c>
      <x:c r="G416" s="58" t="str">
        <x:v>Pass</x:v>
      </x:c>
      <x:c r="H416" s="58" t="str">
        <x:v>Shared automated coverage passed and the applicable iOS route or safe interaction was exercised without fresh errors.</x:v>
      </x:c>
      <x:c r="I416" s="58" t="str"/>
      <x:c r="J416" s="58" t="str"/>
    </x:row>
    <x:row r="417" ht="52" customHeight="1">
      <x:c r="A417" s="58" t="str">
        <x:v>RUN-IOS-127</x:v>
      </x:c>
      <x:c r="B417" s="58" t="str">
        <x:v>MCP-004</x:v>
      </x:c>
      <x:c r="C417" s="58" t="str">
        <x:v>iOS Retest</x:v>
      </x:c>
      <x:c r="D417" s="63" t="n">
        <x:v>46260.447916666664</x:v>
      </x:c>
      <x:c r="E417" s="58" t="str">
        <x:v>iOS</x:v>
      </x:c>
      <x:c r="F417" s="58" t="str">
        <x:v>Automated + iOS simulator</x:v>
      </x:c>
      <x:c r="G417" s="58" t="str">
        <x:v>Pass</x:v>
      </x:c>
      <x:c r="H417" s="58" t="str">
        <x:v>Shared automated coverage passed and the applicable iOS route or safe interaction was exercised without fresh errors.</x:v>
      </x:c>
      <x:c r="I417" s="58" t="str"/>
      <x:c r="J417" s="58" t="str"/>
    </x:row>
    <x:row r="418" ht="52" customHeight="1">
      <x:c r="A418" s="58" t="str">
        <x:v>RUN-IOS-128</x:v>
      </x:c>
      <x:c r="B418" s="58" t="str">
        <x:v>MCP-005</x:v>
      </x:c>
      <x:c r="C418" s="58" t="str">
        <x:v>iOS Retest</x:v>
      </x:c>
      <x:c r="D418" s="63" t="n">
        <x:v>46260.447916666664</x:v>
      </x:c>
      <x:c r="E418" s="58" t="str">
        <x:v>iOS</x:v>
      </x:c>
      <x:c r="F418" s="58" t="str">
        <x:v>Automated + iOS simulator</x:v>
      </x:c>
      <x:c r="G418" s="58" t="str">
        <x:v>Pass</x:v>
      </x:c>
      <x:c r="H418" s="58" t="str">
        <x:v>Shared automated coverage passed and the applicable iOS route or safe interaction was exercised without fresh errors.</x:v>
      </x:c>
      <x:c r="I418" s="58" t="str"/>
      <x:c r="J418" s="58" t="str"/>
    </x:row>
    <x:row r="419" ht="52" customHeight="1">
      <x:c r="A419" s="58" t="str">
        <x:v>RUN-IOS-129</x:v>
      </x:c>
      <x:c r="B419" s="58" t="str">
        <x:v>MCP-006</x:v>
      </x:c>
      <x:c r="C419" s="58" t="str">
        <x:v>iOS Retest</x:v>
      </x:c>
      <x:c r="D419" s="63" t="n">
        <x:v>46260.447916666664</x:v>
      </x:c>
      <x:c r="E419" s="58" t="str">
        <x:v>iOS</x:v>
      </x:c>
      <x:c r="F419" s="58" t="str">
        <x:v>Automated + iOS simulator</x:v>
      </x:c>
      <x:c r="G419" s="58" t="str">
        <x:v>Pass</x:v>
      </x:c>
      <x:c r="H419" s="58" t="str">
        <x:v>Shared automated coverage passed and the applicable iOS route or safe interaction was exercised without fresh errors.</x:v>
      </x:c>
      <x:c r="I419" s="58" t="str"/>
      <x:c r="J419" s="58" t="str"/>
    </x:row>
    <x:row r="420" ht="52" customHeight="1">
      <x:c r="A420" s="58" t="str">
        <x:v>RUN-IOS-130</x:v>
      </x:c>
      <x:c r="B420" s="58" t="str">
        <x:v>HEALTH-001</x:v>
      </x:c>
      <x:c r="C420" s="58" t="str">
        <x:v>iOS Retest</x:v>
      </x:c>
      <x:c r="D420" s="63" t="n">
        <x:v>46260.447916666664</x:v>
      </x:c>
      <x:c r="E420" s="58" t="str">
        <x:v>iOS</x:v>
      </x:c>
      <x:c r="F420" s="58" t="str">
        <x:v>Automated + iOS simulator</x:v>
      </x:c>
      <x:c r="G420" s="58" t="str">
        <x:v>Pass</x:v>
      </x:c>
      <x:c r="H420" s="58" t="str">
        <x:v>Shared final regression passed; no iOS-specific divergence was present for this behavior.</x:v>
      </x:c>
      <x:c r="I420" s="58" t="str"/>
      <x:c r="J420" s="58" t="str"/>
    </x:row>
    <x:row r="421" ht="52" customHeight="1">
      <x:c r="A421" s="58" t="str">
        <x:v>RUN-IOS-131</x:v>
      </x:c>
      <x:c r="B421" s="58" t="str">
        <x:v>HEALTH-002</x:v>
      </x:c>
      <x:c r="C421" s="58" t="str">
        <x:v>iOS Retest</x:v>
      </x:c>
      <x:c r="D421" s="63" t="n">
        <x:v>46260.447916666664</x:v>
      </x:c>
      <x:c r="E421" s="58" t="str">
        <x:v>iOS</x:v>
      </x:c>
      <x:c r="F421" s="58" t="str">
        <x:v>Automated + iOS simulator</x:v>
      </x:c>
      <x:c r="G421" s="58" t="str">
        <x:v>Pass</x:v>
      </x:c>
      <x:c r="H421" s="58" t="str">
        <x:v>Apple Health authorization completed successfully with the simulator entitlement installed.</x:v>
      </x:c>
      <x:c r="I421" s="58" t="str">
        <x:v>ERR-030</x:v>
      </x:c>
      <x:c r="J421" s="58" t="str"/>
    </x:row>
    <x:row r="422" ht="52" customHeight="1">
      <x:c r="A422" s="58" t="str">
        <x:v>RUN-IOS-132</x:v>
      </x:c>
      <x:c r="B422" s="58" t="str">
        <x:v>HEALTH-003</x:v>
      </x:c>
      <x:c r="C422" s="58" t="str">
        <x:v>iOS Retest</x:v>
      </x:c>
      <x:c r="D422" s="63" t="n">
        <x:v>46260.447916666664</x:v>
      </x:c>
      <x:c r="E422" s="58" t="str">
        <x:v>iOS</x:v>
      </x:c>
      <x:c r="F422" s="58" t="str">
        <x:v>Automated + iOS simulator</x:v>
      </x:c>
      <x:c r="G422" s="58" t="str">
        <x:v>Pass</x:v>
      </x:c>
      <x:c r="H422" s="58" t="str">
        <x:v>Apple Health import/sync completed safely for the simulator data set.</x:v>
      </x:c>
      <x:c r="I422" s="58" t="str"/>
      <x:c r="J422" s="58" t="str"/>
    </x:row>
    <x:row r="423" ht="52" customHeight="1">
      <x:c r="A423" s="58" t="str">
        <x:v>RUN-IOS-133</x:v>
      </x:c>
      <x:c r="B423" s="58" t="str">
        <x:v>HEALTH-004</x:v>
      </x:c>
      <x:c r="C423" s="58" t="str">
        <x:v>iOS Retest</x:v>
      </x:c>
      <x:c r="D423" s="63" t="n">
        <x:v>46260.447916666664</x:v>
      </x:c>
      <x:c r="E423" s="58" t="str">
        <x:v>iOS</x:v>
      </x:c>
      <x:c r="F423" s="58" t="str">
        <x:v>Automated + iOS simulator</x:v>
      </x:c>
      <x:c r="G423" s="58" t="str">
        <x:v>Pass</x:v>
      </x:c>
      <x:c r="H423" s="58" t="str">
        <x:v>Shared final regression passed; no iOS-specific divergence was present for this behavior.</x:v>
      </x:c>
      <x:c r="I423" s="58" t="str"/>
      <x:c r="J423" s="58" t="str"/>
    </x:row>
    <x:row r="424" ht="52" customHeight="1">
      <x:c r="A424" s="58" t="str">
        <x:v>RUN-IOS-134</x:v>
      </x:c>
      <x:c r="B424" s="58" t="str">
        <x:v>HEALTH-005</x:v>
      </x:c>
      <x:c r="C424" s="58" t="str">
        <x:v>iOS Retest</x:v>
      </x:c>
      <x:c r="D424" s="63" t="n">
        <x:v>46260.447916666664</x:v>
      </x:c>
      <x:c r="E424" s="58" t="str">
        <x:v>iOS</x:v>
      </x:c>
      <x:c r="F424" s="58" t="str">
        <x:v>Automated + iOS simulator</x:v>
      </x:c>
      <x:c r="G424" s="58" t="str">
        <x:v>Pass</x:v>
      </x:c>
      <x:c r="H424" s="58" t="str">
        <x:v>Linked regressions passed on iOS or in the shared automated suite: ERR-009.</x:v>
      </x:c>
      <x:c r="I424" s="58" t="str">
        <x:v>ERR-009</x:v>
      </x:c>
      <x:c r="J424" s="58" t="str"/>
    </x:row>
    <x:row r="425" ht="52" customHeight="1">
      <x:c r="A425" s="58" t="str">
        <x:v>RUN-IOS-135</x:v>
      </x:c>
      <x:c r="B425" s="58" t="str">
        <x:v>HEALTH-006</x:v>
      </x:c>
      <x:c r="C425" s="58" t="str">
        <x:v>iOS Retest</x:v>
      </x:c>
      <x:c r="D425" s="63" t="n">
        <x:v>46260.447916666664</x:v>
      </x:c>
      <x:c r="E425" s="58" t="str">
        <x:v>iOS</x:v>
      </x:c>
      <x:c r="F425" s="58" t="str">
        <x:v>Automated + iOS simulator</x:v>
      </x:c>
      <x:c r="G425" s="58" t="str">
        <x:v>Pass</x:v>
      </x:c>
      <x:c r="H425" s="58" t="str">
        <x:v>Manual Apple Health sync completed and returned visible success feedback.</x:v>
      </x:c>
      <x:c r="I425" s="58" t="str">
        <x:v>ERR-030</x:v>
      </x:c>
      <x:c r="J425" s="58" t="str"/>
    </x:row>
    <x:row r="426" ht="52" customHeight="1">
      <x:c r="A426" s="58" t="str">
        <x:v>RUN-IOS-136</x:v>
      </x:c>
      <x:c r="B426" s="58" t="str">
        <x:v>HEALTH-007</x:v>
      </x:c>
      <x:c r="C426" s="58" t="str">
        <x:v>iOS Retest</x:v>
      </x:c>
      <x:c r="D426" s="63" t="n">
        <x:v>46260.447916666664</x:v>
      </x:c>
      <x:c r="E426" s="58" t="str">
        <x:v>iOS</x:v>
      </x:c>
      <x:c r="F426" s="58" t="str">
        <x:v>Automated + iOS simulator</x:v>
      </x:c>
      <x:c r="G426" s="58" t="str">
        <x:v>Pass</x:v>
      </x:c>
      <x:c r="H426" s="58" t="str">
        <x:v>The iOS background schedule retained automated coverage and the foreground Apple Health path passed.</x:v>
      </x:c>
      <x:c r="I426" s="58" t="str"/>
      <x:c r="J426" s="58" t="str"/>
    </x:row>
    <x:row r="427" ht="52" customHeight="1">
      <x:c r="A427" s="58" t="str">
        <x:v>RUN-IOS-137</x:v>
      </x:c>
      <x:c r="B427" s="58" t="str">
        <x:v>SYNC-001</x:v>
      </x:c>
      <x:c r="C427" s="58" t="str">
        <x:v>iOS Retest</x:v>
      </x:c>
      <x:c r="D427" s="63" t="n">
        <x:v>46260.447916666664</x:v>
      </x:c>
      <x:c r="E427" s="58" t="str">
        <x:v>iOS</x:v>
      </x:c>
      <x:c r="F427" s="58" t="str">
        <x:v>Automated + iOS simulator</x:v>
      </x:c>
      <x:c r="G427" s="58" t="str">
        <x:v>Pass</x:v>
      </x:c>
      <x:c r="H427" s="58" t="str">
        <x:v>Shared final regression passed; no iOS-specific divergence was present for this behavior.</x:v>
      </x:c>
      <x:c r="I427" s="58" t="str"/>
      <x:c r="J427" s="58" t="str"/>
    </x:row>
    <x:row r="428" ht="52" customHeight="1">
      <x:c r="A428" s="58" t="str">
        <x:v>RUN-IOS-138</x:v>
      </x:c>
      <x:c r="B428" s="58" t="str">
        <x:v>SYNC-002</x:v>
      </x:c>
      <x:c r="C428" s="58" t="str">
        <x:v>iOS Retest</x:v>
      </x:c>
      <x:c r="D428" s="63" t="n">
        <x:v>46260.447916666664</x:v>
      </x:c>
      <x:c r="E428" s="58" t="str">
        <x:v>iOS</x:v>
      </x:c>
      <x:c r="F428" s="58" t="str">
        <x:v>Automated + iOS simulator</x:v>
      </x:c>
      <x:c r="G428" s="58" t="str">
        <x:v>Pass</x:v>
      </x:c>
      <x:c r="H428" s="58" t="str">
        <x:v>Shared final regression passed; no iOS-specific divergence was present for this behavior.</x:v>
      </x:c>
      <x:c r="I428" s="58" t="str"/>
      <x:c r="J428" s="58" t="str"/>
    </x:row>
    <x:row r="429" ht="52" customHeight="1">
      <x:c r="A429" s="58" t="str">
        <x:v>RUN-IOS-139</x:v>
      </x:c>
      <x:c r="B429" s="58" t="str">
        <x:v>SYNC-003</x:v>
      </x:c>
      <x:c r="C429" s="58" t="str">
        <x:v>iOS Retest</x:v>
      </x:c>
      <x:c r="D429" s="63" t="n">
        <x:v>46260.447916666664</x:v>
      </x:c>
      <x:c r="E429" s="58" t="str">
        <x:v>iOS</x:v>
      </x:c>
      <x:c r="F429" s="58" t="str">
        <x:v>Automated + iOS simulator</x:v>
      </x:c>
      <x:c r="G429" s="58" t="str">
        <x:v>Pass</x:v>
      </x:c>
      <x:c r="H429" s="58" t="str">
        <x:v>Linked regressions passed on iOS or in the shared automated suite: ERR-010.</x:v>
      </x:c>
      <x:c r="I429" s="58" t="str">
        <x:v>ERR-010</x:v>
      </x:c>
      <x:c r="J429" s="58" t="str"/>
    </x:row>
    <x:row r="430" ht="52" customHeight="1">
      <x:c r="A430" s="58" t="str">
        <x:v>RUN-IOS-140</x:v>
      </x:c>
      <x:c r="B430" s="58" t="str">
        <x:v>SYNC-004</x:v>
      </x:c>
      <x:c r="C430" s="58" t="str">
        <x:v>iOS Retest</x:v>
      </x:c>
      <x:c r="D430" s="63" t="n">
        <x:v>46260.447916666664</x:v>
      </x:c>
      <x:c r="E430" s="58" t="str">
        <x:v>iOS</x:v>
      </x:c>
      <x:c r="F430" s="58" t="str">
        <x:v>Automated + iOS simulator</x:v>
      </x:c>
      <x:c r="G430" s="58" t="str">
        <x:v>Pass</x:v>
      </x:c>
      <x:c r="H430" s="58" t="str">
        <x:v>Shared final regression passed; no iOS-specific divergence was present for this behavior.</x:v>
      </x:c>
      <x:c r="I430" s="58" t="str"/>
      <x:c r="J430" s="58" t="str"/>
    </x:row>
    <x:row r="431" ht="52" customHeight="1">
      <x:c r="A431" s="58" t="str">
        <x:v>RUN-IOS-141</x:v>
      </x:c>
      <x:c r="B431" s="58" t="str">
        <x:v>SYNC-005</x:v>
      </x:c>
      <x:c r="C431" s="58" t="str">
        <x:v>iOS Retest</x:v>
      </x:c>
      <x:c r="D431" s="63" t="n">
        <x:v>46260.447916666664</x:v>
      </x:c>
      <x:c r="E431" s="58" t="str">
        <x:v>iOS</x:v>
      </x:c>
      <x:c r="F431" s="58" t="str">
        <x:v>Automated + iOS simulator</x:v>
      </x:c>
      <x:c r="G431" s="58" t="str">
        <x:v>Pass</x:v>
      </x:c>
      <x:c r="H431" s="58" t="str">
        <x:v>Shared final regression passed; no iOS-specific divergence was present for this behavior.</x:v>
      </x:c>
      <x:c r="I431" s="58" t="str"/>
      <x:c r="J431" s="58" t="str"/>
    </x:row>
    <x:row r="432" ht="52" customHeight="1">
      <x:c r="A432" s="58" t="str">
        <x:v>RUN-IOS-142</x:v>
      </x:c>
      <x:c r="B432" s="58" t="str">
        <x:v>SYNC-006</x:v>
      </x:c>
      <x:c r="C432" s="58" t="str">
        <x:v>iOS Retest</x:v>
      </x:c>
      <x:c r="D432" s="63" t="n">
        <x:v>46260.447916666664</x:v>
      </x:c>
      <x:c r="E432" s="58" t="str">
        <x:v>iOS</x:v>
      </x:c>
      <x:c r="F432" s="58" t="str">
        <x:v>Automated + iOS simulator</x:v>
      </x:c>
      <x:c r="G432" s="58" t="str">
        <x:v>Pass</x:v>
      </x:c>
      <x:c r="H432" s="58" t="str">
        <x:v>Shared final regression passed; no iOS-specific divergence was present for this behavior.</x:v>
      </x:c>
      <x:c r="I432" s="58" t="str"/>
      <x:c r="J432" s="58" t="str"/>
    </x:row>
    <x:row r="433" ht="52" customHeight="1">
      <x:c r="A433" s="58" t="str">
        <x:v>RUN-IOS-143</x:v>
      </x:c>
      <x:c r="B433" s="58" t="str">
        <x:v>SYNC-007</x:v>
      </x:c>
      <x:c r="C433" s="58" t="str">
        <x:v>iOS Retest</x:v>
      </x:c>
      <x:c r="D433" s="63" t="n">
        <x:v>46260.447916666664</x:v>
      </x:c>
      <x:c r="E433" s="58" t="str">
        <x:v>iOS</x:v>
      </x:c>
      <x:c r="F433" s="58" t="str">
        <x:v>Automated + iOS simulator</x:v>
      </x:c>
      <x:c r="G433" s="58" t="str">
        <x:v>Pass</x:v>
      </x:c>
      <x:c r="H433" s="58" t="str">
        <x:v>Shared final regression passed; no iOS-specific divergence was present for this behavior.</x:v>
      </x:c>
      <x:c r="I433" s="58" t="str"/>
      <x:c r="J433" s="58" t="str"/>
    </x:row>
    <x:row r="434" ht="52" customHeight="1">
      <x:c r="A434" s="58" t="str">
        <x:v>RUN-WEB-001</x:v>
      </x:c>
      <x:c r="B434" s="58" t="str">
        <x:v>APP-001</x:v>
      </x:c>
      <x:c r="C434" s="58" t="str">
        <x:v>Retest</x:v>
      </x:c>
      <x:c r="D434" s="63" t="n">
        <x:v>46260.528449074074</x:v>
      </x:c>
      <x:c r="E434" s="58" t="str">
        <x:v>Web</x:v>
      </x:c>
      <x:c r="F434" s="58" t="str">
        <x:v>Automated + HTTP asset verification</x:v>
      </x:c>
      <x:c r="G434" s="58" t="str">
        <x:v>Pass</x:v>
      </x:c>
      <x:c r="H434" s="58" t="str">
        <x:v>Runtime protocol regression passed; /logo.svg and /logo-dark.svg return 200 image/svg+xml after a clean web build.</x:v>
      </x:c>
      <x:c r="I434" s="58" t="str">
        <x:v>ERR-036</x:v>
      </x:c>
      <x:c r="J434" s="58" t="str">
        <x:v>Full post-fix regression passed: Buff PHP 230/230, server PHP 149/149, frontend 44/44, type-check, and production build.</x:v>
      </x:c>
    </x:row>
    <x:row r="435" ht="52" customHeight="1">
      <x:c r="A435" s="58" t="str">
        <x:v>RUN-IOS-SMOKE-001</x:v>
      </x:c>
      <x:c r="B435" s="58" t="str">
        <x:v>APP-001</x:v>
      </x:c>
      <x:c r="C435" s="58" t="str">
        <x:v>iOS Retest</x:v>
      </x:c>
      <x:c r="D435" s="63" t="n">
        <x:v>46260.54914351852</x:v>
      </x:c>
      <x:c r="E435" s="58" t="str">
        <x:v>iOS</x:v>
      </x:c>
      <x:c r="F435" s="58" t="str">
        <x:v>Fresh iOS build + simulator</x:v>
      </x:c>
      <x:c r="G435" s="58" t="str">
        <x:v>Pass</x:v>
      </x:c>
      <x:c r="H435" s="58" t="str">
        <x:v>The light icon and dark wordmark both rendered on Sign in with no broken artwork or alt text.</x:v>
      </x:c>
      <x:c r="I435" s="58" t="str">
        <x:v>ERR-025; ERR-036</x:v>
      </x:c>
      <x:c r="J435" s="58" t="str">
        <x:v>Simulator appearance was toggled light/dark for verification and restored to light.</x:v>
      </x:c>
    </x:row>
  </x:sheetData>
  <x:mergeCells>
    <x:mergeCell ref="A1:J1"/>
    <x:mergeCell ref="A2:J2"/>
  </x:mergeCells>
  <x:dataValidations count="2">
    <x:dataValidation type="list" sqref="C5:C435">
      <x:formula1>"Initial,Retest,iOS Retest"</x:formula1>
    </x:dataValidation>
    <x:dataValidation type="list" sqref="G5:G435">
      <x:formula1>"Pass,Fail,Blocked,Not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cd97357e204a8f"/>
  </x:tableParts>
</x:worksheet>
</file>