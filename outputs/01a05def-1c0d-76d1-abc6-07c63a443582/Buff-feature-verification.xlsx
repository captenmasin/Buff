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1b334886ed45cb" /></Relationships>
</file>

<file path=xl/workbook.xml><?xml version="1.0" encoding="utf-8"?>
<x:workbook xmlns:x="http://schemas.openxmlformats.org/spreadsheetml/2006/main">
  <x:sheets>
    <x:sheet xmlns:r="http://schemas.openxmlformats.org/officeDocument/2006/relationships" name="Summary" sheetId="1" r:id="Rd2360d4f23464e49"/>
    <x:sheet xmlns:r="http://schemas.openxmlformats.org/officeDocument/2006/relationships" name="User Stories" sheetId="2" r:id="R5ea33caf976448df"/>
    <x:sheet xmlns:r="http://schemas.openxmlformats.org/officeDocument/2006/relationships" name="Defects" sheetId="3" r:id="R7a8e6b8f26c34c0d"/>
    <x:sheet xmlns:r="http://schemas.openxmlformats.org/officeDocument/2006/relationships" name="Test Runs" sheetId="4" r:id="Ra7c0e19773184863"/>
    <x:sheet xmlns:r="http://schemas.openxmlformats.org/officeDocument/2006/relationships" name="Coverage Map" sheetId="5" r:id="R4cabbdce54414f48"/>
    <x:sheet xmlns:r="http://schemas.openxmlformats.org/officeDocument/2006/relationships" name="Environment" sheetId="6" r:id="Rc7e1fec6f83b4d4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
  </x:numFmts>
  <x:fonts count="4">
    <x:font>
      <x:sz val="11"/>
      <x:name val="Carlito"/>
    </x:font>
    <x:font>
      <x:b/>
      <x:sz val="11"/>
      <x:color rgb="FFFFFFFF"/>
      <x:name val="Carlito"/>
    </x:font>
    <x:font>
      <x:i/>
      <x:sz val="11"/>
      <x:color rgb="FF14213D"/>
      <x:name val="Carlito"/>
    </x:font>
    <x:font>
      <x:sz val="11"/>
      <x:color rgb="FF14213D"/>
      <x:name val="Carlito"/>
    </x:font>
  </x:fonts>
  <x:fills count="6">
    <x:fill>
      <x:patternFill patternType="none"/>
    </x:fill>
    <x:fill>
      <x:patternFill patternType="gray125"/>
    </x:fill>
    <x:fill>
      <x:patternFill patternType="solid">
        <x:fgColor rgb="FF14213D"/>
      </x:patternFill>
    </x:fill>
    <x:fill>
      <x:patternFill patternType="solid">
        <x:fgColor rgb="FFEDE9FE"/>
      </x:patternFill>
    </x:fill>
    <x:fill>
      <x:patternFill patternType="solid">
        <x:fgColor rgb="FF7C3AED"/>
      </x:patternFill>
    </x:fill>
    <x:fill>
      <x:patternFill patternType="solid">
        <x:fgColor rgb="FFFFFFFF"/>
      </x:patternFill>
    </x:fill>
  </x:fills>
  <x:borders count="16">
    <x:border/>
    <x:border>
      <x:left style="thin">
        <x:color rgb="FF7C3AED"/>
      </x:left>
      <x:top style="thin">
        <x:color rgb="FF7C3AED"/>
      </x:top>
      <x:bottom style="thin">
        <x:color rgb="FF7C3AED"/>
      </x:bottom>
    </x:border>
    <x:border>
      <x:top style="thin">
        <x:color rgb="FF7C3AED"/>
      </x:top>
      <x:bottom style="thin">
        <x:color rgb="FF7C3AED"/>
      </x:bottom>
    </x:border>
    <x:border>
      <x:right style="thin">
        <x:color rgb="FF7C3AED"/>
      </x:right>
      <x:top style="thin">
        <x:color rgb="FF7C3AED"/>
      </x:top>
      <x:bottom style="thin">
        <x:color rgb="FF7C3AED"/>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1" fillId="4" borderId="1"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1"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1" fillId="4" borderId="3"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200" fontId="3" fillId="5" borderId="0"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201" fontId="0" fillId="0" borderId="0" xfId="0" applyNumberFormat="1" applyFont="1" applyFill="1" applyBorder="1"/>
    <x:xf numFmtId="201" fontId="0" fillId="0" borderId="13" xfId="0" applyNumberFormat="1" applyFont="1" applyFill="1" applyBorder="1"/>
    <x:xf numFmtId="201" fontId="0" fillId="0" borderId="14" xfId="0" applyNumberFormat="1" applyFont="1" applyFill="1" applyBorder="1"/>
    <x:xf numFmtId="201" fontId="0" fillId="0" borderId="15" xfId="0" applyNumberFormat="1" applyFont="1" applyFill="1" applyBorder="1"/>
    <x:xf numFmtId="201" fontId="0" fillId="0" borderId="13" xfId="0" applyNumberFormat="1" applyFont="1" applyFill="1" applyBorder="1" applyAlignment="1">
      <x:alignment wrapText="1"/>
    </x:xf>
    <x:xf numFmtId="201" fontId="0" fillId="0" borderId="14" xfId="0" applyNumberFormat="1" applyFont="1" applyFill="1" applyBorder="1" applyAlignment="1">
      <x:alignment wrapText="1"/>
    </x:xf>
    <x:xf numFmtId="201" fontId="0" fillId="0" borderId="15" xfId="0" applyNumberFormat="1" applyFont="1" applyFill="1" applyBorder="1" applyAlignment="1">
      <x:alignment wrapText="1"/>
    </x:xf>
    <x:xf numFmtId="201" fontId="0" fillId="0" borderId="13" xfId="0" applyNumberFormat="1" applyFont="1" applyFill="1" applyBorder="1" applyAlignment="1">
      <x:alignment vertical="top" wrapText="1"/>
    </x:xf>
    <x:xf numFmtId="201" fontId="0" fillId="0" borderId="14"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91">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
      <x:font>
        <x:b/>
        <x:color rgb="FF15803D"/>
      </x:font>
      <x:fill>
        <x:patternFill>
          <x:bgColor rgb="FFDCFCE7"/>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color rgb="FF64748B"/>
      </x:font>
      <x:fill>
        <x:patternFill>
          <x:bgColor rgb="FFF1F5F9"/>
        </x:patternFill>
      </x:fill>
    </x:dxf>
    <x:dxf>
      <x:font>
        <x:color rgb="FF64748B"/>
      </x:font>
      <x:fill>
        <x:patternFill>
          <x:bgColor rgb="FFF1F5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c84bfa1db34491" /><Relationship Type="http://schemas.openxmlformats.org/officeDocument/2006/relationships/theme" Target="/xl/theme/theme1.xml" Id="Rd0322243152d40da" /><Relationship Type="http://schemas.openxmlformats.org/officeDocument/2006/relationships/sharedStrings" Target="/xl/sharedStrings.xml" Id="R1955ea9575b74891" /><Relationship Type="http://schemas.openxmlformats.org/officeDocument/2006/relationships/worksheet" Target="/xl/worksheets/sheet1.xml" Id="Rd2360d4f23464e49" /><Relationship Type="http://schemas.openxmlformats.org/officeDocument/2006/relationships/worksheet" Target="/xl/worksheets/sheet2.xml" Id="R5ea33caf976448df" /><Relationship Type="http://schemas.openxmlformats.org/officeDocument/2006/relationships/worksheet" Target="/xl/worksheets/sheet3.xml" Id="R7a8e6b8f26c34c0d" /><Relationship Type="http://schemas.openxmlformats.org/officeDocument/2006/relationships/worksheet" Target="/xl/worksheets/sheet4.xml" Id="Ra7c0e19773184863" /><Relationship Type="http://schemas.openxmlformats.org/officeDocument/2006/relationships/worksheet" Target="/xl/worksheets/sheet5.xml" Id="R4cabbdce54414f48" /><Relationship Type="http://schemas.openxmlformats.org/officeDocument/2006/relationships/worksheet" Target="/xl/worksheets/sheet6.xml" Id="Rc7e1fec6f83b4d4b" /></Relationships>
</file>

<file path=xl/tables/table1.xml><?xml version="1.0" encoding="utf-8"?>
<x:table xmlns:x="http://schemas.openxmlformats.org/spreadsheetml/2006/main" id="1" name="UserStoriesTable" displayName="UserStoriesTable" ref="A4:Z265" headerRowCount="1" totalsRowCount="0" totalsRowShown="0">
  <x:autoFilter ref="A4:Z265"/>
  <x:tableColumns count="26">
    <x:tableColumn id="1" name="Story ID"/>
    <x:tableColumn id="2" name="Area"/>
    <x:tableColumn id="3" name="Feature"/>
    <x:tableColumn id="4" name="User Story"/>
    <x:tableColumn id="5" name="Expected Behavior"/>
    <x:tableColumn id="6" name="Platform Scope"/>
    <x:tableColumn id="7" name="Preconditions / Test Data"/>
    <x:tableColumn id="8" name="iOS Test Steps"/>
    <x:tableColumn id="9" name="Android Test Steps"/>
    <x:tableColumn id="10" name="Automated Coverage"/>
    <x:tableColumn id="11" name="Source References"/>
    <x:tableColumn id="12" name="Inventory Status"/>
    <x:tableColumn id="13" name="Testability / Blocker"/>
    <x:tableColumn id="14" name="iOS Initial"/>
    <x:tableColumn id="15" name="Android Initial"/>
    <x:tableColumn id="16" name="Initial Evidence / Error"/>
    <x:tableColumn id="17" name="Defect IDs"/>
    <x:tableColumn id="18" name="Fix Status"/>
    <x:tableColumn id="19" name="Fix Summary / Code References"/>
    <x:tableColumn id="20" name="iOS Retest"/>
    <x:tableColumn id="21" name="Android Retest"/>
    <x:tableColumn id="22" name="Retest Evidence"/>
    <x:tableColumn id="23" name="Final Status"/>
    <x:tableColumn id="24" name="Notes / Static Risk"/>
    <x:tableColumn id="25" name="Initial Run QC"/>
    <x:tableColumn id="26" name="Retest Run QC"/>
  </x:tableColumns>
  <x:tableStyleInfo name="TableStyleMedium2" showFirstColumn="0" showLastColumn="0" showRowStripes="1" showColumnStripes="0"/>
</x:table>
</file>

<file path=xl/tables/table2.xml><?xml version="1.0" encoding="utf-8"?>
<x:table xmlns:x="http://schemas.openxmlformats.org/spreadsheetml/2006/main" id="2" name="CoverageMapTable" displayName="CoverageMapTable" ref="A4:I113" headerRowCount="1" totalsRowCount="0" totalsRowShown="0">
  <x:autoFilter ref="A4:I113"/>
  <x:tableColumns count="9">
    <x:tableColumn id="1" name="Coverage ID"/>
    <x:tableColumn id="2" name="Surface Type"/>
    <x:tableColumn id="3" name="Method / Identifier"/>
    <x:tableColumn id="4" name="Path / Name"/>
    <x:tableColumn id="5" name="Action / Owner"/>
    <x:tableColumn id="6" name="Platform"/>
    <x:tableColumn id="7" name="Story IDs"/>
    <x:tableColumn id="8" name="Mapping Status"/>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f0090cb6014dd0" /></Relationships>
</file>

<file path=xl/worksheets/_rels/sheet5.xml.rels>&#65279;<?xml version="1.0" encoding="utf-8"?><Relationships xmlns="http://schemas.openxmlformats.org/package/2006/relationships"><Relationship Type="http://schemas.openxmlformats.org/officeDocument/2006/relationships/table" Target="/xl/tables/table2.xml" Id="Raef834a2e5bb49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0" hidden="0" customWidth="1"/>
    <x:col min="3" max="3" width="18" hidden="0" customWidth="1"/>
    <x:col min="4" max="4" width="62" hidden="0" customWidth="1"/>
    <x:col min="5" max="5" width="18" hidden="0" customWidth="1"/>
    <x:col min="6" max="6" width="18" hidden="0" customWidth="1"/>
    <x:col min="7" max="7" width="18" hidden="0" customWidth="1"/>
    <x:col min="8" max="8" width="18" hidden="0" customWidth="1"/>
    <x:col min="9" max="9" width="18" hidden="0" customWidth="1"/>
  </x:cols>
  <x:sheetData>
    <x:row r="1" ht="32" customHeight="1">
      <x:c r="A1" s="3" t="str">
        <x:v>Buff Feature Verification</x:v>
      </x:c>
      <x:c r="B1" s="3"/>
      <x:c r="C1" s="3"/>
      <x:c r="D1" s="3"/>
      <x:c r="E1" s="3"/>
      <x:c r="F1" s="3"/>
      <x:c r="G1" s="3"/>
      <x:c r="H1" s="3"/>
      <x:c r="I1" s="3"/>
    </x:row>
    <x:row r="2" ht="30" customHeight="1">
      <x:c r="A2" s="7" t="str">
        <x:v>Single canonical tracker: code-derived stories → iOS/Android initial test → defect/fix → full retest.</x:v>
      </x:c>
      <x:c r="B2" s="7"/>
      <x:c r="C2" s="7"/>
      <x:c r="D2" s="7"/>
      <x:c r="E2" s="7"/>
      <x:c r="F2" s="7"/>
      <x:c r="G2" s="7"/>
      <x:c r="H2" s="7"/>
      <x:c r="I2" s="7"/>
    </x:row>
    <x:row r="4" ht="34" customHeight="1">
      <x:c r="A4" s="16" t="str">
        <x:v>Phase</x:v>
      </x:c>
      <x:c r="B4" s="17" t="str">
        <x:v>Stories</x:v>
      </x:c>
      <x:c r="C4" s="17" t="str">
        <x:v>iOS initial passed</x:v>
      </x:c>
      <x:c r="D4" s="17" t="str">
        <x:v>Android initial passed</x:v>
      </x:c>
      <x:c r="E4" s="17" t="str">
        <x:v>Open defects</x:v>
      </x:c>
      <x:c r="F4" s="17" t="str">
        <x:v>Fixed defects</x:v>
      </x:c>
      <x:c r="G4" s="17" t="str">
        <x:v>Fully verified</x:v>
      </x:c>
      <x:c r="H4" s="17" t="str">
        <x:v>Testability blockers</x:v>
      </x:c>
      <x:c r="I4" s="18" t="str">
        <x:v>Coverage gaps</x:v>
      </x:c>
    </x:row>
    <x:row r="5" ht="42" customHeight="1">
      <x:c r="A5" s="22" t="str">
        <x:v>Verification in progress</x:v>
      </x:c>
      <x:c r="B5" s="23" t="n">
        <x:f>COUNTA('User Stories'!$A$5:$A$2004)</x:f>
        <x:v>261</x:v>
      </x:c>
      <x:c r="C5" s="23" t="n">
        <x:f>COUNTIF('User Stories'!$N$5:$N$2004,"Passed")</x:f>
        <x:v>1</x:v>
      </x:c>
      <x:c r="D5" s="23" t="n">
        <x:f>COUNTIF('User Stories'!$O$5:$O$2004,"Passed")</x:f>
        <x:v>76</x:v>
      </x:c>
      <x:c r="E5" s="23" t="n">
        <x:f>COUNTIF('Defects'!$L$5:$L$1004,"Open")+COUNTIF('Defects'!$L$5:$L$1004,"In Progress")</x:f>
        <x:v>58</x:v>
      </x:c>
      <x:c r="F5" s="23" t="n">
        <x:f>COUNTIF('Defects'!$L$5:$L$1004,"Fixed")</x:f>
        <x:v>45</x:v>
      </x:c>
      <x:c r="G5" s="23" t="n">
        <x:f>COUNTIF('User Stories'!$W$5:$W$2004,"Verified")</x:f>
        <x:v>0</x:v>
      </x:c>
      <x:c r="H5" s="23" t="n">
        <x:f>COUNTIF('User Stories'!$M$5:$M$2004,"Blocked - Build")+COUNTIF('User Stories'!$M$5:$M$2004,"Blocked - Account")+COUNTIF('User Stories'!$M$5:$M$2004,"Blocked - External Service")+COUNTIF('User Stories'!$M$5:$M$2004,"Blocked - Permission")</x:f>
        <x:v>0</x:v>
      </x:c>
      <x:c r="I5" s="23" t="n">
        <x:f>COUNTIF('Coverage Map'!$H$5:$H$1004,"Unmapped")+COUNTIF('Coverage Map'!$H$5:$H$1004,"Needs Review")</x:f>
        <x:v>0</x:v>
      </x:c>
    </x:row>
    <x:row r="8" ht="34" customHeight="1">
      <x:c r="A8" s="16" t="str">
        <x:v>Workflow gate</x:v>
      </x:c>
      <x:c r="B8" s="17" t="str">
        <x:v>Definition</x:v>
      </x:c>
      <x:c r="C8" s="17" t="str">
        <x:v>Current status</x:v>
      </x:c>
      <x:c r="D8" s="18" t="str">
        <x:v>Evidence / next action</x:v>
      </x:c>
    </x:row>
    <x:row r="9" ht="45.599998474121094" hidden="0" customHeight="1">
      <x:c r="A9" s="42" t="str">
        <x:v>1. Inventory</x:v>
      </x:c>
      <x:c r="B9" s="43" t="str">
        <x:v>Every observable behavior mapped to code and an expected result.</x:v>
      </x:c>
      <x:c r="C9" s="43" t="str">
        <x:v>Complete</x:v>
      </x:c>
      <x:c r="D9" s="44" t="str">
        <x:v>261 stable story IDs cover the inventoried routes, pages, plugins and shared UI behaviors, including the newly isolated confirmation-toast lifecycle. Expected results are grounded in source; coverage continues to be checked during testing.</x:v>
      </x:c>
    </x:row>
    <x:row r="10" ht="45.599998474121094" hidden="0" customHeight="1">
      <x:c r="A10" s="45" t="str">
        <x:v>2. Initial testing</x:v>
      </x:c>
      <x:c r="B10" s="46" t="str">
        <x:v>Each story exercised on every applicable emulator and recorded.</x:v>
      </x:c>
      <x:c r="C10" s="46" t="str">
        <x:v>Incomplete</x:v>
      </x:c>
      <x:c r="D10" s="47" t="str">
        <x:v>Initial matrices remain incomplete. Android QA now runs verified installed/extracted build17; iOS QA remains build16 and paused after the crash report. Earlier results retain their original build identities.</x:v>
      </x:c>
    </x:row>
    <x:row r="11" ht="58.79999923706055" hidden="0" customHeight="1">
      <x:c r="A11" s="45" t="str">
        <x:v>3. Defect fixes</x:v>
      </x:c>
      <x:c r="B11" s="46" t="str">
        <x:v>Every reproducible logistical or UX failure has a focused fix and automated check.</x:v>
      </x:c>
      <x:c r="C11" s="46" t="str">
        <x:v>In Progress</x:v>
      </x:c>
      <x:c r="D11" s="47" t="str">
        <x:v>Source checks: PHP409/409 with3,252 assertions, frontend219/219, focused recipe14/14, TypeScript/Pint/diff passed. Android web/native build17 passed. DEF097 scroll fix is installed and narrowly verified on Android. Thirteen defects Fixed;84 unresolved.</x:v>
      </x:c>
    </x:row>
    <x:row r="12" ht="32.400001525878906" hidden="0" customHeight="1">
      <x:c r="A12" s="45" t="str">
        <x:v>4. Retest</x:v>
      </x:c>
      <x:c r="B12" s="46" t="str">
        <x:v>Every story repeated on every applicable emulator after fixes.</x:v>
      </x:c>
      <x:c r="C12" s="46" t="str">
        <x:v>In Progress</x:v>
      </x:c>
      <x:c r="D12" s="47" t="str">
        <x:v>DEF100 search input ordering reproduced and source fix passes; fresh native22 verification pending. 17 fixed defects; full QA incomplete.</x:v>
      </x:c>
    </x:row>
    <x:row r="13" ht="85.19999694824219" hidden="0" customHeight="1">
      <x:c r="A13" s="48" t="str">
        <x:v>5. Completion</x:v>
      </x:c>
      <x:c r="B13" s="49" t="str">
        <x:v>No untracked failures; blockers and external limits are explicit.</x:v>
      </x:c>
      <x:c r="C13" s="49" t="str">
        <x:f>IF(G5=B5,"Complete","Pending")</x:f>
        <x:v>Pending</x:v>
      </x:c>
      <x:c r="D13" s="50" t="str">
        <x:v>Goal remains incomplete: finish both-platform story testing, document errors, fix confirmed logistical/UX issues, and retest. No full-story completion is inferred from source tests or partial checks. User permits fresh builds and a temporary QA account. Stop all work at 30% account usage remaining and summarize progress with this canonical workbook location. Charges and destructive actions still require confirmation.</x:v>
      </x:c>
    </x:row>
  </x:sheetData>
  <x:mergeCells>
    <x:mergeCell ref="A1:I1"/>
    <x:mergeCell ref="A2:I2"/>
  </x:mergeCells>
  <x:conditionalFormatting sqref="A5:I5">
    <x:cfRule type="containsText" dxfId="0" priority="1" operator="containsText" text="Passed"/>
    <x:cfRule type="containsText" dxfId="1" priority="2" operator="containsText" text="Verified"/>
    <x:cfRule type="containsText" dxfId="2" priority="3" operator="containsText" text="Failed"/>
    <x:cfRule type="containsText" dxfId="3" priority="4" operator="containsText" text="Defect"/>
    <x:cfRule type="containsText" dxfId="4" priority="5" operator="containsText" text="Blocked"/>
    <x:cfRule type="containsText" dxfId="5" priority="6" operator="containsText" text="Not Run"/>
    <x:cfRule type="containsText" dxfId="6" priority="7" operator="containsText" text="Not Applicab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50" hidden="0" customWidth="1"/>
    <x:col min="5" max="5" width="70" hidden="0" customWidth="1"/>
    <x:col min="6" max="6" width="16" hidden="0" customWidth="1"/>
    <x:col min="7" max="7" width="45" hidden="0" customWidth="1"/>
    <x:col min="8" max="8" width="55" hidden="0" customWidth="1"/>
    <x:col min="9" max="9" width="55" hidden="0" customWidth="1"/>
    <x:col min="10" max="10" width="45" hidden="0" customWidth="1"/>
    <x:col min="11" max="11" width="65" hidden="0" customWidth="1"/>
    <x:col min="12" max="12" width="16" hidden="0" customWidth="1"/>
    <x:col min="13" max="13" width="24" hidden="0" customWidth="1"/>
    <x:col min="14" max="14" width="16" hidden="0" customWidth="1"/>
    <x:col min="15" max="15" width="16" hidden="0" customWidth="1"/>
    <x:col min="16" max="16" width="50" hidden="0" customWidth="1"/>
    <x:col min="17" max="17" width="16" hidden="0" customWidth="1"/>
    <x:col min="18" max="18" width="16" hidden="0" customWidth="1"/>
    <x:col min="19" max="19" width="50" hidden="0" customWidth="1"/>
    <x:col min="20" max="20" width="16" hidden="0" customWidth="1"/>
    <x:col min="21" max="21" width="16" hidden="0" customWidth="1"/>
    <x:col min="22" max="22" width="50" hidden="0" customWidth="1"/>
    <x:col min="23" max="23" width="18" hidden="0" customWidth="1"/>
    <x:col min="24" max="24" width="46" hidden="0" customWidth="1"/>
    <x:col min="25" max="25" width="16" hidden="0" customWidth="1"/>
    <x:col min="26" max="26" width="16" hidden="0" customWidth="1"/>
  </x:cols>
  <x:sheetData>
    <x:row r="1" ht="32" customHeight="1">
      <x:c r="A1" s="3" t="str">
        <x:v>Canonical User Stories</x:v>
      </x:c>
      <x:c r="B1" s="3"/>
      <x:c r="C1" s="3"/>
      <x:c r="D1" s="3"/>
      <x:c r="E1" s="3"/>
      <x:c r="F1" s="3"/>
      <x:c r="G1" s="3"/>
      <x:c r="H1" s="3"/>
      <x:c r="I1" s="3"/>
      <x:c r="J1" s="3"/>
      <x:c r="K1" s="3"/>
      <x:c r="L1" s="3"/>
      <x:c r="M1" s="3"/>
      <x:c r="N1" s="3"/>
      <x:c r="O1" s="3"/>
      <x:c r="P1" s="3"/>
      <x:c r="Q1" s="3"/>
      <x:c r="R1" s="3"/>
      <x:c r="S1" s="3"/>
      <x:c r="T1" s="3"/>
      <x:c r="U1" s="3"/>
      <x:c r="V1" s="3"/>
      <x:c r="W1" s="3"/>
      <x:c r="X1" s="3"/>
      <x:c r="Y1" s="3"/>
      <x:c r="Z1" s="3"/>
    </x:row>
    <x:row r="2" ht="30" customHeight="1">
      <x:c r="A2" s="7" t="str">
        <x:v>One row per distinct user-observable behavior. Initial and retest results stay on the same stable Story ID.</x:v>
      </x:c>
      <x:c r="B2" s="7"/>
      <x:c r="C2" s="7"/>
      <x:c r="D2" s="7"/>
      <x:c r="E2" s="7"/>
      <x:c r="F2" s="7"/>
      <x:c r="G2" s="7"/>
      <x:c r="H2" s="7"/>
      <x:c r="I2" s="7"/>
      <x:c r="J2" s="7"/>
      <x:c r="K2" s="7"/>
      <x:c r="L2" s="7"/>
      <x:c r="M2" s="7"/>
      <x:c r="N2" s="7"/>
      <x:c r="O2" s="7"/>
      <x:c r="P2" s="7"/>
      <x:c r="Q2" s="7"/>
      <x:c r="R2" s="7"/>
      <x:c r="S2" s="7"/>
      <x:c r="T2" s="7"/>
      <x:c r="U2" s="7"/>
      <x:c r="V2" s="7"/>
      <x:c r="W2" s="7"/>
      <x:c r="X2" s="7"/>
      <x:c r="Y2" s="7"/>
      <x:c r="Z2" s="7"/>
    </x:row>
    <x:row r="4" ht="34" customHeight="1">
      <x:c r="A4" s="16" t="str">
        <x:v>Story ID</x:v>
      </x:c>
      <x:c r="B4" s="17" t="str">
        <x:v>Area</x:v>
      </x:c>
      <x:c r="C4" s="17" t="str">
        <x:v>Feature</x:v>
      </x:c>
      <x:c r="D4" s="17" t="str">
        <x:v>User Story</x:v>
      </x:c>
      <x:c r="E4" s="17" t="str">
        <x:v>Expected Behavior</x:v>
      </x:c>
      <x:c r="F4" s="17" t="str">
        <x:v>Platform Scope</x:v>
      </x:c>
      <x:c r="G4" s="17" t="str">
        <x:v>Preconditions / Test Data</x:v>
      </x:c>
      <x:c r="H4" s="17" t="str">
        <x:v>iOS Test Steps</x:v>
      </x:c>
      <x:c r="I4" s="17" t="str">
        <x:v>Android Test Steps</x:v>
      </x:c>
      <x:c r="J4" s="17" t="str">
        <x:v>Automated Coverage</x:v>
      </x:c>
      <x:c r="K4" s="17" t="str">
        <x:v>Source References</x:v>
      </x:c>
      <x:c r="L4" s="17" t="str">
        <x:v>Inventory Status</x:v>
      </x:c>
      <x:c r="M4" s="17" t="str">
        <x:v>Testability / Blocker</x:v>
      </x:c>
      <x:c r="N4" s="17" t="str">
        <x:v>iOS Initial</x:v>
      </x:c>
      <x:c r="O4" s="17" t="str">
        <x:v>Android Initial</x:v>
      </x:c>
      <x:c r="P4" s="17" t="str">
        <x:v>Initial Evidence / Error</x:v>
      </x:c>
      <x:c r="Q4" s="17" t="str">
        <x:v>Defect IDs</x:v>
      </x:c>
      <x:c r="R4" s="17" t="str">
        <x:v>Fix Status</x:v>
      </x:c>
      <x:c r="S4" s="17" t="str">
        <x:v>Fix Summary / Code References</x:v>
      </x:c>
      <x:c r="T4" s="17" t="str">
        <x:v>iOS Retest</x:v>
      </x:c>
      <x:c r="U4" s="17" t="str">
        <x:v>Android Retest</x:v>
      </x:c>
      <x:c r="V4" s="17" t="str">
        <x:v>Retest Evidence</x:v>
      </x:c>
      <x:c r="W4" s="17" t="str">
        <x:v>Final Status</x:v>
      </x:c>
      <x:c r="X4" s="17" t="str">
        <x:v>Notes / Static Risk</x:v>
      </x:c>
      <x:c r="Y4" s="17" t="str">
        <x:v>Initial Run QC</x:v>
      </x:c>
      <x:c r="Z4" s="18" t="str">
        <x:v>Retest Run QC</x:v>
      </x:c>
    </x:row>
    <x:row r="5" ht="120" customHeight="1">
      <x:c r="A5" s="57" t="str">
        <x:v>ACC-001</x:v>
      </x:c>
      <x:c r="B5" s="57" t="str">
        <x:v>Account access / local shell</x:v>
      </x:c>
      <x:c r="C5" s="57" t="str">
        <x:v>Launch app at /; direct GET /settings; deep link buff://mcp-approve?token=VALID_TOKEN</x:v>
      </x:c>
      <x:c r="D5" s="57" t="str">
        <x:v>As a device user, I want Buff data screens protected by local account state and the embedded server inaccessible remotely.</x:v>
      </x:c>
      <x:c r="E5" s="57" t="str">
        <x:v>All application, settings, sync, and health routes require a locally persisted access token; missing credentials redirect to sign-in, while an MCP approval GET preserves the intended URL. HTTP is accepted only from loopback or a declared iOS/Android NativePHP runtime unless remote HTTP is explicitly enabled.</x:v>
      </x:c>
      <x:c r="F5" s="57" t="str">
        <x:v>Both; local-shell security</x:v>
      </x:c>
      <x:c r="G5" s="57" t="str">
        <x:v>Fresh install with no credentials; valid 64-character MCP token; optional non-loopback request fixture</x:v>
      </x:c>
      <x:c r="H5" s="57" t="str">
        <x:v>Cold-launch fresh install and confirm Sign in; open a protected deep link and confirm login then return; verify ordinary in-app navigation after sign-in.</x:v>
      </x:c>
      <x:c r="I5" s="57" t="str">
        <x:v>Repeat on Android; also exercise physical Back from login and protected deep link return.</x:v>
      </x:c>
      <x:c r="J5" s="57" t="str">
        <x:v>/Users/mason/Sites/Buff/tests/Feature/BuffAuthenticationTest.php:84 requires sign in offline; /Users/mason/Sites/Buff/tests/Feature/McpApprovalTest.php:104,118; /Users/mason/Sites/Buff/tests/Feature/LocalHttpBoundaryTest.php</x:v>
      </x:c>
      <x:c r="K5" s="57" t="str">
        <x:v>/Users/mason/Sites/Buff/routes/web.php:24-118 route groups; /Users/mason/Sites/Buff/app/Http/Middleware/EnsureBuffAccount.php:15-25 handle; /Users/mason/Sites/Buff/app/Http/Middleware/EnsureLocalRequest.php:17-49 handle</x:v>
      </x:c>
      <x:c r="L5" s="57" t="str">
        <x:v>Mapped</x:v>
      </x:c>
      <x:c r="M5" s="57" t="str">
        <x:v>Ready</x:v>
      </x:c>
      <x:c r="N5" s="57" t="str">
        <x:v>Not Run</x:v>
      </x:c>
      <x:c r="O5" s="57" t="str">
        <x:v>Failed</x:v>
      </x:c>
      <x:c r="P5" s="57" t="str">
        <x:v>Android: /Users/mason/.codex/visualizations/2026/09/01/01a05def-1c0d-76d1-abc6-07c63a443582/emulator-runs/initial/android-guest/ACC-001-signed-out-launch.png — A genuinely fresh Android user launched to a blank black WebView because packaged public/hot pointed at unreachable Buff.test:5173. Removing only that generated marker from the disposable profile made protected root redirect to Sign in.</x:v>
      </x:c>
      <x:c r="Q5" s="57" t="str">
        <x:v>DEF-002</x:v>
      </x:c>
      <x:c r="R5" s="57" t="str">
        <x:v>Fixed</x:v>
      </x:c>
      <x:c r="S5" s="57" t="str"/>
      <x:c r="T5" s="57" t="str">
        <x:v>Blocked</x:v>
      </x:c>
      <x:c r="U5" s="57" t="str">
        <x:v>Not Run</x:v>
      </x:c>
      <x:c r="V5" s="57" t="str">
        <x:v>iOS: /Users/mason/.codex/visualizations/2026/09/01/01a05def-1c0d-76d1-abc6-07c63a443582/emulator-runs/retest/ios/ACC-001-cold-launch-login-build15.png — Closed Buff through the iOS app switcher and reopened its icon. The initial black launch frame resolved to the fully rendered Sign in page at php://127.0.0.1/account/login. No Open in Buff prompt was present. Background/resume also retained Sign in.</x:v>
      </x:c>
      <x:c r="W5" s="57" t="str">
        <x:f>IF(AND(OR(N5="Passed",N5="Failed",N5="Not Applicable"),OR(O5="Passed",O5="Failed",O5="Not Applicable"),OR(N5="Passed",N5="Failed",O5="Passed",O5="Failed"),OR(T5="Passed",T5="Not Applicable"),OR(U5="Passed",U5="Not Applicable"),OR(T5="Passed",U5="Passed"),Y5="Reconciled",Z5="Reconciled",IF(Q5&lt;&gt;"",R5="Fixed",TRUE)),"Verified",IF(OR(T5="Failed",U5="Failed"),"Retest Failed",IF(OR(N5="Failed",O5="Failed",Q5&lt;&gt;""),"Defect Found",IF(AND(OR(N5="Passed",N5="Not Applicable"),OR(O5="Passed",O5="Not Applicable"),OR(N5="Passed",O5="Passed")),"Initial Pass","Not Complete"))))</x:f>
        <x:v>Defect Found</x:v>
      </x:c>
      <x:c r="X5" s="57" t="str">
        <x:v>Risk: auth gating depends on a locally present token before its remote validity is known, so an expired token may briefly render until a protected API/sync path clears it.</x:v>
      </x:c>
      <x:c r="Y5" s="57" t="str">
        <x:f>IF(OR(N5="Not Run",O5="Not Run"),"Pending",IF(AND(OR(N5="Not Applicable",COUNTIFS('Test Runs'!$B$5:$B$2004,A5,'Test Runs'!$C$5:$C$2004,"Initial",'Test Runs'!$D$5:$D$2004,"iOS",'Test Runs'!$I$5:$I$2004,N5)&gt;0),OR(O5="Not Applicable",COUNTIFS('Test Runs'!$B$5:$B$2004,A5,'Test Runs'!$C$5:$C$2004,"Initial",'Test Runs'!$D$5:$D$2004,"Android",'Test Runs'!$I$5:$I$2004,O5)&gt;0)),"Reconciled","Mismatch"))</x:f>
        <x:v>Pending</x:v>
      </x:c>
      <x:c r="Z5" s="57" t="str">
        <x:f>IF(OR(T5="Not Run",U5="Not Run"),"Pending",IF(AND(OR(T5="Not Applicable",COUNTIFS('Test Runs'!$B$5:$B$2004,A5,'Test Runs'!$C$5:$C$2004,"Retest",'Test Runs'!$D$5:$D$2004,"iOS",'Test Runs'!$I$5:$I$2004,T5)&gt;0),OR(U5="Not Applicable",COUNTIFS('Test Runs'!$B$5:$B$2004,A5,'Test Runs'!$C$5:$C$2004,"Retest",'Test Runs'!$D$5:$D$2004,"Android",'Test Runs'!$I$5:$I$2004,U5)&gt;0)),"Reconciled","Mismatch"))</x:f>
        <x:v>Pending</x:v>
      </x:c>
    </x:row>
    <x:row r="6" ht="120" customHeight="1">
      <x:c r="A6" s="58" t="str">
        <x:v>ACC-002</x:v>
      </x:c>
      <x:c r="B6" s="58" t="str">
        <x:v>Account routing</x:v>
      </x:c>
      <x:c r="C6" s="58" t="str">
        <x:v>/account/login or /account/register while authenticated</x:v>
      </x:c>
      <x:c r="D6" s="58" t="str">
        <x:v>As a returning signed-in user, I want account entry screens to take me back into my existing setup.</x:v>
      </x:c>
      <x:c r="E6" s="58" t="str">
        <x:v>GET /account/login redirects an access-token holder through accountRedirect; if no DailyGoal exists it first attempts sync, then honors the intended URL or /; GET /account/register uses the same redirect for an active token.</x:v>
      </x:c>
      <x:c r="F6" s="58" t="str">
        <x:v>Both</x:v>
      </x:c>
      <x:c r="G6" s="58" t="str">
        <x:v>Signed-in account with and without a local DailyGoal; server sync fixture</x:v>
      </x:c>
      <x:c r="H6" s="58" t="str">
        <x:v>Open login and register URLs from a deep link; verify completed users land at intended/home and a missing goal is restored or leads to onboarding behavior.</x:v>
      </x:c>
      <x:c r="I6" s="58" t="str">
        <x:v>Same steps on Android, including cold-start deep links.</x:v>
      </x:c>
      <x:c r="J6" s="58" t="str">
        <x:v>/Users/mason/Sites/Buff/tests/Feature/BuffAuthenticationTest.php:284 restores synced onboarding before redirect; :22 blocks registration active token</x:v>
      </x:c>
      <x:c r="K6" s="58" t="str">
        <x:v>/Users/mason/Sites/Buff/app/Http/Controllers/AccountController.php:30-46 loginPage/registerPage; :342-349 accountRedirect</x:v>
      </x:c>
      <x:c r="L6" s="58" t="str">
        <x:v>Mapped</x:v>
      </x:c>
      <x:c r="M6" s="58" t="str">
        <x:v>Ready</x:v>
      </x:c>
      <x:c r="N6" s="58" t="str">
        <x:v>Not Run</x:v>
      </x:c>
      <x:c r="O6" s="58" t="str">
        <x:v>Passed</x:v>
      </x:c>
      <x:c r="P6" s="58" t="str">
        <x:v>Android: /Users/mason/.codex/visualizations/2026/09/01/01a05def-1c0d-76d1-abc6-07c63a443582/emulator-runs/initial/android-guest/dom-observations-batch-015.json — Direct authenticated visits to /account/login and /account/register both redirected to Home without rendering account forms.</x:v>
      </x:c>
      <x:c r="Q6" s="58" t="str"/>
      <x:c r="R6" s="58" t="str">
        <x:v>Not Needed</x:v>
      </x:c>
      <x:c r="S6" s="58" t="str"/>
      <x:c r="T6" s="58" t="str">
        <x:v>Not Run</x:v>
      </x:c>
      <x:c r="U6" s="58" t="str">
        <x:v>Not Run</x:v>
      </x:c>
      <x:c r="V6" s="58" t="str"/>
      <x:c r="W6" s="58" t="str">
        <x:f>IF(AND(OR(N6="Passed",N6="Failed",N6="Not Applicable"),OR(O6="Passed",O6="Failed",O6="Not Applicable"),OR(N6="Passed",N6="Failed",O6="Passed",O6="Failed"),OR(T6="Passed",T6="Not Applicable"),OR(U6="Passed",U6="Not Applicable"),OR(T6="Passed",U6="Passed"),Y6="Reconciled",Z6="Reconciled",IF(Q6&lt;&gt;"",R6="Fixed",TRUE)),"Verified",IF(OR(T6="Failed",U6="Failed"),"Retest Failed",IF(OR(N6="Failed",O6="Failed",Q6&lt;&gt;""),"Defect Found",IF(AND(OR(N6="Passed",N6="Not Applicable"),OR(O6="Passed",O6="Not Applicable"),OR(N6="Passed",O6="Passed")),"Initial Pass","Not Complete"))))</x:f>
        <x:v>Not Complete</x:v>
      </x:c>
      <x:c r="X6" s="58" t="str">
        <x:v>Risk: accountRedirect ignores sync failure and still redirects, so a user whose goal exists only remotely can land on an incompletely initialized home state.</x:v>
      </x:c>
      <x:c r="Y6" s="58" t="str">
        <x:f>IF(OR(N6="Not Run",O6="Not Run"),"Pending",IF(AND(OR(N6="Not Applicable",COUNTIFS('Test Runs'!$B$5:$B$2004,A6,'Test Runs'!$C$5:$C$2004,"Initial",'Test Runs'!$D$5:$D$2004,"iOS",'Test Runs'!$I$5:$I$2004,N6)&gt;0),OR(O6="Not Applicable",COUNTIFS('Test Runs'!$B$5:$B$2004,A6,'Test Runs'!$C$5:$C$2004,"Initial",'Test Runs'!$D$5:$D$2004,"Android",'Test Runs'!$I$5:$I$2004,O6)&gt;0)),"Reconciled","Mismatch"))</x:f>
        <x:v>Pending</x:v>
      </x:c>
      <x:c r="Z6" s="58" t="str">
        <x:f>IF(OR(T6="Not Run",U6="Not Run"),"Pending",IF(AND(OR(T6="Not Applicable",COUNTIFS('Test Runs'!$B$5:$B$2004,A6,'Test Runs'!$C$5:$C$2004,"Retest",'Test Runs'!$D$5:$D$2004,"iOS",'Test Runs'!$I$5:$I$2004,T6)&gt;0),OR(U6="Not Applicable",COUNTIFS('Test Runs'!$B$5:$B$2004,A6,'Test Runs'!$C$5:$C$2004,"Retest",'Test Runs'!$D$5:$D$2004,"Android",'Test Runs'!$I$5:$I$2004,U6)&gt;0)),"Reconciled","Mismatch"))</x:f>
        <x:v>Pending</x:v>
      </x:c>
    </x:row>
    <x:row r="7" ht="120" customHeight="1">
      <x:c r="A7" s="58" t="str">
        <x:v>ACC-003</x:v>
      </x:c>
      <x:c r="B7" s="58" t="str">
        <x:v>Registration guard</x:v>
      </x:c>
      <x:c r="C7" s="58" t="str">
        <x:v>GET/POST /account/register</x:v>
      </x:c>
      <x:c r="D7" s="58" t="str">
        <x:v>As a user with existing device identity or sync data, I want Buff to prevent creating a second account over that data.</x:v>
      </x:c>
      <x:c r="E7" s="58" t="str">
        <x:v>Registration is blocked without a server request when an access token, cached account identity, or SyncState exists. Active access proceeds to the app; identity/sync data without access returns to login with This device already has data. Sign in to keep using it.</x:v>
      </x:c>
      <x:c r="F7" s="58" t="str">
        <x:v>Both</x:v>
      </x:c>
      <x:c r="G7" s="58" t="str">
        <x:v>Three device states: active token; cached account after token cleared; SyncState without credential file</x:v>
      </x:c>
      <x:c r="H7" s="58" t="str">
        <x:v>Attempt Create account in each state and verify no registration form/server mutation; sign in to preserve data.</x:v>
      </x:c>
      <x:c r="I7" s="58" t="str">
        <x:v>Repeat all three states in Android emulator.</x:v>
      </x:c>
      <x:c r="J7" s="58" t="str">
        <x:v>/Users/mason/Sites/Buff/tests/Feature/BuffAuthenticationTest.php:22,32,43</x:v>
      </x:c>
      <x:c r="K7" s="58" t="str">
        <x:v>/Users/mason/Sites/Buff/app/Http/Controllers/AccountController.php:39-46,78-82,351-361 registrationRedirect; /Users/mason/Sites/Buff/app/Services/BuffCredentialStore.php:12-184</x:v>
      </x:c>
      <x:c r="L7" s="58" t="str">
        <x:v>Mapped</x:v>
      </x:c>
      <x:c r="M7" s="58" t="str">
        <x:v>Ready</x:v>
      </x:c>
      <x:c r="N7" s="58" t="str">
        <x:v>Not Run</x:v>
      </x:c>
      <x:c r="O7" s="58" t="str">
        <x:v>Blocked</x:v>
      </x:c>
      <x:c r="P7" s="58" t="str">
        <x:v>Android: /Users/mason/.codex/visualizations/2026/09/01/01a05def-1c0d-76d1-abc6-07c63a443582/inventory/ACC-003-active-registration-guard-observation.json — With an authenticated disposable account and synced state, requesting /account/register redirected to Today without rendering the registration form or changing the restored plan.</x:v>
      </x:c>
      <x:c r="Q7" s="58" t="str"/>
      <x:c r="R7" s="58" t="str">
        <x:v>Not Needed</x:v>
      </x:c>
      <x:c r="S7" s="58" t="str"/>
      <x:c r="T7" s="58" t="str">
        <x:v>Not Run</x:v>
      </x:c>
      <x:c r="U7" s="58" t="str">
        <x:v>Not Run</x:v>
      </x:c>
      <x:c r="V7" s="58" t="str"/>
      <x:c r="W7" s="58" t="str">
        <x:f>IF(AND(OR(N7="Passed",N7="Failed",N7="Not Applicable"),OR(O7="Passed",O7="Failed",O7="Not Applicable"),OR(N7="Passed",N7="Failed",O7="Passed",O7="Failed"),OR(T7="Passed",T7="Not Applicable"),OR(U7="Passed",U7="Not Applicable"),OR(T7="Passed",U7="Passed"),Y7="Reconciled",Z7="Reconciled",IF(Q7&lt;&gt;"",R7="Fixed",TRUE)),"Verified",IF(OR(T7="Failed",U7="Failed"),"Retest Failed",IF(OR(N7="Failed",O7="Failed",Q7&lt;&gt;""),"Defect Found",IF(AND(OR(N7="Passed",N7="Not Applicable"),OR(O7="Passed",O7="Not Applicable"),OR(N7="Passed",O7="Passed")),"Initial Pass","Not Complete"))))</x:f>
        <x:v>Not Complete</x:v>
      </x:c>
      <x:c r="X7" s="58" t="str">
        <x:v>None evident; deliberately conservative to prevent local-data/account mixing.</x:v>
      </x:c>
      <x:c r="Y7" s="58" t="str">
        <x:f>IF(OR(N7="Not Run",O7="Not Run"),"Pending",IF(AND(OR(N7="Not Applicable",COUNTIFS('Test Runs'!$B$5:$B$2004,A7,'Test Runs'!$C$5:$C$2004,"Initial",'Test Runs'!$D$5:$D$2004,"iOS",'Test Runs'!$I$5:$I$2004,N7)&gt;0),OR(O7="Not Applicable",COUNTIFS('Test Runs'!$B$5:$B$2004,A7,'Test Runs'!$C$5:$C$2004,"Initial",'Test Runs'!$D$5:$D$2004,"Android",'Test Runs'!$I$5:$I$2004,O7)&gt;0)),"Reconciled","Mismatch"))</x:f>
        <x:v>Pending</x:v>
      </x:c>
      <x:c r="Z7" s="58" t="str">
        <x:f>IF(OR(T7="Not Run",U7="Not Run"),"Pending",IF(AND(OR(T7="Not Applicable",COUNTIFS('Test Runs'!$B$5:$B$2004,A7,'Test Runs'!$C$5:$C$2004,"Retest",'Test Runs'!$D$5:$D$2004,"iOS",'Test Runs'!$I$5:$I$2004,T7)&gt;0),OR(U7="Not Applicable",COUNTIFS('Test Runs'!$B$5:$B$2004,A7,'Test Runs'!$C$5:$C$2004,"Retest",'Test Runs'!$D$5:$D$2004,"Android",'Test Runs'!$I$5:$I$2004,U7)&gt;0)),"Reconciled","Mismatch"))</x:f>
        <x:v>Pending</x:v>
      </x:c>
    </x:row>
    <x:row r="8" ht="120" customHeight="1">
      <x:c r="A8" s="58" t="str">
        <x:v>ACC-004</x:v>
      </x:c>
      <x:c r="B8" s="58" t="str">
        <x:v>Email registration UI</x:v>
      </x:c>
      <x:c r="C8" s="58" t="str">
        <x:v>/account/register → Continue with email</x:v>
      </x:c>
      <x:c r="D8" s="58" t="str">
        <x:v>As a new user, I want a guided name, method, email, and password registration flow with inline validation.</x:v>
      </x:c>
      <x:c r="E8" s="58" t="str">
        <x:v>The four-step SetupFlow requires a nonblank name, syntactically plausible email, and 8-character password. Keyboard Return and the Next/Create account button use the same validation and processing guard. Password confirmation is copied from the password before POST, and server errors return to the relevant step. Progress is 25%, 50%, 75%, and 100% across the four steps.</x:v>
      </x:c>
      <x:c r="F8" s="58" t="str">
        <x:v>Both</x:v>
      </x:c>
      <x:c r="G8" s="58" t="str">
        <x:v>Fresh device; unused email; invalid email; 7- and 8-character passwords; duplicate email</x:v>
      </x:c>
      <x:c r="H8" s="58" t="str">
        <x:v>Traverse every step, use Back and keyboard Return, verify invalid values cannot advance, reveal the password, and create an account. Confirm progress is 25/50/75/100% and server errors return to the relevant step.</x:v>
      </x:c>
      <x:c r="I8" s="58" t="str">
        <x:v>Repeat with Android keyboard Next/Enter and system Back; verify focus and field persistence.</x:v>
      </x:c>
      <x:c r="J8" s="58" t="str">
        <x:v>/Users/mason/Sites/Buff/tests/passwordInput.test.ts:12; no direct registration-step/progress behavioral test located</x:v>
      </x:c>
      <x:c r="K8" s="58" t="str">
        <x:v>/Users/mason/Sites/Buff/resources/js/Pages/Account.vue:18-20,68-102,240-279,315-426; /Users/mason/Sites/Buff/resources/js/Components/SetupFlow.vue:7-88</x:v>
      </x:c>
      <x:c r="L8" s="58" t="str">
        <x:v>Mapped</x:v>
      </x:c>
      <x:c r="M8" s="58" t="str">
        <x:v>Ready</x:v>
      </x:c>
      <x:c r="N8" s="58" t="str">
        <x:v>Failed</x:v>
      </x:c>
      <x:c r="O8" s="58" t="str">
        <x:v>Failed</x:v>
      </x:c>
      <x:c r="P8" s="58" t="str">
        <x:v>iOS: /Users/mason/.codex/visualizations/2026/09/01/01a05def-1c0d-76d1-abc6-07c63a443582/emulator-runs/initial/ios/ACC-004-blank-name-disabled.png
/Users/mason/.codex/visualizations/2026/09/01/01a05def-1c0d-76d1-abc6-07c63a443582/emulator-runs/initial/ios/ACC-004-blank-name-bypassed.png
/Users/mason/.codex/visualizations/2026/09/01/01a05def-1c0d-76d1-abc6-07c63a443582/emulator-runs/initial/ios/ACC-004-invalid-email-disabled.png
/Users/mason/.codex/visualizations/2026/09/01/01a05def-1c0d-76d1-abc6-07c63a443582/emulator-runs/initial/ios/ACC-004-invalid-email-bypassed.png
/Users/mason/.codex/visualizations/2026/09/01/01a05def-1c0d-76d1-abc6-07c63a443582/emulator-runs/initial/ios/ACC-004-password-seven-disabled.png
/Users/mason/.codex/visualizations/2026/09/01/01a05def-1c0d-76d1-abc6-07c63a443582/emulator-runs/initial/ios/ACC-004-password-eight-enabled.png — Back and provider selection worked; 7-character password kept Create account disabled, 8 enabled it, and visibility toggling preserved the value. The run failed because keyboard Return bypassed blank-name and malformed-email validation, and the progress indicator used 4/14 instead of 4/4.
Android: /Users/mason/.codex/visualizations/2026/09/01/01a05def-1c0d-76d1-abc6-07c63a443582/emulator-runs/initial/android-guest/ACC-004-return-bypass-and-progress.png — Android reproduced keyboard Return advancing past blank name and malformed email, while the four registration steps showed 7/14/21/29% progress. Password 7 remained disabled and exactly 8 enabled account creation.</x:v>
      </x:c>
      <x:c r="Q8" s="58" t="str">
        <x:v>DEF-004
DEF-005</x:v>
      </x:c>
      <x:c r="R8" s="58" t="str">
        <x:v>In Progress</x:v>
      </x:c>
      <x:c r="S8" s="58" t="str"/>
      <x:c r="T8" s="58" t="str">
        <x:v>Blocked</x:v>
      </x:c>
      <x:c r="U8" s="58" t="str">
        <x:v>Blocked</x:v>
      </x:c>
      <x:c r="V8" s="58" t="str">
        <x:v>Android: /Users/mason/.codex/visualizations/2026/09/01/01a05def-1c0d-76d1-abc6-07c63a443582/emulator-runs/retest/android/ACC-004-empty-return.json
/Users/mason/.codex/visualizations/2026/09/01/01a05def-1c0d-76d1-abc6-07c63a443582/emulator-runs/retest/android/ACC-004-invalid-email-return.json
/Users/mason/.codex/visualizations/2026/09/01/01a05def-1c0d-76d1-abc6-07c63a443582/emulator-runs/retest/android/ACC-004-short-password-return.json
/Users/mason/.codex/visualizations/2026/09/01/01a05def-1c0d-76d1-abc6-07c63a443582/emulator-runs/retest/android/ACC-004-progress100.png — Native keyboard Return did not advance blank name, malformed email or a five-character password. Valid name and email advanced. Progress 25, 75 and 100 observed; final form displayed a full progress bar.
iOS: /Users/mason/.codex/visualizations/2026/09/01/01a05def-1c0d-76d1-abc6-07c63a443582/emulator-runs/retest/ios/ACC-004-blank-name-return-guard.png
/Users/mason/.codex/visualizations/2026/09/01/01a05def-1c0d-76d1-abc6-07c63a443582/emulator-runs/retest/ios/ACC-004-malformed-email-return-guard.png
/Users/mason/.codex/visualizations/2026/09/01/01a05def-1c0d-76d1-abc6-07c63a443582/emulator-runs/retest/ios/ACC-004-final-progress-100.png
/Users/mason/.codex/visualizations/2026/09/01/01a05def-1c0d-76d1-abc6-07c63a443582/emulator-runs/retest/ios/ACC-004-password-seven-disabled.png
/Users/mason/.codex/visualizations/2026/09/01/01a05def-1c0d-76d1-abc6-07c63a443582/emulator-runs/retest/ios/ACC-004-password-eight-enabled.png
/Users/mason/.codex/visualizations/2026/09/01/01a05def-1c0d-76d1-abc6-07c63a443582/emulator-runs/retest/ios/ACC-005-registration-onboarding-build15.png — Blank-name and malformed-email Return guards passed, all four progress values were25/50/75/100, Back preserved name/email, seven password characters disabled Create account and eight enabled it. After replacing test text with a strong generated credential, user-authorized disposable account creation reached onboarding before verification.</x:v>
      </x:c>
      <x:c r="W8" s="58" t="str">
        <x:f>IF(AND(OR(N8="Passed",N8="Failed",N8="Not Applicable"),OR(O8="Passed",O8="Failed",O8="Not Applicable"),OR(N8="Passed",N8="Failed",O8="Passed",O8="Failed"),OR(T8="Passed",T8="Not Applicable"),OR(U8="Passed",U8="Not Applicable"),OR(T8="Passed",U8="Passed"),Y8="Reconciled",Z8="Reconciled",IF(Q8&lt;&gt;"",R8="Fixed",TRUE)),"Verified",IF(OR(T8="Failed",U8="Failed"),"Retest Failed",IF(OR(N8="Failed",O8="Failed",Q8&lt;&gt;""),"Defect Found",IF(AND(OR(N8="Passed",N8="Not Applicable"),OR(O8="Passed",O8="Not Applicable"),OR(N8="Passed",O8="Passed")),"Initial Pass","Not Complete"))))</x:f>
        <x:v>Defect Found</x:v>
      </x:c>
      <x:c r="X8" s="58" t="str">
        <x:v>Historical source finding: LIKELY UX DEFECT: Account.vue:90 divides four registration steps by 14, so progress never exceeds 28.6% before account creation. Current source calculates registration progress from registerSteps.length (four steps), and existing build-15 retest evidence observed the corrected progress. Preserve the initial failure and outstanding registration variants; do not present this historical note as a current source defect.</x:v>
      </x:c>
      <x:c r="Y8" s="58" t="str">
        <x:f>IF(OR(N8="Not Run",O8="Not Run"),"Pending",IF(AND(OR(N8="Not Applicable",COUNTIFS('Test Runs'!$B$5:$B$2004,A8,'Test Runs'!$C$5:$C$2004,"Initial",'Test Runs'!$D$5:$D$2004,"iOS",'Test Runs'!$I$5:$I$2004,N8)&gt;0),OR(O8="Not Applicable",COUNTIFS('Test Runs'!$B$5:$B$2004,A8,'Test Runs'!$C$5:$C$2004,"Initial",'Test Runs'!$D$5:$D$2004,"Android",'Test Runs'!$I$5:$I$2004,O8)&gt;0)),"Reconciled","Mismatch"))</x:f>
        <x:v>Reconciled</x:v>
      </x:c>
      <x:c r="Z8" s="58" t="str">
        <x:f>IF(OR(T8="Not Run",U8="Not Run"),"Pending",IF(AND(OR(T8="Not Applicable",COUNTIFS('Test Runs'!$B$5:$B$2004,A8,'Test Runs'!$C$5:$C$2004,"Retest",'Test Runs'!$D$5:$D$2004,"iOS",'Test Runs'!$I$5:$I$2004,T8)&gt;0),OR(U8="Not Applicable",COUNTIFS('Test Runs'!$B$5:$B$2004,A8,'Test Runs'!$C$5:$C$2004,"Retest",'Test Runs'!$D$5:$D$2004,"Android",'Test Runs'!$I$5:$I$2004,U8)&gt;0)),"Reconciled","Mismatch"))</x:f>
        <x:v>Reconciled</x:v>
      </x:c>
    </x:row>
    <x:row r="9" ht="120" customHeight="1">
      <x:c r="A9" s="58" t="str">
        <x:v>ACC-005</x:v>
      </x:c>
      <x:c r="B9" s="58" t="str">
        <x:v>Email registration service</x:v>
      </x:c>
      <x:c r="C9" s="58" t="str">
        <x:v>POST /account/register → server POST /api/v1/auth/register</x:v>
      </x:c>
      <x:c r="D9" s="58" t="str">
        <x:v>As a new user, I want one account, durable device credentials, and onboarding access after successful registration.</x:v>
      </x:c>
      <x:c r="E9" s="58" t="str">
        <x:v>Client and server validate name max 120, normalized unique email max 255, password minimum 8 and confirmation, valid timezone, and device name. Server creates a RevenueCat identity, queues verification email, returns access plus one-use rotating refresh credential (3-month explicit expiry); app encrypts credentials, creates SyncState, queues existing local records, and goes to onboarding without blocking unverified users.</x:v>
      </x:c>
      <x:c r="F9" s="58" t="str">
        <x:v>Both + server</x:v>
      </x:c>
      <x:c r="G9" s="58" t="str">
        <x:v>Unused mixed-case/spaced email; valid timezone; mail fake/real inbox; server online/offline/429 fixtures</x:v>
      </x:c>
      <x:c r="H9" s="58" t="str">
        <x:v>Submit valid account and confirm onboarding opens before verification; inspect received verification email; retry duplicate email and offline/rate-limited cases.</x:v>
      </x:c>
      <x:c r="I9" s="58" t="str">
        <x:v>Same Android steps; kill/relaunch after registration and confirm credentials persist.</x:v>
      </x:c>
      <x:c r="J9" s="58" t="str">
        <x:v>/Users/mason/Sites/Buff/tests/Feature/BuffAuthenticationTest.php:168; /Users/mason/Sites/buff-server/tests/Feature/AuthenticationTest.php:12</x:v>
      </x:c>
      <x:c r="K9" s="58" t="str">
        <x:v>/Users/mason/Sites/Buff/app/Http/Controllers/AccountController.php:78-100,299-324; /Users/mason/Sites/buff-server/app/Http/Requests/Api/V1/RegisterRequest.php:24-38; /Users/mason/Sites/buff-server/app/Http/Controllers/Api/V1/AuthController.php:25-31,133-150; /Users/mason/Sites/buff-server/app/Models/User.php:66-70</x:v>
      </x:c>
      <x:c r="L9" s="58" t="str">
        <x:v>Mapped</x:v>
      </x:c>
      <x:c r="M9" s="58" t="str">
        <x:v>Ready</x:v>
      </x:c>
      <x:c r="N9" s="58" t="str">
        <x:v>Not Run</x:v>
      </x:c>
      <x:c r="O9" s="58" t="str">
        <x:v>Passed</x:v>
      </x:c>
      <x:c r="P9" s="58" t="str">
        <x:v>Android: /Users/mason/.codex/visualizations/2026/09/01/01a05def-1c0d-76d1-abc6-07c63a443582/emulator-runs/initial/android-guest/ACC-005-registration-onboarding.png — A new QA account was created with an eight-character password, signed in immediately, and redirected to onboarding before email verification; protected setup remained usable.</x:v>
      </x:c>
      <x:c r="Q9" s="58" t="str"/>
      <x:c r="R9" s="58" t="str">
        <x:v>Not Needed</x:v>
      </x:c>
      <x:c r="S9" s="58" t="str"/>
      <x:c r="T9" s="58" t="str">
        <x:v>Blocked</x:v>
      </x:c>
      <x:c r="U9" s="58" t="str">
        <x:v>Not Run</x:v>
      </x:c>
      <x:c r="V9" s="58" t="str">
        <x:v>iOS: /Users/mason/.codex/visualizations/2026/09/01/01a05def-1c0d-76d1-abc6-07c63a443582/emulator-runs/retest/ios/ACC-005-registration-onboarding-build15.png — A user-authorized unique disposable example.com QA account successfully registered and opened the protected age onboarding step immediately, without waiting for email verification.
iOS: /Users/mason/.codex/visualizations/2026/09/01/01a05def-1c0d-76d1-abc6-07c63a443582/emulator-runs/retest/ios/ACC-005-registration-onboarding-build15.png
/Users/mason/.codex/visualizations/2026/09/01/01a05def-1c0d-76d1-abc6-07c63a443582/emulator-runs/retest/ios/ACC-005-authenticated-cold-launch.png — After authorized registration and onboarding, closing Buff via the iOS app switcher and reopening its icon returned directly to Today with the same 2,100-kcal plan and no sign-in or consent repeat, proving the new QA session survives process death.</x:v>
      </x:c>
      <x:c r="W9" s="58" t="str">
        <x:f>IF(AND(OR(N9="Passed",N9="Failed",N9="Not Applicable"),OR(O9="Passed",O9="Failed",O9="Not Applicable"),OR(N9="Passed",N9="Failed",O9="Passed",O9="Failed"),OR(T9="Passed",T9="Not Applicable"),OR(U9="Passed",U9="Not Applicable"),OR(T9="Passed",U9="Passed"),Y9="Reconciled",Z9="Reconciled",IF(Q9&lt;&gt;"",R9="Fixed",TRUE)),"Verified",IF(OR(T9="Failed",U9="Failed"),"Retest Failed",IF(OR(N9="Failed",O9="Failed",Q9&lt;&gt;""),"Defect Found",IF(AND(OR(N9="Passed",N9="Not Applicable"),OR(O9="Passed",O9="Not Applicable"),OR(N9="Passed",O9="Passed")),"Initial Pass","Not Complete"))))</x:f>
        <x:v>Not Complete</x:v>
      </x:c>
      <x:c r="X9" s="58" t="str">
        <x:v>Risk: queued verification delivery can be delayed; app intentionally permits unverified nutrition data but MCP remains verification-gated.</x:v>
      </x:c>
      <x:c r="Y9" s="58" t="str">
        <x:f>IF(OR(N9="Not Run",O9="Not Run"),"Pending",IF(AND(OR(N9="Not Applicable",COUNTIFS('Test Runs'!$B$5:$B$2004,A9,'Test Runs'!$C$5:$C$2004,"Initial",'Test Runs'!$D$5:$D$2004,"iOS",'Test Runs'!$I$5:$I$2004,N9)&gt;0),OR(O9="Not Applicable",COUNTIFS('Test Runs'!$B$5:$B$2004,A9,'Test Runs'!$C$5:$C$2004,"Initial",'Test Runs'!$D$5:$D$2004,"Android",'Test Runs'!$I$5:$I$2004,O9)&gt;0)),"Reconciled","Mismatch"))</x:f>
        <x:v>Pending</x:v>
      </x:c>
      <x:c r="Z9" s="58" t="str">
        <x:f>IF(OR(T9="Not Run",U9="Not Run"),"Pending",IF(AND(OR(T9="Not Applicable",COUNTIFS('Test Runs'!$B$5:$B$2004,A9,'Test Runs'!$C$5:$C$2004,"Retest",'Test Runs'!$D$5:$D$2004,"iOS",'Test Runs'!$I$5:$I$2004,T9)&gt;0),OR(U9="Not Applicable",COUNTIFS('Test Runs'!$B$5:$B$2004,A9,'Test Runs'!$C$5:$C$2004,"Retest",'Test Runs'!$D$5:$D$2004,"Android",'Test Runs'!$I$5:$I$2004,U9)&gt;0)),"Reconciled","Mismatch"))</x:f>
        <x:v>Pending</x:v>
      </x:c>
    </x:row>
    <x:row r="10" ht="120" customHeight="1">
      <x:c r="A10" s="58" t="str">
        <x:v>ACC-006</x:v>
      </x:c>
      <x:c r="B10" s="58" t="str">
        <x:v>Email/password login</x:v>
      </x:c>
      <x:c r="C10" s="58" t="str">
        <x:v>/account/login email form</x:v>
      </x:c>
      <x:c r="D10" s="58" t="str">
        <x:v>As an existing user, I want to sign in with normalized email and password and restore my synced setup.</x:v>
      </x:c>
      <x:c r="E10" s="58" t="str">
        <x:v>The app validates email/password/timezone, server lowercases and trims email, rejects invalid credentials on email, updates timezone when supplied, and issues fresh access/refresh tokens. The app preserves local data for the same account, wipes user-owned data before adopting a different SyncState account, queues local records, syncs if onboarding is absent, then honors intended/home.</x:v>
      </x:c>
      <x:c r="F10" s="58" t="str">
        <x:v>Both + server</x:v>
      </x:c>
      <x:c r="G10" s="58" t="str">
        <x:v>Verified or unverified existing account; mixed-case email; wrong password; account with remote onboarding data</x:v>
      </x:c>
      <x:c r="H10" s="58" t="str">
        <x:v>Sign in using case/space variants; test wrong password; confirm timezone and synced onboarding; relaunch and confirm session remains.</x:v>
      </x:c>
      <x:c r="I10" s="58" t="str">
        <x:v>Repeat Android; test password manager/autofill and keyboard submit.</x:v>
      </x:c>
      <x:c r="J10" s="58" t="str">
        <x:v>/Users/mason/Sites/Buff/tests/Feature/BuffAuthenticationTest.php:243,284,453,487; /Users/mason/Sites/buff-server/tests/Feature/AuthenticationTest.php:35</x:v>
      </x:c>
      <x:c r="K10" s="58" t="str">
        <x:v>/Users/mason/Sites/Buff/resources/js/Pages/Account.vue:59-61,154-168,439-479; /Users/mason/Sites/Buff/app/Http/Controllers/AccountController.php:102-118,299-349; /Users/mason/Sites/buff-server/app/Http/Controllers/Api/V1/AuthController.php:34-50; /Users/mason/Sites/buff-server/app/Http/Requests/Api/V1/LoginRequest.php:23-36</x:v>
      </x:c>
      <x:c r="L10" s="58" t="str">
        <x:v>Mapped</x:v>
      </x:c>
      <x:c r="M10" s="58" t="str">
        <x:v>Ready</x:v>
      </x:c>
      <x:c r="N10" s="58" t="str">
        <x:v>Not Run</x:v>
      </x:c>
      <x:c r="O10" s="58" t="str">
        <x:v>Blocked</x:v>
      </x:c>
      <x:c r="P10" s="58" t="str">
        <x:v>Android: /Users/mason/.codex/visualizations/2026/09/01/01a05def-1c0d-76d1-abc6-07c63a443582/inventory/ACC-006-007-login-errors-observation.json
/Users/mason/.codex/visualizations/2026/09/01/01a05def-1c0d-76d1-abc6-07c63a443582/inventory/ACC-006-correct-login-restored.png
/Users/mason/.codex/visualizations/2026/09/01/01a05def-1c0d-76d1-abc6-07c63a443582/inventory/ACC-006-cold-relaunch-session.png — The mixed-case/padded email normalized to a valid 39-character value. Wrong credentials stayed on login with the expected email error; the correct password returned to Today with the synced 2000-kcal, 170 g protein, 195 g carbs, and 60 g fat plan. Force-stop and cold relaunch preserved the authenticated session.</x:v>
      </x:c>
      <x:c r="Q10" s="58" t="str"/>
      <x:c r="R10" s="58" t="str">
        <x:v>Not Needed</x:v>
      </x:c>
      <x:c r="S10" s="58" t="str"/>
      <x:c r="T10" s="58" t="str">
        <x:v>Not Run</x:v>
      </x:c>
      <x:c r="U10" s="58" t="str">
        <x:v>Blocked</x:v>
      </x:c>
      <x:c r="V10" s="58" t="str">
        <x:v>Android: /Users/mason/.codex/visualizations/2026/09/01/01a05def-1c0d-76d1-abc6-07c63a443582/emulator-runs/retest/android/ACC-006-wrong-password.json — Submitting the disposable QA email with a deliberately wrong password stayed on Sign in and showed Buff could not reach the account service. Check your connection. Fields and submit became usable again.
Android: /Users/mason/.codex/visualizations/2026/09/01/01a05def-1c0d-76d1-abc6-07c63a443582/emulator-runs/retest/android/ACC-006-rejected-after-wake.json
/Users/mason/.codex/visualizations/2026/09/01/01a05def-1c0d-76d1-abc6-07c63a443582/emulator-runs/retest/android/ACC-006-login-result.json — After wake/unlock removed Android background network blocking, the invalid password produced The provided credentials are incorrect. Replacing it with the generated QA password successfully opened Today and downloaded the iOS-created 2100-kcal plan with 158/210/70 displayed macro targets.</x:v>
      </x:c>
      <x:c r="W10" s="58" t="str">
        <x:f>IF(AND(OR(N10="Passed",N10="Failed",N10="Not Applicable"),OR(O10="Passed",O10="Failed",O10="Not Applicable"),OR(N10="Passed",N10="Failed",O10="Passed",O10="Failed"),OR(T10="Passed",T10="Not Applicable"),OR(U10="Passed",U10="Not Applicable"),OR(T10="Passed",U10="Passed"),Y10="Reconciled",Z10="Reconciled",IF(Q10&lt;&gt;"",R10="Fixed",TRUE)),"Verified",IF(OR(T10="Failed",U10="Failed"),"Retest Failed",IF(OR(N10="Failed",O10="Failed",Q10&lt;&gt;""),"Defect Found",IF(AND(OR(N10="Passed",N10="Not Applicable"),OR(O10="Passed",O10="Not Applicable"),OR(N10="Passed",O10="Passed")),"Initial Pass","Not Complete"))))</x:f>
        <x:v>Not Complete</x:v>
      </x:c>
      <x:c r="X10" s="58" t="str">
        <x:v>None evident in canonical flow.</x:v>
      </x:c>
      <x:c r="Y10" s="58" t="str">
        <x:f>IF(OR(N10="Not Run",O10="Not Run"),"Pending",IF(AND(OR(N10="Not Applicable",COUNTIFS('Test Runs'!$B$5:$B$2004,A10,'Test Runs'!$C$5:$C$2004,"Initial",'Test Runs'!$D$5:$D$2004,"iOS",'Test Runs'!$I$5:$I$2004,N10)&gt;0),OR(O10="Not Applicable",COUNTIFS('Test Runs'!$B$5:$B$2004,A10,'Test Runs'!$C$5:$C$2004,"Initial",'Test Runs'!$D$5:$D$2004,"Android",'Test Runs'!$I$5:$I$2004,O10)&gt;0)),"Reconciled","Mismatch"))</x:f>
        <x:v>Pending</x:v>
      </x:c>
      <x:c r="Z10" s="58" t="str">
        <x:f>IF(OR(T10="Not Run",U10="Not Run"),"Pending",IF(AND(OR(T10="Not Applicable",COUNTIFS('Test Runs'!$B$5:$B$2004,A10,'Test Runs'!$C$5:$C$2004,"Retest",'Test Runs'!$D$5:$D$2004,"iOS",'Test Runs'!$I$5:$I$2004,T10)&gt;0),OR(U10="Not Applicable",COUNTIFS('Test Runs'!$B$5:$B$2004,A10,'Test Runs'!$C$5:$C$2004,"Retest",'Test Runs'!$D$5:$D$2004,"Android",'Test Runs'!$I$5:$I$2004,U10)&gt;0)),"Reconciled","Mismatch"))</x:f>
        <x:v>Pending</x:v>
      </x:c>
    </x:row>
    <x:row r="11" ht="120" customHeight="1">
      <x:c r="A11" s="58" t="str">
        <x:v>ACC-007</x:v>
      </x:c>
      <x:c r="B11" s="58" t="str">
        <x:v>Account API error handling</x:v>
      </x:c>
      <x:c r="C11" s="58" t="str">
        <x:v>Any account form submission</x:v>
      </x:c>
      <x:c r="D11" s="58" t="str">
        <x:v>As an account user, I want actionable inline feedback when account service requests fail.</x:v>
      </x:c>
      <x:c r="E11" s="58" t="str">
        <x:v>Account actions map connection failure to Check your connection, 429 to Try again shortly, 401 to session-expired sign-in text, server 422 errors to original fields, and otherwise use the safe server message/fallback. Social callback failures are deliberately collapsed to a generic message.</x:v>
      </x:c>
      <x:c r="F11" s="58" t="str">
        <x:v>Both + server</x:v>
      </x:c>
      <x:c r="G11" s="58" t="str">
        <x:v>Offline mode; mocked 401/403/422/429/500; invalid social callback</x:v>
      </x:c>
      <x:c r="H11" s="58" t="str">
        <x:v>Submit login, registration, reset, profile, and password actions under each failure; confirm errors remain beside the relevant form and no raw exception/provider message leaks.</x:v>
      </x:c>
      <x:c r="I11" s="58" t="str">
        <x:v>Repeat on Android, including toggling airplane mode during submission.</x:v>
      </x:c>
      <x:c r="J11" s="58" t="str">
        <x:v>/Users/mason/Sites/Buff/tests/Feature/BuffAuthenticationTest.php:645,754; /Users/mason/Sites/buff-server/tests/Feature/SocialAuthenticationTest.php:320,346</x:v>
      </x:c>
      <x:c r="K11" s="58" t="str">
        <x:v>/Users/mason/Sites/Buff/app/Http/Controllers/AccountController.php:326-340 ensureSuccessful; /Users/mason/Sites/Buff/app/Services/BuffApiClient.php:122-185 send/result</x:v>
      </x:c>
      <x:c r="L11" s="58" t="str">
        <x:v>Mapped</x:v>
      </x:c>
      <x:c r="M11" s="58" t="str">
        <x:v>Ready</x:v>
      </x:c>
      <x:c r="N11" s="58" t="str">
        <x:v>Not Run</x:v>
      </x:c>
      <x:c r="O11" s="58" t="str">
        <x:v>Failed</x:v>
      </x:c>
      <x:c r="P11" s="58" t="str">
        <x:v>Android: /Users/mason/.codex/visualizations/2026/09/01/01a05def-1c0d-76d1-abc6-07c63a443582/inventory/ACC-006-007-login-errors-observation.json
/Users/mason/.codex/visualizations/2026/09/01/01a05def-1c0d-76d1-abc6-07c63a443582/inventory/ACC-012-missing-code-generic-error.png
/Users/mason/.codex/visualizations/2026/09/01/01a05def-1c0d-76d1-abc6-07c63a443582/inventory/ACC-012-untrusted-error-disclosed.png — Wrong credentials mapped to the original email field, and airplane mode produced both the offline banner and actionable connection error. Missing social code was generic, but a forged error query was displayed verbatim instead of being collapsed to safe copy.</x:v>
      </x:c>
      <x:c r="Q11" s="58" t="str">
        <x:v>DEF-078</x:v>
      </x:c>
      <x:c r="R11" s="58" t="str">
        <x:v>In Progress</x:v>
      </x:c>
      <x:c r="S11" s="58" t="str"/>
      <x:c r="T11" s="58" t="str">
        <x:v>Not Run</x:v>
      </x:c>
      <x:c r="U11" s="58" t="str">
        <x:v>Not Run</x:v>
      </x:c>
      <x:c r="V11" s="58" t="str"/>
      <x:c r="W11" s="58" t="str">
        <x:f>IF(AND(OR(N11="Passed",N11="Failed",N11="Not Applicable"),OR(O11="Passed",O11="Failed",O11="Not Applicable"),OR(N11="Passed",N11="Failed",O11="Passed",O11="Failed"),OR(T11="Passed",T11="Not Applicable"),OR(U11="Passed",U11="Not Applicable"),OR(T11="Passed",U11="Passed"),Y11="Reconciled",Z11="Reconciled",IF(Q11&lt;&gt;"",R11="Fixed",TRUE)),"Verified",IF(OR(T11="Failed",U11="Failed"),"Retest Failed",IF(OR(N11="Failed",O11="Failed",Q11&lt;&gt;""),"Defect Found",IF(AND(OR(N11="Passed",N11="Not Applicable"),OR(O11="Passed",O11="Not Applicable"),OR(N11="Passed",O11="Passed")),"Initial Pass","Not Complete"))))</x:f>
        <x:v>Defect Found</x:v>
      </x:c>
      <x:c r="X11" s="58" t="str">
        <x:v>Risk: most account forms expose failures well, but automatic verification polling intentionally swallows errors and gives no offline-specific state.</x:v>
      </x:c>
      <x:c r="Y11" s="58" t="str">
        <x:f>IF(OR(N11="Not Run",O11="Not Run"),"Pending",IF(AND(OR(N11="Not Applicable",COUNTIFS('Test Runs'!$B$5:$B$2004,A11,'Test Runs'!$C$5:$C$2004,"Initial",'Test Runs'!$D$5:$D$2004,"iOS",'Test Runs'!$I$5:$I$2004,N11)&gt;0),OR(O11="Not Applicable",COUNTIFS('Test Runs'!$B$5:$B$2004,A11,'Test Runs'!$C$5:$C$2004,"Initial",'Test Runs'!$D$5:$D$2004,"Android",'Test Runs'!$I$5:$I$2004,O11)&gt;0)),"Reconciled","Mismatch"))</x:f>
        <x:v>Pending</x:v>
      </x:c>
      <x:c r="Z11" s="58" t="str">
        <x:f>IF(OR(T11="Not Run",U11="Not Run"),"Pending",IF(AND(OR(T11="Not Applicable",COUNTIFS('Test Runs'!$B$5:$B$2004,A11,'Test Runs'!$C$5:$C$2004,"Retest",'Test Runs'!$D$5:$D$2004,"iOS",'Test Runs'!$I$5:$I$2004,T11)&gt;0),OR(U11="Not Applicable",COUNTIFS('Test Runs'!$B$5:$B$2004,A11,'Test Runs'!$C$5:$C$2004,"Retest",'Test Runs'!$D$5:$D$2004,"Android",'Test Runs'!$I$5:$I$2004,U11)&gt;0)),"Reconciled","Mismatch"))</x:f>
        <x:v>Pending</x:v>
      </x:c>
    </x:row>
    <x:row r="12" ht="120" customHeight="1">
      <x:c r="A12" s="58" t="str">
        <x:v>ACC-008</x:v>
      </x:c>
      <x:c r="B12" s="58" t="str">
        <x:v>Saved-account resume</x:v>
      </x:c>
      <x:c r="C12" s="58" t="str">
        <x:v>/account/login → Continue as NAME → POST /account/resume</x:v>
      </x:c>
      <x:c r="D12" s="58" t="str">
        <x:v>As a returning device user, I want to continue without re-entering my password while my refresh token is valid.</x:v>
      </x:c>
      <x:c r="E12" s="58" t="str">
        <x:v>Login shows the cached avatar/account card. Continue uses the encrypted refresh token; server requires refresh ability and non-expired explicit expiry, locks and consumes it once, then returns a new access/refresh pair. A 401 clears the local refresh token and requires normal credentials; without a refresh token Continue only reveals login options.</x:v>
      </x:c>
      <x:c r="F12" s="58" t="str">
        <x:v>Both + server</x:v>
      </x:c>
      <x:c r="G12" s="58" t="str">
        <x:v>Device with valid refresh token; expired/consumed refresh; cached identity without refresh</x:v>
      </x:c>
      <x:c r="H12" s="58" t="str">
        <x:v>Cold launch and Continue; confirm one-use token rotation; simulate expired refresh and confirm inline/session path falls back to password without deleting synced data.</x:v>
      </x:c>
      <x:c r="I12" s="58" t="str">
        <x:v>Same Android steps after force-stop and process death.</x:v>
      </x:c>
      <x:c r="J12" s="58" t="str">
        <x:v>/Users/mason/Sites/Buff/tests/Feature/BuffAuthenticationTest.php:374; /Users/mason/Sites/buff-server/tests/Feature/AuthenticationTest.php:60,84</x:v>
      </x:c>
      <x:c r="K12" s="58" t="str">
        <x:v>/Users/mason/Sites/Buff/resources/js/Pages/Account.vue:48-61,170-185,439-459; /Users/mason/Sites/Buff/app/Http/Controllers/AccountController.php:120-139; /Users/mason/Sites/buff-server/app/Http/Controllers/Api/V1/AuthController.php:95-120</x:v>
      </x:c>
      <x:c r="L12" s="58" t="str">
        <x:v>Mapped</x:v>
      </x:c>
      <x:c r="M12" s="58" t="str">
        <x:v>Ready</x:v>
      </x:c>
      <x:c r="N12" s="58" t="str">
        <x:v>Not Run</x:v>
      </x:c>
      <x:c r="O12" s="58" t="str">
        <x:v>Passed</x:v>
      </x:c>
      <x:c r="P12" s="58" t="str">
        <x:v>Android: /Users/mason/.codex/visualizations/2026/09/01/01a05def-1c0d-76d1-abc6-07c63a443582/inventory/ACC-008-saved-account-card-observation.json
/Users/mason/.codex/visualizations/2026/09/01/01a05def-1c0d-76d1-abc6-07c63a443582/inventory/ACC-008-refresh-rotation-observation.json
/Users/mason/.codex/visualizations/2026/09/01/01a05def-1c0d-76d1-abc6-07c63a443582/inventory/ACC-008-consumed-refresh-observation.json
/Users/mason/.codex/visualizations/2026/09/01/01a05def-1c0d-76d1-abc6-07c63a443582/inventory/ACC-008-resume-restored.png — After process death with only cached account plus a valid refresh token, login showed the account card. Continue returned to Today, restored the exact synced plan, and rotated both access and refresh tokens for the same account. Reusing the consumed refresh produced the session-expired error, cleared only the refresh token, retained the cached account, and a second Continue revealed normal login options. The valid post-resume credential blob was restored and Today reopened successfully.</x:v>
      </x:c>
      <x:c r="Q12" s="58" t="str"/>
      <x:c r="R12" s="58" t="str">
        <x:v>Not Needed</x:v>
      </x:c>
      <x:c r="S12" s="58" t="str"/>
      <x:c r="T12" s="58" t="str">
        <x:v>Not Run</x:v>
      </x:c>
      <x:c r="U12" s="58" t="str">
        <x:v>Not Run</x:v>
      </x:c>
      <x:c r="V12" s="58" t="str"/>
      <x:c r="W12" s="58" t="str">
        <x:f>IF(AND(OR(N12="Passed",N12="Failed",N12="Not Applicable"),OR(O12="Passed",O12="Failed",O12="Not Applicable"),OR(N12="Passed",N12="Failed",O12="Passed",O12="Failed"),OR(T12="Passed",T12="Not Applicable"),OR(U12="Passed",U12="Not Applicable"),OR(T12="Passed",U12="Passed"),Y12="Reconciled",Z12="Reconciled",IF(Q12&lt;&gt;"",R12="Fixed",TRUE)),"Verified",IF(OR(T12="Failed",U12="Failed"),"Retest Failed",IF(OR(N12="Failed",O12="Failed",Q12&lt;&gt;""),"Defect Found",IF(AND(OR(N12="Passed",N12="Not Applicable"),OR(O12="Passed",O12="Not Applicable"),OR(N12="Passed",O12="Passed")),"Initial Pass","Not Complete"))))</x:f>
        <x:v>Not Complete</x:v>
      </x:c>
      <x:c r="X12" s="58" t="str">
        <x:v>None evident; server transaction prevents concurrent replay.</x:v>
      </x:c>
      <x:c r="Y12" s="58" t="str">
        <x:f>IF(OR(N12="Not Run",O12="Not Run"),"Pending",IF(AND(OR(N12="Not Applicable",COUNTIFS('Test Runs'!$B$5:$B$2004,A12,'Test Runs'!$C$5:$C$2004,"Initial",'Test Runs'!$D$5:$D$2004,"iOS",'Test Runs'!$I$5:$I$2004,N12)&gt;0),OR(O12="Not Applicable",COUNTIFS('Test Runs'!$B$5:$B$2004,A12,'Test Runs'!$C$5:$C$2004,"Initial",'Test Runs'!$D$5:$D$2004,"Android",'Test Runs'!$I$5:$I$2004,O12)&gt;0)),"Reconciled","Mismatch"))</x:f>
        <x:v>Pending</x:v>
      </x:c>
      <x:c r="Z12" s="58" t="str">
        <x:f>IF(OR(T12="Not Run",U12="Not Run"),"Pending",IF(AND(OR(T12="Not Applicable",COUNTIFS('Test Runs'!$B$5:$B$2004,A12,'Test Runs'!$C$5:$C$2004,"Retest",'Test Runs'!$D$5:$D$2004,"iOS",'Test Runs'!$I$5:$I$2004,T12)&gt;0),OR(U12="Not Applicable",COUNTIFS('Test Runs'!$B$5:$B$2004,A12,'Test Runs'!$C$5:$C$2004,"Retest",'Test Runs'!$D$5:$D$2004,"Android",'Test Runs'!$I$5:$I$2004,U12)&gt;0)),"Reconciled","Mismatch"))</x:f>
        <x:v>Pending</x:v>
      </x:c>
    </x:row>
    <x:row r="13" ht="120" customHeight="1">
      <x:c r="A13" s="58" t="str">
        <x:v>ACC-009</x:v>
      </x:c>
      <x:c r="B13" s="58" t="str">
        <x:v>Credential persistence and rotation</x:v>
      </x:c>
      <x:c r="C13" s="58" t="str">
        <x:v>App cold start; AppShell resume/focus/online</x:v>
      </x:c>
      <x:c r="D13" s="58" t="str">
        <x:v>As a signed-in user, I want credentials securely persisted, corrupted credentials discarded, and access tokens refreshed periodically.</x:v>
      </x:c>
      <x:c r="E13" s="58" t="str">
        <x:v>Credentials/account/last rotation timestamp are encrypted into local storage buff/credentials.enc; invalid, corrupt, or inconsistent payloads are deleted. Resume lifecycle marks a daily rotation attempt, replaces access token and cached account on success, clears access on rotation 401, and continues sync with the old token after non-auth rotation failure. Native bundling excludes the credential file and encryption key material.</x:v>
      </x:c>
      <x:c r="F13" s="58" t="str">
        <x:v>Both</x:v>
      </x:c>
      <x:c r="G13" s="58" t="str">
        <x:v>Signed-in credential file; clock advanced &gt;24h; corrupted encrypted file; mocked rotate success/401/503</x:v>
      </x:c>
      <x:c r="H13" s="58" t="str">
        <x:v>Relaunch and resume; advance time and foreground to rotate; corrupt credential file in test fixture and verify sign-in rather than crash; confirm 401 signs out.</x:v>
      </x:c>
      <x:c r="I13" s="58" t="str">
        <x:v>Repeat after Android force-stop; verify rotation on foreground/online and corrupt-store recovery.</x:v>
      </x:c>
      <x:c r="J13" s="58" t="str">
        <x:v>/Users/mason/Sites/Buff/tests/Feature/BuffAuthenticationTest.php:78,359,415; rotation behavior partially covered through sync tests</x:v>
      </x:c>
      <x:c r="K13" s="58" t="str">
        <x:v>/Users/mason/Sites/Buff/app/Services/BuffCredentialStore.php:12-184; /Users/mason/Sites/Buff/app/Services/BuffSyncService.php:34-59; /Users/mason/Sites/Buff/config/nativephp.php:98-126 cleanup</x:v>
      </x:c>
      <x:c r="L13" s="58" t="str">
        <x:v>Mapped</x:v>
      </x:c>
      <x:c r="M13" s="58" t="str">
        <x:v>Ready</x:v>
      </x:c>
      <x:c r="N13" s="58" t="str">
        <x:v>Not Run</x:v>
      </x:c>
      <x:c r="O13" s="58" t="str">
        <x:v>Blocked</x:v>
      </x:c>
      <x:c r="P13" s="58" t="str">
        <x:v>Android: /Users/mason/.codex/visualizations/2026/09/01/01a05def-1c0d-76d1-abc6-07c63a443582/emulator-runs/initial/android/ACC-081-cold-workout-link.png
/Users/mason/.codex/visualizations/2026/09/01/01a05def-1c0d-76d1-abc6-07c63a443582/emulator-runs/initial/android/HLT-049-today-health-connect-only.png
/Users/mason/.codex/visualizations/2026/09/01/01a05def-1c0d-76d1-abc6-07c63a443582/emulator-runs/initial/android/ACC-009-070-071-075-HLT-049-observations.json — After Buff was force-stopped, a cold VIEW of buff://add?mode=workout launched at exact /add?mode=workout while still signed in, with the user state intact.</x:v>
      </x:c>
      <x:c r="Q13" s="58" t="str"/>
      <x:c r="R13" s="58" t="str">
        <x:v>Not Needed</x:v>
      </x:c>
      <x:c r="S13" s="58" t="str"/>
      <x:c r="T13" s="58" t="str">
        <x:v>Not Run</x:v>
      </x:c>
      <x:c r="U13" s="58" t="str">
        <x:v>Not Run</x:v>
      </x:c>
      <x:c r="V13" s="58" t="str"/>
      <x:c r="W13" s="58" t="str">
        <x:f>IF(AND(OR(N13="Passed",N13="Failed",N13="Not Applicable"),OR(O13="Passed",O13="Failed",O13="Not Applicable"),OR(N13="Passed",N13="Failed",O13="Passed",O13="Failed"),OR(T13="Passed",T13="Not Applicable"),OR(U13="Passed",U13="Not Applicable"),OR(T13="Passed",U13="Passed"),Y13="Reconciled",Z13="Reconciled",IF(Q13&lt;&gt;"",R13="Fixed",TRUE)),"Verified",IF(OR(T13="Failed",U13="Failed"),"Retest Failed",IF(OR(N13="Failed",O13="Failed",Q13&lt;&gt;""),"Defect Found",IF(AND(OR(N13="Passed",N13="Not Applicable"),OR(O13="Passed",O13="Not Applicable"),OR(N13="Passed",O13="Passed")),"Initial Pass","Not Complete"))))</x:f>
        <x:v>Not Complete</x:v>
      </x:c>
      <x:c r="X13" s="58" t="str">
        <x:v>Risk: on a non-auth rotation failure the app deliberately keeps using the old token; with server default 48-hour Sanctum expiry this is recoverable but can fail later without proactive UI.</x:v>
      </x:c>
      <x:c r="Y13" s="58" t="str">
        <x:f>IF(OR(N13="Not Run",O13="Not Run"),"Pending",IF(AND(OR(N13="Not Applicable",COUNTIFS('Test Runs'!$B$5:$B$2004,A13,'Test Runs'!$C$5:$C$2004,"Initial",'Test Runs'!$D$5:$D$2004,"iOS",'Test Runs'!$I$5:$I$2004,N13)&gt;0),OR(O13="Not Applicable",COUNTIFS('Test Runs'!$B$5:$B$2004,A13,'Test Runs'!$C$5:$C$2004,"Initial",'Test Runs'!$D$5:$D$2004,"Android",'Test Runs'!$I$5:$I$2004,O13)&gt;0)),"Reconciled","Mismatch"))</x:f>
        <x:v>Pending</x:v>
      </x:c>
      <x:c r="Z13" s="58" t="str">
        <x:f>IF(OR(T13="Not Run",U13="Not Run"),"Pending",IF(AND(OR(T13="Not Applicable",COUNTIFS('Test Runs'!$B$5:$B$2004,A13,'Test Runs'!$C$5:$C$2004,"Retest",'Test Runs'!$D$5:$D$2004,"iOS",'Test Runs'!$I$5:$I$2004,T13)&gt;0),OR(U13="Not Applicable",COUNTIFS('Test Runs'!$B$5:$B$2004,A13,'Test Runs'!$C$5:$C$2004,"Retest",'Test Runs'!$D$5:$D$2004,"Android",'Test Runs'!$I$5:$I$2004,U13)&gt;0)),"Reconciled","Mismatch"))</x:f>
        <x:v>Pending</x:v>
      </x:c>
    </x:row>
    <x:row r="14" ht="120" customHeight="1">
      <x:c r="A14" s="58" t="str">
        <x:v>ACC-010</x:v>
      </x:c>
      <x:c r="B14" s="58" t="str">
        <x:v>Social login launch</x:v>
      </x:c>
      <x:c r="C14" s="58" t="str">
        <x:v>/account/login or /account/register → Continue with Google/Apple</x:v>
      </x:c>
      <x:c r="D14" s="58" t="str">
        <x:v>As a user, I want branded Google sign-in on both platforms and Apple sign-in only where supported.</x:v>
      </x:c>
      <x:c r="E14" s="58" t="str">
        <x:v>Google is always offered; Apple is rendered only when server-side System::isIos reports iOS. The app opens a secure NativePHP Browser.auth session with timezone/device context and falls back to ordinary navigation outside native. Registration also sends flow=register and the remembered preferred name.</x:v>
      </x:c>
      <x:c r="F14" s="58" t="str">
        <x:v>Google both; Apple iOS only</x:v>
      </x:c>
      <x:c r="G14" s="58" t="str">
        <x:v>Google test user; Apple Sandbox user; fresh and existing account; native auth-session support</x:v>
      </x:c>
      <x:c r="H14" s="58" t="str">
        <x:v>Confirm Google and Apple branded buttons; launch each, cancel once, then complete; verify registration name passes through.</x:v>
      </x:c>
      <x:c r="I14" s="58" t="str">
        <x:v>Confirm only Google appears; launch/cancel/complete Google; verify ordinary fallback only in non-native harness.</x:v>
      </x:c>
      <x:c r="J14" s="58" t="str">
        <x:v>/Users/mason/Sites/Buff/tests/Feature/BuffAuthenticationTest.php:113,704,730; /Users/mason/Sites/Buff/tests/socialLoginBranding.test.ts</x:v>
      </x:c>
      <x:c r="K14" s="58" t="str">
        <x:v>/Users/mason/Sites/Buff/app/Http/Controllers/AccountController.php:364-372; /Users/mason/Sites/Buff/resources/js/Pages/Account.vue:281-311; /Users/mason/Sites/Buff/resources/js/Components/SocialLoginButtons.vue; /Users/mason/Sites/Buff/tests/socialLoginBranding.test.ts:8-27</x:v>
      </x:c>
      <x:c r="L14" s="58" t="str">
        <x:v>Mapped</x:v>
      </x:c>
      <x:c r="M14" s="58" t="str">
        <x:v>Ready</x:v>
      </x:c>
      <x:c r="N14" s="58" t="str">
        <x:v>Not Run</x:v>
      </x:c>
      <x:c r="O14" s="58" t="str">
        <x:v>Blocked</x:v>
      </x:c>
      <x:c r="P14" s="58" t="str">
        <x:v>Android: /Users/mason/.codex/visualizations/2026/09/01/01a05def-1c0d-76d1-abc6-07c63a443582/emulator-runs/initial/android/ACC-010-google-auth-chrome-launch.png — Android registration offered Continue with Google and no Apple action. Tapping Google launched the secure native browser/Chrome surface, and Android Back returned to the exact registration account-method screen.</x:v>
      </x:c>
      <x:c r="Q14" s="58" t="str"/>
      <x:c r="R14" s="58" t="str">
        <x:v>Not Needed</x:v>
      </x:c>
      <x:c r="S14" s="58" t="str"/>
      <x:c r="T14" s="58" t="str">
        <x:v>Not Run</x:v>
      </x:c>
      <x:c r="U14" s="58" t="str">
        <x:v>Not Run</x:v>
      </x:c>
      <x:c r="V14" s="58" t="str"/>
      <x:c r="W14" s="58" t="str">
        <x:f>IF(AND(OR(N14="Passed",N14="Failed",N14="Not Applicable"),OR(O14="Passed",O14="Failed",O14="Not Applicable"),OR(N14="Passed",N14="Failed",O14="Passed",O14="Failed"),OR(T14="Passed",T14="Not Applicable"),OR(U14="Passed",U14="Not Applicable"),OR(T14="Passed",U14="Passed"),Y14="Reconciled",Z14="Reconciled",IF(Q14&lt;&gt;"",R14="Fixed",TRUE)),"Verified",IF(OR(T14="Failed",U14="Failed"),"Retest Failed",IF(OR(N14="Failed",O14="Failed",Q14&lt;&gt;""),"Defect Found",IF(AND(OR(N14="Passed",N14="Not Applicable"),OR(O14="Passed",O14="Not Applicable"),OR(N14="Passed",O14="Passed")),"Initial Pass","Not Complete"))))</x:f>
        <x:v>Not Complete</x:v>
      </x:c>
      <x:c r="X14" s="58" t="str">
        <x:v>Risk: platform availability is computed server-side from runtime detection; a detection regression would hide/show Apple incorrectly.</x:v>
      </x:c>
      <x:c r="Y14" s="58" t="str">
        <x:f>IF(OR(N14="Not Run",O14="Not Run"),"Pending",IF(AND(OR(N14="Not Applicable",COUNTIFS('Test Runs'!$B$5:$B$2004,A14,'Test Runs'!$C$5:$C$2004,"Initial",'Test Runs'!$D$5:$D$2004,"iOS",'Test Runs'!$I$5:$I$2004,N14)&gt;0),OR(O14="Not Applicable",COUNTIFS('Test Runs'!$B$5:$B$2004,A14,'Test Runs'!$C$5:$C$2004,"Initial",'Test Runs'!$D$5:$D$2004,"Android",'Test Runs'!$I$5:$I$2004,O14)&gt;0)),"Reconciled","Mismatch"))</x:f>
        <x:v>Pending</x:v>
      </x:c>
      <x:c r="Z14" s="58" t="str">
        <x:f>IF(OR(T14="Not Run",U14="Not Run"),"Pending",IF(AND(OR(T14="Not Applicable",COUNTIFS('Test Runs'!$B$5:$B$2004,A14,'Test Runs'!$C$5:$C$2004,"Retest",'Test Runs'!$D$5:$D$2004,"iOS",'Test Runs'!$I$5:$I$2004,T14)&gt;0),OR(U14="Not Applicable",COUNTIFS('Test Runs'!$B$5:$B$2004,A14,'Test Runs'!$C$5:$C$2004,"Retest",'Test Runs'!$D$5:$D$2004,"Android",'Test Runs'!$I$5:$I$2004,U14)&gt;0)),"Reconciled","Mismatch"))</x:f>
        <x:v>Pending</x:v>
      </x:c>
    </x:row>
    <x:row r="15" ht="120" customHeight="1">
      <x:c r="A15" s="58" t="str">
        <x:v>ACC-011</x:v>
      </x:c>
      <x:c r="B15" s="58" t="str">
        <x:v>Social identity and provider security</x:v>
      </x:c>
      <x:c r="C15" s="58" t="str">
        <x:v>Server /api/v1/auth/{google|apple}/redirect and callback</x:v>
      </x:c>
      <x:c r="D15" s="58" t="str">
        <x:v>As a social-login user, I want the provider response bound to my selected provider and verified identity.</x:v>
      </x:c>
      <x:c r="E15" s="58" t="str">
        <x:v>Server stores a random 64-character state for 10 minutes, binds provider/timezone/flow, uses Google OAuth code with verified email, or Apple form_post and validates issuer/audience/sub/email. A verified social email links to an existing password account; otherwise it creates the user/social link, marks email verified, and refreshes timezone.</x:v>
      </x:c>
      <x:c r="F15" s="58" t="str">
        <x:v>Google both; Apple iOS; server</x:v>
      </x:c>
      <x:c r="G15" s="58" t="str">
        <x:v>Existing password user with matching Google email; unverified Google response fixture; provider-mismatched/expired state; Apple invalid claims</x:v>
      </x:c>
      <x:c r="H15" s="58" t="str">
        <x:v>Complete Google and Apple sign-ins; test linking Google to password account; manipulate/expire state in integration fixture and confirm safe failure.</x:v>
      </x:c>
      <x:c r="I15" s="58" t="str">
        <x:v>Complete Google; test provider-state mismatch through mocked callback; Apple entry must be absent.</x:v>
      </x:c>
      <x:c r="J15" s="58" t="str">
        <x:v>/Users/mason/Sites/buff-server/tests/Feature/SocialAuthenticationTest.php:18,60,86,131,253,267,274,289</x:v>
      </x:c>
      <x:c r="K15" s="58" t="str">
        <x:v>/Users/mason/Sites/buff-server/app/Http/Controllers/Api/V1/SocialAuthenticationController.php:28-143,195-241; /Users/mason/Sites/buff-server/database/migrations/2026_08_20_112754_create_social_accounts_table.php</x:v>
      </x:c>
      <x:c r="L15" s="58" t="str">
        <x:v>Mapped</x:v>
      </x:c>
      <x:c r="M15" s="58" t="str">
        <x:v>Ready</x:v>
      </x:c>
      <x:c r="N15" s="58" t="str">
        <x:v>Not Run</x:v>
      </x:c>
      <x:c r="O15" s="58" t="str">
        <x:v>Blocked</x:v>
      </x:c>
      <x:c r="P15" s="58" t="str">
        <x:v>Android: /Users/mason/.codex/visualizations/2026/09/01/01a05def-1c0d-76d1-abc6-07c63a443582/emulator-runs/initial/android/ACC-010-google-auth-chrome-launch.png — The Android Google entry point launched a secure browser auth surface and returned safely when cancelled; Apple was correctly absent.</x:v>
      </x:c>
      <x:c r="Q15" s="58" t="str"/>
      <x:c r="R15" s="58" t="str">
        <x:v>Not Needed</x:v>
      </x:c>
      <x:c r="S15" s="58" t="str"/>
      <x:c r="T15" s="58" t="str">
        <x:v>Not Run</x:v>
      </x:c>
      <x:c r="U15" s="58" t="str">
        <x:v>Not Run</x:v>
      </x:c>
      <x:c r="V15" s="58" t="str"/>
      <x:c r="W15" s="58" t="str">
        <x:f>IF(AND(OR(N15="Passed",N15="Failed",N15="Not Applicable"),OR(O15="Passed",O15="Failed",O15="Not Applicable"),OR(N15="Passed",N15="Failed",O15="Passed",O15="Failed"),OR(T15="Passed",T15="Not Applicable"),OR(U15="Passed",U15="Not Applicable"),OR(T15="Passed",U15="Passed"),Y15="Reconciled",Z15="Reconciled",IF(Q15&lt;&gt;"",R15="Fixed",TRUE)),"Verified",IF(OR(T15="Failed",U15="Failed"),"Retest Failed",IF(OR(N15="Failed",O15="Failed",Q15&lt;&gt;""),"Defect Found",IF(AND(OR(N15="Passed",N15="Not Applicable"),OR(O15="Passed",O15="Not Applicable"),OR(N15="Passed",O15="Passed")),"Initial Pass","Not Complete"))))</x:f>
        <x:v>Not Complete</x:v>
      </x:c>
      <x:c r="X15" s="58" t="str">
        <x:v>None evident; one caveat is Apple display name falls back to relay email because name is not extracted from the one-time Apple user payload.</x:v>
      </x:c>
      <x:c r="Y15" s="58" t="str">
        <x:f>IF(OR(N15="Not Run",O15="Not Run"),"Pending",IF(AND(OR(N15="Not Applicable",COUNTIFS('Test Runs'!$B$5:$B$2004,A15,'Test Runs'!$C$5:$C$2004,"Initial",'Test Runs'!$D$5:$D$2004,"iOS",'Test Runs'!$I$5:$I$2004,N15)&gt;0),OR(O15="Not Applicable",COUNTIFS('Test Runs'!$B$5:$B$2004,A15,'Test Runs'!$C$5:$C$2004,"Initial",'Test Runs'!$D$5:$D$2004,"Android",'Test Runs'!$I$5:$I$2004,O15)&gt;0)),"Reconciled","Mismatch"))</x:f>
        <x:v>Pending</x:v>
      </x:c>
      <x:c r="Z15" s="58" t="str">
        <x:f>IF(OR(T15="Not Run",U15="Not Run"),"Pending",IF(AND(OR(T15="Not Applicable",COUNTIFS('Test Runs'!$B$5:$B$2004,A15,'Test Runs'!$C$5:$C$2004,"Retest",'Test Runs'!$D$5:$D$2004,"iOS",'Test Runs'!$I$5:$I$2004,T15)&gt;0),OR(U15="Not Applicable",COUNTIFS('Test Runs'!$B$5:$B$2004,A15,'Test Runs'!$C$5:$C$2004,"Retest",'Test Runs'!$D$5:$D$2004,"Android",'Test Runs'!$I$5:$I$2004,U15)&gt;0)),"Reconciled","Mismatch"))</x:f>
        <x:v>Pending</x:v>
      </x:c>
    </x:row>
    <x:row r="16" ht="120" customHeight="1">
      <x:c r="A16" s="58" t="str">
        <x:v>ACC-012</x:v>
      </x:c>
      <x:c r="B16" s="58" t="str">
        <x:v>Social callback redemption</x:v>
      </x:c>
      <x:c r="C16" s="58" t="str">
        <x:v>/account/social/callback?code=… or ?error=…</x:v>
      </x:c>
      <x:c r="D16" s="58" t="str">
        <x:v>As a social-login user, I want cancellation/error recovery and one-time conversion into device credentials.</x:v>
      </x:c>
      <x:c r="E16" s="58" t="str">
        <x:v>The provider callback consumes state once under a lock, redirects cancellation/expiry/sanitized failure to buff:// account callback, and creates a one-minute one-time redemption code on success. The app redeems it for access/3-month refresh credentials; successful new registration enters onboarding, returning users follow normal account redirect; missing/replayed codes fail generically on the correct login/register screen.</x:v>
      </x:c>
      <x:c r="F16" s="58" t="str">
        <x:v>Both + server</x:v>
      </x:c>
      <x:c r="G16" s="58" t="str">
        <x:v>Valid code; replayed/expired/missing code; canceled provider; registration and login flows</x:v>
      </x:c>
      <x:c r="H16" s="58" t="str">
        <x:v>Complete, cancel, replay, and delay social login &gt;1 minute; verify the correct screen and generic safe errors.</x:v>
      </x:c>
      <x:c r="I16" s="58" t="str">
        <x:v>Repeat Google cases on Android; verify deep-link resume from Custom Tab.</x:v>
      </x:c>
      <x:c r="J16" s="58" t="str">
        <x:v>/Users/mason/Sites/Buff/tests/Feature/BuffAuthenticationTest.php:704,730,754; /Users/mason/Sites/buff-server/tests/Feature/SocialAuthenticationTest.php:18,289,320,346</x:v>
      </x:c>
      <x:c r="K16" s="58" t="str">
        <x:v>/Users/mason/Sites/Buff/app/Http/Controllers/AccountController.php:141-168; /Users/mason/Sites/buff-server/app/Http/Controllers/Api/V1/SocialAuthenticationController.php:74-162,244-270</x:v>
      </x:c>
      <x:c r="L16" s="58" t="str">
        <x:v>Mapped</x:v>
      </x:c>
      <x:c r="M16" s="58" t="str">
        <x:v>Ready</x:v>
      </x:c>
      <x:c r="N16" s="58" t="str">
        <x:v>Not Run</x:v>
      </x:c>
      <x:c r="O16" s="58" t="str">
        <x:v>Failed</x:v>
      </x:c>
      <x:c r="P16" s="58" t="str">
        <x:v>Android: /Users/mason/.codex/visualizations/2026/09/01/01a05def-1c0d-76d1-abc6-07c63a443582/inventory/ACC-012-missing-code-generic-error.png
/Users/mason/.codex/visualizations/2026/09/01/01a05def-1c0d-76d1-abc6-07c63a443582/inventory/ACC-012-untrusted-error-disclosed.png — A callback with no code recovered to login with the fixed generic message. A callback carrying an arbitrary error query recovered to login but displayed that untrusted diagnostic verbatim.</x:v>
      </x:c>
      <x:c r="Q16" s="58" t="str">
        <x:v>DEF-078</x:v>
      </x:c>
      <x:c r="R16" s="58" t="str">
        <x:v>In Progress</x:v>
      </x:c>
      <x:c r="S16" s="58" t="str"/>
      <x:c r="T16" s="58" t="str">
        <x:v>Not Run</x:v>
      </x:c>
      <x:c r="U16" s="58" t="str">
        <x:v>Not Run</x:v>
      </x:c>
      <x:c r="V16" s="58" t="str"/>
      <x:c r="W16" s="58" t="str">
        <x:f>IF(AND(OR(N16="Passed",N16="Failed",N16="Not Applicable"),OR(O16="Passed",O16="Failed",O16="Not Applicable"),OR(N16="Passed",N16="Failed",O16="Passed",O16="Failed"),OR(T16="Passed",T16="Not Applicable"),OR(U16="Passed",U16="Not Applicable"),OR(T16="Passed",U16="Passed"),Y16="Reconciled",Z16="Reconciled",IF(Q16&lt;&gt;"",R16="Fixed",TRUE)),"Verified",IF(OR(T16="Failed",U16="Failed"),"Retest Failed",IF(OR(N16="Failed",O16="Failed",Q16&lt;&gt;""),"Defect Found",IF(AND(OR(N16="Passed",N16="Not Applicable"),OR(O16="Passed",O16="Not Applicable"),OR(N16="Passed",O16="Passed")),"Initial Pass","Not Complete"))))</x:f>
        <x:v>Defect Found</x:v>
      </x:c>
      <x:c r="X16" s="58" t="str">
        <x:v>None evident.</x:v>
      </x:c>
      <x:c r="Y16" s="58" t="str">
        <x:f>IF(OR(N16="Not Run",O16="Not Run"),"Pending",IF(AND(OR(N16="Not Applicable",COUNTIFS('Test Runs'!$B$5:$B$2004,A16,'Test Runs'!$C$5:$C$2004,"Initial",'Test Runs'!$D$5:$D$2004,"iOS",'Test Runs'!$I$5:$I$2004,N16)&gt;0),OR(O16="Not Applicable",COUNTIFS('Test Runs'!$B$5:$B$2004,A16,'Test Runs'!$C$5:$C$2004,"Initial",'Test Runs'!$D$5:$D$2004,"Android",'Test Runs'!$I$5:$I$2004,O16)&gt;0)),"Reconciled","Mismatch"))</x:f>
        <x:v>Pending</x:v>
      </x:c>
      <x:c r="Z16" s="58" t="str">
        <x:f>IF(OR(T16="Not Run",U16="Not Run"),"Pending",IF(AND(OR(T16="Not Applicable",COUNTIFS('Test Runs'!$B$5:$B$2004,A16,'Test Runs'!$C$5:$C$2004,"Retest",'Test Runs'!$D$5:$D$2004,"iOS",'Test Runs'!$I$5:$I$2004,T16)&gt;0),OR(U16="Not Applicable",COUNTIFS('Test Runs'!$B$5:$B$2004,A16,'Test Runs'!$C$5:$C$2004,"Retest",'Test Runs'!$D$5:$D$2004,"Android",'Test Runs'!$I$5:$I$2004,U16)&gt;0)),"Reconciled","Mismatch"))</x:f>
        <x:v>Pending</x:v>
      </x:c>
    </x:row>
    <x:row r="17" ht="120" customHeight="1">
      <x:c r="A17" s="58" t="str">
        <x:v>ACC-013</x:v>
      </x:c>
      <x:c r="B17" s="58" t="str">
        <x:v>Account switching</x:v>
      </x:c>
      <x:c r="C17" s="58" t="str">
        <x:v>/account/login → Use a different account or social button</x:v>
      </x:c>
      <x:c r="D17" s="58" t="str">
        <x:v>As a user signing into a different account, I want an explicit warning before this device’s current local data is removed.</x:v>
      </x:c>
      <x:c r="E17" s="58" t="str">
        <x:v>Password login compares normalized entered email with cached email; social sign-in prompts when a local SyncState exists. Confirming performs authentication; finishAuthentication wipes local user data only when existing SyncState.account_id differs, while the same account preserves data. The sheet disables concurrent actions and displays local switch errors.</x:v>
      </x:c>
      <x:c r="F17" s="58" t="str">
        <x:v>Both</x:v>
      </x:c>
      <x:c r="G17" s="58" t="str">
        <x:v>Device populated under account A; account B; same-account case; failed credentials/server offline</x:v>
      </x:c>
      <x:c r="H17" s="58" t="str">
        <x:v>Try A→A and verify no warning/data loss; try A→B, cancel then confirm, verify warning and local replacement; fail the switch and verify A data remains.</x:v>
      </x:c>
      <x:c r="I17" s="58" t="str">
        <x:v>Repeat with Google/account B on Android and physical Back to dismiss sheet.</x:v>
      </x:c>
      <x:c r="J17" s="58" t="str">
        <x:v>/Users/mason/Sites/Buff/tests/Feature/BuffAuthenticationTest.php:453,487</x:v>
      </x:c>
      <x:c r="K17" s="58" t="str">
        <x:v>/Users/mason/Sites/Buff/resources/js/Pages/Account.vue:154-238,303-311,541-551; /Users/mason/Sites/Buff/app/Http/Controllers/AccountController.php:299-324; /Users/mason/Sites/Buff/app/Services/LocalAccountData.php:27-46</x:v>
      </x:c>
      <x:c r="L17" s="58" t="str">
        <x:v>Mapped</x:v>
      </x:c>
      <x:c r="M17" s="58" t="str">
        <x:v>Ready</x:v>
      </x:c>
      <x:c r="N17" s="58" t="str">
        <x:v>Not Run</x:v>
      </x:c>
      <x:c r="O17" s="58" t="str">
        <x:v>Blocked</x:v>
      </x:c>
      <x:c r="P17" s="58" t="str">
        <x:v>Android: /Users/mason/.codex/visualizations/2026/09/01/01a05def-1c0d-76d1-abc6-07c63a443582/inventory/ACC-008-saved-account-card-observation.json
/Users/mason/.codex/visualizations/2026/09/01/01a05def-1c0d-76d1-abc6-07c63a443582/inventory/ACC-008-refresh-rotation-observation.json — The cached account card exposed Use a different account, while same-account refresh resume retained the synced plan and account identity.</x:v>
      </x:c>
      <x:c r="Q17" s="58" t="str"/>
      <x:c r="R17" s="58" t="str">
        <x:v>Not Needed</x:v>
      </x:c>
      <x:c r="S17" s="58" t="str"/>
      <x:c r="T17" s="58" t="str">
        <x:v>Not Run</x:v>
      </x:c>
      <x:c r="U17" s="58" t="str">
        <x:v>Not Run</x:v>
      </x:c>
      <x:c r="V17" s="58" t="str"/>
      <x:c r="W17" s="58" t="str">
        <x:f>IF(AND(OR(N17="Passed",N17="Failed",N17="Not Applicable"),OR(O17="Passed",O17="Failed",O17="Not Applicable"),OR(N17="Passed",N17="Failed",O17="Passed",O17="Failed"),OR(T17="Passed",T17="Not Applicable"),OR(U17="Passed",U17="Not Applicable"),OR(T17="Passed",U17="Passed"),Y17="Reconciled",Z17="Reconciled",IF(Q17&lt;&gt;"",R17="Fixed",TRUE)),"Verified",IF(OR(T17="Failed",U17="Failed"),"Retest Failed",IF(OR(N17="Failed",O17="Failed",Q17&lt;&gt;""),"Defect Found",IF(AND(OR(N17="Passed",N17="Not Applicable"),OR(O17="Passed",O17="Not Applicable"),OR(N17="Passed",O17="Passed")),"Initial Pass","Not Complete"))))</x:f>
        <x:v>Not Complete</x:v>
      </x:c>
      <x:c r="X17" s="58" t="str">
        <x:v>Risk: social warning checks has_local_account rather than every possible cached-credential/device-data signal; an unusual cached identity without SyncState could bypass the warning.</x:v>
      </x:c>
      <x:c r="Y17" s="58" t="str">
        <x:f>IF(OR(N17="Not Run",O17="Not Run"),"Pending",IF(AND(OR(N17="Not Applicable",COUNTIFS('Test Runs'!$B$5:$B$2004,A17,'Test Runs'!$C$5:$C$2004,"Initial",'Test Runs'!$D$5:$D$2004,"iOS",'Test Runs'!$I$5:$I$2004,N17)&gt;0),OR(O17="Not Applicable",COUNTIFS('Test Runs'!$B$5:$B$2004,A17,'Test Runs'!$C$5:$C$2004,"Initial",'Test Runs'!$D$5:$D$2004,"Android",'Test Runs'!$I$5:$I$2004,O17)&gt;0)),"Reconciled","Mismatch"))</x:f>
        <x:v>Pending</x:v>
      </x:c>
      <x:c r="Z17" s="58" t="str">
        <x:f>IF(OR(T17="Not Run",U17="Not Run"),"Pending",IF(AND(OR(T17="Not Applicable",COUNTIFS('Test Runs'!$B$5:$B$2004,A17,'Test Runs'!$C$5:$C$2004,"Retest",'Test Runs'!$D$5:$D$2004,"iOS",'Test Runs'!$I$5:$I$2004,T17)&gt;0),OR(U17="Not Applicable",COUNTIFS('Test Runs'!$B$5:$B$2004,A17,'Test Runs'!$C$5:$C$2004,"Retest",'Test Runs'!$D$5:$D$2004,"Android",'Test Runs'!$I$5:$I$2004,U17)&gt;0)),"Reconciled","Mismatch"))</x:f>
        <x:v>Pending</x:v>
      </x:c>
    </x:row>
    <x:row r="18" ht="120" customHeight="1">
      <x:c r="A18" s="58" t="str">
        <x:v>ACC-014</x:v>
      </x:c>
      <x:c r="B18" s="58" t="str">
        <x:v>Email verification status</x:v>
      </x:c>
      <x:c r="C18" s="58" t="str">
        <x:v>/account/verify</x:v>
      </x:c>
      <x:c r="D18" s="58" t="str">
        <x:v>As a newly registered user, I want Buff to tell me where verification was sent and automatically detect completion.</x:v>
      </x:c>
      <x:c r="E18" s="58" t="str">
        <x:v>The verify page requires cached token/account and redirects already-verified users home. It shows email, polls GET /account/verification-status immediately and every 5 seconds only while visible, retries silently on error, updates encrypted account, queues existing records when verified, and navigates home. Continue to Buff is allowed before verification because core app data is not verification-gated.</x:v>
      </x:c>
      <x:c r="F18" s="58" t="str">
        <x:v>Both + server</x:v>
      </x:c>
      <x:c r="G18" s="58" t="str">
        <x:v>New unverified account; verification email; background/foreground; offline interval</x:v>
      </x:c>
      <x:c r="H18" s="58" t="str">
        <x:v>Keep screen open, verify from email, return/foreground and confirm automatic home navigation; test background polling pause and offline recovery; test Continue before verifying.</x:v>
      </x:c>
      <x:c r="I18" s="58" t="str">
        <x:v>Repeat on Android including app-switch back from mail client.</x:v>
      </x:c>
      <x:c r="J18" s="58" t="str">
        <x:v>/Users/mason/Sites/Buff/tests/Feature/BuffAuthenticationTest.php:168,424; /Users/mason/Sites/buff-server/tests/Feature/AuthenticationTest.php:12,35</x:v>
      </x:c>
      <x:c r="K18" s="58" t="str">
        <x:v>/Users/mason/Sites/Buff/app/Http/Controllers/AccountController.php:63-76,203-218; /Users/mason/Sites/Buff/resources/js/Pages/Account.vue:104-152,525-537</x:v>
      </x:c>
      <x:c r="L18" s="58" t="str">
        <x:v>Mapped</x:v>
      </x:c>
      <x:c r="M18" s="58" t="str">
        <x:v>Ready</x:v>
      </x:c>
      <x:c r="N18" s="58" t="str">
        <x:v>Not Run</x:v>
      </x:c>
      <x:c r="O18" s="58" t="str">
        <x:v>Passed</x:v>
      </x:c>
      <x:c r="P18" s="58" t="str">
        <x:v>Android: /Users/mason/.codex/visualizations/2026/09/01/01a05def-1c0d-76d1-abc6-07c63a443582/emulator-runs/initial/android-guest/dom-observations-batch-015.json — The unverified account rendered Check your email, polled verification status immediately and every five seconds while visible, and Continue to Buff returned Home without requiring verification.</x:v>
      </x:c>
      <x:c r="Q18" s="58" t="str"/>
      <x:c r="R18" s="58" t="str">
        <x:v>Not Needed</x:v>
      </x:c>
      <x:c r="S18" s="58" t="str"/>
      <x:c r="T18" s="58" t="str">
        <x:v>Not Run</x:v>
      </x:c>
      <x:c r="U18" s="58" t="str">
        <x:v>Not Run</x:v>
      </x:c>
      <x:c r="V18" s="58" t="str"/>
      <x:c r="W18" s="58" t="str">
        <x:f>IF(AND(OR(N18="Passed",N18="Failed",N18="Not Applicable"),OR(O18="Passed",O18="Failed",O18="Not Applicable"),OR(N18="Passed",N18="Failed",O18="Passed",O18="Failed"),OR(T18="Passed",T18="Not Applicable"),OR(U18="Passed",U18="Not Applicable"),OR(T18="Passed",U18="Passed"),Y18="Reconciled",Z18="Reconciled",IF(Q18&lt;&gt;"",R18="Fixed",TRUE)),"Verified",IF(OR(T18="Failed",U18="Failed"),"Retest Failed",IF(OR(N18="Failed",O18="Failed",Q18&lt;&gt;""),"Defect Found",IF(AND(OR(N18="Passed",N18="Not Applicable"),OR(O18="Passed",O18="Not Applicable"),OR(N18="Passed",O18="Passed")),"Initial Pass","Not Complete"))))</x:f>
        <x:v>Not Complete</x:v>
      </x:c>
      <x:c r="X18" s="58" t="str">
        <x:v>Risk: polling failures are silent; a user offline on this screen receives no explanation beyond the separate offline banner.</x:v>
      </x:c>
      <x:c r="Y18" s="58" t="str">
        <x:f>IF(OR(N18="Not Run",O18="Not Run"),"Pending",IF(AND(OR(N18="Not Applicable",COUNTIFS('Test Runs'!$B$5:$B$2004,A18,'Test Runs'!$C$5:$C$2004,"Initial",'Test Runs'!$D$5:$D$2004,"iOS",'Test Runs'!$I$5:$I$2004,N18)&gt;0),OR(O18="Not Applicable",COUNTIFS('Test Runs'!$B$5:$B$2004,A18,'Test Runs'!$C$5:$C$2004,"Initial",'Test Runs'!$D$5:$D$2004,"Android",'Test Runs'!$I$5:$I$2004,O18)&gt;0)),"Reconciled","Mismatch"))</x:f>
        <x:v>Pending</x:v>
      </x:c>
      <x:c r="Z18" s="58" t="str">
        <x:f>IF(OR(T18="Not Run",U18="Not Run"),"Pending",IF(AND(OR(T18="Not Applicable",COUNTIFS('Test Runs'!$B$5:$B$2004,A18,'Test Runs'!$C$5:$C$2004,"Retest",'Test Runs'!$D$5:$D$2004,"iOS",'Test Runs'!$I$5:$I$2004,T18)&gt;0),OR(U18="Not Applicable",COUNTIFS('Test Runs'!$B$5:$B$2004,A18,'Test Runs'!$C$5:$C$2004,"Retest",'Test Runs'!$D$5:$D$2004,"Android",'Test Runs'!$I$5:$I$2004,U18)&gt;0)),"Reconciled","Mismatch"))</x:f>
        <x:v>Pending</x:v>
      </x:c>
    </x:row>
    <x:row r="19" ht="120" customHeight="1">
      <x:c r="A19" s="58" t="str">
        <x:v>ACC-015</x:v>
      </x:c>
      <x:c r="B19" s="58" t="str">
        <x:v>Email verification link and resend</x:v>
      </x:c>
      <x:c r="C19" s="58" t="str">
        <x:v>Verification email link; /account/verification/resend</x:v>
      </x:c>
      <x:c r="D19" s="58" t="str">
        <x:v>As an unverified user, I want a safe expiring link and a resend action that does not disclose unnecessary state.</x:v>
      </x:c>
      <x:c r="E19" s="58" t="str">
        <x:v>Server queues verification mail; the signed hash link marks email verified idempotently and returns a simple browser confirmation. Resend is authenticated, rate limited 6/minute, sends only when unverified, and always returns a generic message. The app shows the server/generic success flash or inline mapped error.</x:v>
      </x:c>
      <x:c r="F19" s="58" t="str">
        <x:v>Both + server</x:v>
      </x:c>
      <x:c r="G19" s="58" t="str">
        <x:v>Unverified and verified accounts; valid/tampered hash; &gt;6 resend attempts</x:v>
      </x:c>
      <x:c r="H19" s="58" t="str">
        <x:v>Open valid and tampered links; resend before/after verification; exceed limit and inspect safe feedback.</x:v>
      </x:c>
      <x:c r="I19" s="58" t="str">
        <x:v>Same Android steps via Gmail/browser and return to app.</x:v>
      </x:c>
      <x:c r="J19" s="58" t="str">
        <x:v>/Users/mason/Sites/buff-server/tests/Feature/AuthenticationTest.php:35; /Users/mason/Sites/Buff/tests/Feature/BuffAuthenticationTest.php:424</x:v>
      </x:c>
      <x:c r="K19" s="58" t="str">
        <x:v>/Users/mason/Sites/Buff/app/Http/Controllers/AccountController.php:220-226; /Users/mason/Sites/buff-server/app/Http/Controllers/Api/V1/EmailVerificationController.php:14-33; /Users/mason/Sites/buff-server/routes/api.php:45</x:v>
      </x:c>
      <x:c r="L19" s="58" t="str">
        <x:v>Mapped</x:v>
      </x:c>
      <x:c r="M19" s="58" t="str">
        <x:v>Ready</x:v>
      </x:c>
      <x:c r="N19" s="58" t="str">
        <x:v>Not Run</x:v>
      </x:c>
      <x:c r="O19" s="58" t="str">
        <x:v>Blocked</x:v>
      </x:c>
      <x:c r="P19" s="58" t="str">
        <x:v>Android: /Users/mason/.codex/visualizations/2026/09/01/01a05def-1c0d-76d1-abc6-07c63a443582/emulator-runs/initial/android-guest/ACC-015-verification-resend.png — Resend returned the generic status 'If verification is required, a new link has been sent.' End-to-end signature, expiry, replay, and cross-account verification require inbox access that is unavailable for the reserved-domain QA address.</x:v>
      </x:c>
      <x:c r="Q19" s="58" t="str"/>
      <x:c r="R19" s="58" t="str">
        <x:v>Not Needed</x:v>
      </x:c>
      <x:c r="S19" s="58" t="str"/>
      <x:c r="T19" s="58" t="str">
        <x:v>Not Run</x:v>
      </x:c>
      <x:c r="U19" s="58" t="str">
        <x:v>Not Run</x:v>
      </x:c>
      <x:c r="V19" s="58" t="str"/>
      <x:c r="W19" s="58" t="str">
        <x:f>IF(AND(OR(N19="Passed",N19="Failed",N19="Not Applicable"),OR(O19="Passed",O19="Failed",O19="Not Applicable"),OR(N19="Passed",N19="Failed",O19="Passed",O19="Failed"),OR(T19="Passed",T19="Not Applicable"),OR(U19="Passed",U19="Not Applicable"),OR(T19="Passed",U19="Passed"),Y19="Reconciled",Z19="Reconciled",IF(Q19&lt;&gt;"",R19="Fixed",TRUE)),"Verified",IF(OR(T19="Failed",U19="Failed"),"Retest Failed",IF(OR(N19="Failed",O19="Failed",Q19&lt;&gt;""),"Defect Found",IF(AND(OR(N19="Passed",N19="Not Applicable"),OR(O19="Passed",O19="Not Applicable"),OR(N19="Passed",O19="Passed")),"Initial Pass","Not Complete"))))</x:f>
        <x:v>Not Complete</x:v>
      </x:c>
      <x:c r="X19" s="58" t="str">
        <x:v>None evident.</x:v>
      </x:c>
      <x:c r="Y19" s="58" t="str">
        <x:f>IF(OR(N19="Not Run",O19="Not Run"),"Pending",IF(AND(OR(N19="Not Applicable",COUNTIFS('Test Runs'!$B$5:$B$2004,A19,'Test Runs'!$C$5:$C$2004,"Initial",'Test Runs'!$D$5:$D$2004,"iOS",'Test Runs'!$I$5:$I$2004,N19)&gt;0),OR(O19="Not Applicable",COUNTIFS('Test Runs'!$B$5:$B$2004,A19,'Test Runs'!$C$5:$C$2004,"Initial",'Test Runs'!$D$5:$D$2004,"Android",'Test Runs'!$I$5:$I$2004,O19)&gt;0)),"Reconciled","Mismatch"))</x:f>
        <x:v>Pending</x:v>
      </x:c>
      <x:c r="Z19" s="58" t="str">
        <x:f>IF(OR(T19="Not Run",U19="Not Run"),"Pending",IF(AND(OR(T19="Not Applicable",COUNTIFS('Test Runs'!$B$5:$B$2004,A19,'Test Runs'!$C$5:$C$2004,"Retest",'Test Runs'!$D$5:$D$2004,"iOS",'Test Runs'!$I$5:$I$2004,T19)&gt;0),OR(U19="Not Applicable",COUNTIFS('Test Runs'!$B$5:$B$2004,A19,'Test Runs'!$C$5:$C$2004,"Retest",'Test Runs'!$D$5:$D$2004,"Android",'Test Runs'!$I$5:$I$2004,U19)&gt;0)),"Reconciled","Mismatch"))</x:f>
        <x:v>Pending</x:v>
      </x:c>
    </x:row>
    <x:row r="20" ht="120" customHeight="1">
      <x:c r="A20" s="58" t="str">
        <x:v>ACC-016</x:v>
      </x:c>
      <x:c r="B20" s="58" t="str">
        <x:v>Forgot password</x:v>
      </x:c>
      <x:c r="C20" s="58" t="str">
        <x:v>/account/forgot-password?email=…</x:v>
      </x:c>
      <x:c r="D20" s="58" t="str">
        <x:v>As a user who cannot sign in, I want to request a reset without exposing whether an account exists.</x:v>
      </x:c>
      <x:c r="E20" s="58" t="str">
        <x:v>Forgot screen can prefill an email query. Client/server validate email; server calls Password broker but always returns If that account exists…; queued reset email uses buff://reset-password with token and email. Broker expiry is 60 minutes and send throttle 60 seconds; account service rate limits also apply.</x:v>
      </x:c>
      <x:c r="F20" s="58" t="str">
        <x:v>Both + server</x:v>
      </x:c>
      <x:c r="G20" s="58" t="str">
        <x:v>Existing/nonexistent email; malformed email; mail inbox; repeated request within 60 sec</x:v>
      </x:c>
      <x:c r="H20" s="58" t="str">
        <x:v>Request reset for existing and nonexistent addresses and compare identical message; open received deep link; test invalid email and repeated request.</x:v>
      </x:c>
      <x:c r="I20" s="58" t="str">
        <x:v>Repeat from Android login and verify deep link opens reset screen.</x:v>
      </x:c>
      <x:c r="J20" s="58" t="str">
        <x:v>/Users/mason/Sites/Buff/tests/Feature/BuffAuthenticationTest.php:104; password broker behavior in /Users/mason/Sites/buff-server/tests/Feature/AuthenticationTest.php:116</x:v>
      </x:c>
      <x:c r="K20" s="58" t="str">
        <x:v>/Users/mason/Sites/Buff/app/Http/Controllers/AccountController.php:48-53,170-177; /Users/mason/Sites/Buff/resources/js/Pages/Account.vue:492-503; /Users/mason/Sites/buff-server/app/Http/Controllers/Api/V1/PasswordController.php:18-23; /Users/mason/Sites/buff-server/app/Providers/AppServiceProvider.php:31-36; /Users/mason/Sites/buff-server/config/auth.php:105-110</x:v>
      </x:c>
      <x:c r="L20" s="58" t="str">
        <x:v>Mapped</x:v>
      </x:c>
      <x:c r="M20" s="58" t="str">
        <x:v>Ready</x:v>
      </x:c>
      <x:c r="N20" s="58" t="str">
        <x:v>Not Run</x:v>
      </x:c>
      <x:c r="O20" s="58" t="str">
        <x:v>Passed</x:v>
      </x:c>
      <x:c r="P20" s="58" t="str">
        <x:v>Android: /Users/mason/.codex/visualizations/2026/09/01/01a05def-1c0d-76d1-abc6-07c63a443582/emulator-runs/initial/android-guest/ACC-016-password-reset-generic-response.png
/Users/mason/.codex/visualizations/2026/09/01/01a05def-1c0d-76d1-abc6-07c63a443582/emulator-runs/initial/android-guest/dom-observations-batch-015.json — The form prefilled the QA address, browser-blocked malformed email without a request, and returned the identical non-enumerating success copy for existing and unknown reserved-domain addresses.</x:v>
      </x:c>
      <x:c r="Q20" s="58" t="str"/>
      <x:c r="R20" s="58" t="str">
        <x:v>Not Needed</x:v>
      </x:c>
      <x:c r="S20" s="58" t="str"/>
      <x:c r="T20" s="58" t="str">
        <x:v>Blocked</x:v>
      </x:c>
      <x:c r="U20" s="58" t="str">
        <x:v>Not Run</x:v>
      </x:c>
      <x:c r="V20" s="58" t="str">
        <x:v>iOS: /Users/mason/.codex/visualizations/2026/09/01/01a05def-1c0d-76d1-abc6-07c63a443582/emulator-runs/retest/ios/ACC-016-malformed-email-blocked.png — Forgot password opened Reset password with the neutral account-exists copy. Submitting malformed email was blocked by iOS HTML validation with Enter an email address. Back to sign in returned safely without sending a reset message.</x:v>
      </x:c>
      <x:c r="W20" s="58" t="str">
        <x:f>IF(AND(OR(N20="Passed",N20="Failed",N20="Not Applicable"),OR(O20="Passed",O20="Failed",O20="Not Applicable"),OR(N20="Passed",N20="Failed",O20="Passed",O20="Failed"),OR(T20="Passed",T20="Not Applicable"),OR(U20="Passed",U20="Not Applicable"),OR(T20="Passed",U20="Passed"),Y20="Reconciled",Z20="Reconciled",IF(Q20&lt;&gt;"",R20="Fixed",TRUE)),"Verified",IF(OR(T20="Failed",U20="Failed"),"Retest Failed",IF(OR(N20="Failed",O20="Failed",Q20&lt;&gt;""),"Defect Found",IF(AND(OR(N20="Passed",N20="Not Applicable"),OR(O20="Passed",O20="Not Applicable"),OR(N20="Passed",O20="Passed")),"Initial Pass","Not Complete"))))</x:f>
        <x:v>Not Complete</x:v>
      </x:c>
      <x:c r="X20" s="58" t="str">
        <x:v>None evident.</x:v>
      </x:c>
      <x:c r="Y20" s="58" t="str">
        <x:f>IF(OR(N20="Not Run",O20="Not Run"),"Pending",IF(AND(OR(N20="Not Applicable",COUNTIFS('Test Runs'!$B$5:$B$2004,A20,'Test Runs'!$C$5:$C$2004,"Initial",'Test Runs'!$D$5:$D$2004,"iOS",'Test Runs'!$I$5:$I$2004,N20)&gt;0),OR(O20="Not Applicable",COUNTIFS('Test Runs'!$B$5:$B$2004,A20,'Test Runs'!$C$5:$C$2004,"Initial",'Test Runs'!$D$5:$D$2004,"Android",'Test Runs'!$I$5:$I$2004,O20)&gt;0)),"Reconciled","Mismatch"))</x:f>
        <x:v>Pending</x:v>
      </x:c>
      <x:c r="Z20" s="58" t="str">
        <x:f>IF(OR(T20="Not Run",U20="Not Run"),"Pending",IF(AND(OR(T20="Not Applicable",COUNTIFS('Test Runs'!$B$5:$B$2004,A20,'Test Runs'!$C$5:$C$2004,"Retest",'Test Runs'!$D$5:$D$2004,"iOS",'Test Runs'!$I$5:$I$2004,T20)&gt;0),OR(U20="Not Applicable",COUNTIFS('Test Runs'!$B$5:$B$2004,A20,'Test Runs'!$C$5:$C$2004,"Retest",'Test Runs'!$D$5:$D$2004,"Android",'Test Runs'!$I$5:$I$2004,U20)&gt;0)),"Reconciled","Mismatch"))</x:f>
        <x:v>Pending</x:v>
      </x:c>
    </x:row>
    <x:row r="21" ht="120" customHeight="1">
      <x:c r="A21" s="58" t="str">
        <x:v>ACC-017</x:v>
      </x:c>
      <x:c r="B21" s="58" t="str">
        <x:v>Password reset</x:v>
      </x:c>
      <x:c r="C21" s="58" t="str">
        <x:v>buff://reset-password?token=…&amp;email=… → POST /reset-password</x:v>
      </x:c>
      <x:c r="D21" s="58" t="str">
        <x:v>As a user with a valid reset link, I want to set a new password and invalidate old device sessions.</x:v>
      </x:c>
      <x:c r="E21" s="58" t="str">
        <x:v>Reset page preloads token/email; app/server require valid token, normalized email, minimum-8 confirmed password. On success server changes password, rotates remember token, deletes every Sanctum device token, and app clears its access/refresh credentials only if cached email matches the reset account, then returns to login. A reset for another account must not erase this device’s current credentials.</x:v>
      </x:c>
      <x:c r="F21" s="58" t="str">
        <x:v>Both + server</x:v>
      </x:c>
      <x:c r="G21" s="58" t="str">
        <x:v>Valid, expired, used, and tampered token; matching/nonmatching cached account; 7/8-char/mismatched passwords</x:v>
      </x:c>
      <x:c r="H21" s="58" t="str">
        <x:v>Open link, test validation, reset and confirm every old device must sign in; while account A cached, reset account B and verify A credentials remain.</x:v>
      </x:c>
      <x:c r="I21" s="58" t="str">
        <x:v>Repeat Android deep-link and cross-device invalidation.</x:v>
      </x:c>
      <x:c r="J21" s="58" t="str">
        <x:v>/Users/mason/Sites/Buff/tests/Feature/BuffAuthenticationTest.php:126; /Users/mason/Sites/buff-server/tests/Feature/AuthenticationTest.php:116</x:v>
      </x:c>
      <x:c r="K21" s="58" t="str">
        <x:v>/Users/mason/Sites/Buff/app/Http/Controllers/AccountController.php:55-60,179-201; /Users/mason/Sites/Buff/resources/js/Pages/Account.vue:505-523; /Users/mason/Sites/buff-server/app/Http/Controllers/Api/V1/PasswordController.php:25-44</x:v>
      </x:c>
      <x:c r="L21" s="58" t="str">
        <x:v>Mapped</x:v>
      </x:c>
      <x:c r="M21" s="58" t="str">
        <x:v>Ready</x:v>
      </x:c>
      <x:c r="N21" s="58" t="str">
        <x:v>Not Run</x:v>
      </x:c>
      <x:c r="O21" s="58" t="str">
        <x:v>Blocked</x:v>
      </x:c>
      <x:c r="P21" s="58" t="str">
        <x:v>Android: /Users/mason/.codex/visualizations/2026/09/01/01a05def-1c0d-76d1-abc6-07c63a443582/emulator-runs/initial/android-guest/ACC-017-invalid-reset-token.png
/Users/mason/.codex/visualizations/2026/09/01/01a05def-1c0d-76d1-abc6-07c63a443582/emulator-runs/initial/android-guest/dom-observations-batch-015.json — Seven-character, confirmation-mismatch, and invalid-token cases produced specific inline errors without changing credentials. A valid token, successful reset, and cross-device session invalidation require inbox access.</x:v>
      </x:c>
      <x:c r="Q21" s="58" t="str"/>
      <x:c r="R21" s="58" t="str">
        <x:v>Not Needed</x:v>
      </x:c>
      <x:c r="S21" s="58" t="str"/>
      <x:c r="T21" s="58" t="str">
        <x:v>Not Run</x:v>
      </x:c>
      <x:c r="U21" s="58" t="str">
        <x:v>Not Run</x:v>
      </x:c>
      <x:c r="V21" s="58" t="str"/>
      <x:c r="W21" s="58" t="str">
        <x:f>IF(AND(OR(N21="Passed",N21="Failed",N21="Not Applicable"),OR(O21="Passed",O21="Failed",O21="Not Applicable"),OR(N21="Passed",N21="Failed",O21="Passed",O21="Failed"),OR(T21="Passed",T21="Not Applicable"),OR(U21="Passed",U21="Not Applicable"),OR(T21="Passed",U21="Passed"),Y21="Reconciled",Z21="Reconciled",IF(Q21&lt;&gt;"",R21="Fixed",TRUE)),"Verified",IF(OR(T21="Failed",U21="Failed"),"Retest Failed",IF(OR(N21="Failed",O21="Failed",Q21&lt;&gt;""),"Defect Found",IF(AND(OR(N21="Passed",N21="Not Applicable"),OR(O21="Passed",O21="Not Applicable"),OR(N21="Passed",O21="Passed")),"Initial Pass","Not Complete"))))</x:f>
        <x:v>Not Complete</x:v>
      </x:c>
      <x:c r="X21" s="58" t="str">
        <x:v>None evident.</x:v>
      </x:c>
      <x:c r="Y21" s="58" t="str">
        <x:f>IF(OR(N21="Not Run",O21="Not Run"),"Pending",IF(AND(OR(N21="Not Applicable",COUNTIFS('Test Runs'!$B$5:$B$2004,A21,'Test Runs'!$C$5:$C$2004,"Initial",'Test Runs'!$D$5:$D$2004,"iOS",'Test Runs'!$I$5:$I$2004,N21)&gt;0),OR(O21="Not Applicable",COUNTIFS('Test Runs'!$B$5:$B$2004,A21,'Test Runs'!$C$5:$C$2004,"Initial",'Test Runs'!$D$5:$D$2004,"Android",'Test Runs'!$I$5:$I$2004,O21)&gt;0)),"Reconciled","Mismatch"))</x:f>
        <x:v>Pending</x:v>
      </x:c>
      <x:c r="Z21" s="58" t="str">
        <x:f>IF(OR(T21="Not Run",U21="Not Run"),"Pending",IF(AND(OR(T21="Not Applicable",COUNTIFS('Test Runs'!$B$5:$B$2004,A21,'Test Runs'!$C$5:$C$2004,"Retest",'Test Runs'!$D$5:$D$2004,"iOS",'Test Runs'!$I$5:$I$2004,T21)&gt;0),OR(U21="Not Applicable",COUNTIFS('Test Runs'!$B$5:$B$2004,A21,'Test Runs'!$C$5:$C$2004,"Retest",'Test Runs'!$D$5:$D$2004,"Android",'Test Runs'!$I$5:$I$2004,U21)&gt;0)),"Reconciled","Mismatch"))</x:f>
        <x:v>Pending</x:v>
      </x:c>
    </x:row>
    <x:row r="22" ht="120" customHeight="1">
      <x:c r="A22" s="58" t="str">
        <x:v>ACC-018</x:v>
      </x:c>
      <x:c r="B22" s="58" t="str">
        <x:v>Password visibility</x:v>
      </x:c>
      <x:c r="C22" s="58" t="str">
        <x:v>Any password field</x:v>
      </x:c>
      <x:c r="D22" s="58" t="str">
        <x:v>As a user entering any password, I want to reveal/hide it without submitting the form.</x:v>
      </x:c>
      <x:c r="E22" s="58" t="str">
        <x:v>Every account, reset, change, and delete password field uses PasswordInput. The 48px trailing button toggles text/password, has Show/Hide password labels, respects disabled state, and is type=button.</x:v>
      </x:c>
      <x:c r="F22" s="58" t="str">
        <x:v>Both</x:v>
      </x:c>
      <x:c r="G22" s="58" t="str">
        <x:v>Any password form; VoiceOver/TalkBack enabled</x:v>
      </x:c>
      <x:c r="H22" s="58" t="str">
        <x:v>Enter text, toggle twice, confirm value/focus remain and no submit; verify accessible label announcement.</x:v>
      </x:c>
      <x:c r="I22" s="58" t="str">
        <x:v>Same with TalkBack and Android password manager.</x:v>
      </x:c>
      <x:c r="J22" s="58" t="str">
        <x:v>/Users/mason/Sites/Buff/tests/passwordInput.test.ts:12-20</x:v>
      </x:c>
      <x:c r="K22" s="58" t="str">
        <x:v>/Users/mason/Sites/Buff/resources/js/Components/PasswordInput.vue:8-42; usages in Account.vue, Settings.vue, Settings/Password.vue</x:v>
      </x:c>
      <x:c r="L22" s="58" t="str">
        <x:v>Mapped</x:v>
      </x:c>
      <x:c r="M22" s="58" t="str">
        <x:v>Ready</x:v>
      </x:c>
      <x:c r="N22" s="58" t="str">
        <x:v>Not Run</x:v>
      </x:c>
      <x:c r="O22" s="58" t="str">
        <x:v>Passed</x:v>
      </x:c>
      <x:c r="P22" s="58" t="str">
        <x:v>Android: /Users/mason/.codex/visualizations/2026/09/01/01a05def-1c0d-76d1-abc6-07c63a443582/emulator-runs/initial/android/ACC-018-password-visible.png — All three Change password fields started as type=password with 48x48 type=button controls labelled Show password. Revealing all three changed them to type=text/Hide password without changing their harmless test values; toggling again restored password/Show password with values intact and no submit.</x:v>
      </x:c>
      <x:c r="Q22" s="58" t="str">
        <x:v>DEF-080</x:v>
      </x:c>
      <x:c r="R22" s="58" t="str">
        <x:v>In Progress</x:v>
      </x:c>
      <x:c r="S22" s="58" t="str"/>
      <x:c r="T22" s="58" t="str">
        <x:v>Failed</x:v>
      </x:c>
      <x:c r="U22" s="58" t="str">
        <x:v>Failed</x:v>
      </x:c>
      <x:c r="V22" s="58" t="str">
        <x:v>Android: /Users/mason/.codex/visualizations/2026/09/01/01a05def-1c0d-76d1-abc6-07c63a443582/emulator-runs/retest/android/ACC-018-reveal-focus.json — Native tap on Show password changed the input to text, preserved the five-character unsent value and changed the accessible label to Hide password. Focus moved from INPUT to BUTTON and the keyboard dismissed. Reveal target was 48 by 64 CSS pixels.
iOS: /Users/mason/.codex/visualizations/2026/09/01/01a05def-1c0d-76d1-abc6-07c63a443582/emulator-runs/retest/ios/ACC-018-reveal-blurs-input.png
/Users/mason/.codex/visualizations/2026/09/01/01a05def-1c0d-76d1-abc6-07c63a443582/emulator-runs/retest/ios/ACC-018-hide-blurs-input.png — Reveal/hide correctly changed type and Show/Hide password labels with48x48 type=button targets, preserved15 characters and did not submit. Both directions blurred the input to BODY and dismissed the keyboard accessory, violating continuous-entry focus expectation.</x:v>
      </x:c>
      <x:c r="W22" s="58" t="str">
        <x:f>IF(AND(OR(N22="Passed",N22="Failed",N22="Not Applicable"),OR(O22="Passed",O22="Failed",O22="Not Applicable"),OR(N22="Passed",N22="Failed",O22="Passed",O22="Failed"),OR(T22="Passed",T22="Not Applicable"),OR(U22="Passed",U22="Not Applicable"),OR(T22="Passed",U22="Passed"),Y22="Reconciled",Z22="Reconciled",IF(Q22&lt;&gt;"",R22="Fixed",TRUE)),"Verified",IF(OR(T22="Failed",U22="Failed"),"Retest Failed",IF(OR(N22="Failed",O22="Failed",Q22&lt;&gt;""),"Defect Found",IF(AND(OR(N22="Passed",N22="Not Applicable"),OR(O22="Passed",O22="Not Applicable"),OR(N22="Passed",O22="Passed")),"Initial Pass","Not Complete"))))</x:f>
        <x:v>Retest Failed</x:v>
      </x:c>
      <x:c r="X22" s="58" t="str">
        <x:v>None evident.</x:v>
      </x:c>
      <x:c r="Y22" s="58" t="str">
        <x:f>IF(OR(N22="Not Run",O22="Not Run"),"Pending",IF(AND(OR(N22="Not Applicable",COUNTIFS('Test Runs'!$B$5:$B$2004,A22,'Test Runs'!$C$5:$C$2004,"Initial",'Test Runs'!$D$5:$D$2004,"iOS",'Test Runs'!$I$5:$I$2004,N22)&gt;0),OR(O22="Not Applicable",COUNTIFS('Test Runs'!$B$5:$B$2004,A22,'Test Runs'!$C$5:$C$2004,"Initial",'Test Runs'!$D$5:$D$2004,"Android",'Test Runs'!$I$5:$I$2004,O22)&gt;0)),"Reconciled","Mismatch"))</x:f>
        <x:v>Pending</x:v>
      </x:c>
      <x:c r="Z22" s="58" t="str">
        <x:f>IF(OR(T22="Not Run",U22="Not Run"),"Pending",IF(AND(OR(T22="Not Applicable",COUNTIFS('Test Runs'!$B$5:$B$2004,A22,'Test Runs'!$C$5:$C$2004,"Retest",'Test Runs'!$D$5:$D$2004,"iOS",'Test Runs'!$I$5:$I$2004,T22)&gt;0),OR(U22="Not Applicable",COUNTIFS('Test Runs'!$B$5:$B$2004,A22,'Test Runs'!$C$5:$C$2004,"Retest",'Test Runs'!$D$5:$D$2004,"Android",'Test Runs'!$I$5:$I$2004,U22)&gt;0)),"Reconciled","Mismatch"))</x:f>
        <x:v>Reconciled</x:v>
      </x:c>
    </x:row>
    <x:row r="23" ht="120" customHeight="1">
      <x:c r="A23" s="58" t="str">
        <x:v>ACC-019</x:v>
      </x:c>
      <x:c r="B23" s="58" t="str">
        <x:v>Logout</x:v>
      </x:c>
      <x:c r="C23" s="58" t="str">
        <x:v>/settings → Log out; POST /account/logout</x:v>
      </x:c>
      <x:c r="D23" s="58" t="str">
        <x:v>As a signed-in user, I want logout to remove this device’s personal data and revoke its paired server session.</x:v>
      </x:c>
      <x:c r="E23" s="58" t="str">
        <x:v>Settings POST logout calls server when access exists; server deletes the current access token and its named refresh partner. Regardless of remote outcome, app deletes encrypted credentials, disables reminders, discards pending photos, and transactionally wipes user-owned meals, recipes, workouts, goals, body/profile metrics, preferences, health state, pending confirmations, outbox, and sync state, then returns to login with Signed out.</x:v>
      </x:c>
      <x:c r="F23" s="58" t="str">
        <x:v>Both + server</x:v>
      </x:c>
      <x:c r="G23" s="58" t="str">
        <x:v>Populated signed-in account; enabled reminders; pending uploads; online and airplane-mode cases</x:v>
      </x:c>
      <x:c r="H23" s="58" t="str">
        <x:v>Log out online and verify data/reminders/session removal; sign back in and confirm remote data resyncs; repeat while offline and later test the abandoned old token fixture.</x:v>
      </x:c>
      <x:c r="I23" s="58" t="str">
        <x:v>Same Android steps, including notification alarms and reboot after logout.</x:v>
      </x:c>
      <x:c r="J23" s="58" t="str">
        <x:v>/Users/mason/Sites/Buff/tests/Feature/BuffAuthenticationTest.php:522; /Users/mason/Sites/buff-server/tests/Feature/AuthenticationTest.php:35</x:v>
      </x:c>
      <x:c r="K23" s="58" t="str">
        <x:v>/Users/mason/Sites/Buff/app/Http/Controllers/AccountController.php:268-278; /Users/mason/Sites/Buff/app/Services/LocalAccountData.php:27-46; /Users/mason/Sites/buff-server/app/Http/Controllers/Api/V1/AuthController.php:76-84</x:v>
      </x:c>
      <x:c r="L23" s="58" t="str">
        <x:v>Mapped</x:v>
      </x:c>
      <x:c r="M23" s="58" t="str">
        <x:v>Ready</x:v>
      </x:c>
      <x:c r="N23" s="58" t="str">
        <x:v>Not Run</x:v>
      </x:c>
      <x:c r="O23" s="58" t="str">
        <x:v>Blocked</x:v>
      </x:c>
      <x:c r="P23" s="58" t="str">
        <x:v>Android: /Users/mason/.codex/visualizations/2026/09/01/01a05def-1c0d-76d1-abc6-07c63a443582/emulator-runs/initial/android/ACC-019-online-logout-signed-out.png
/Users/mason/.codex/visualizations/2026/09/01/01a05def-1c0d-76d1-abc6-07c63a443582/emulator-runs/initial/android/ACC-019-post-reboot-signed-out.png
/Users/mason/.codex/visualizations/2026/09/01/01a05def-1c0d-76d1-abc6-07c63a443582/inventory/ACC-019-HLT-067-logout-signedout-worker-observations.json — Online logout returned to login with Signed out, removed the user-10 local session/data, and remained signed out after a full emulator reboot. A later fresh-account login restored only that account's synced plan.</x:v>
      </x:c>
      <x:c r="Q23" s="58" t="str"/>
      <x:c r="R23" s="58" t="str">
        <x:v>Not Needed</x:v>
      </x:c>
      <x:c r="S23" s="58" t="str"/>
      <x:c r="T23" s="58" t="str">
        <x:v>Not Run</x:v>
      </x:c>
      <x:c r="U23" s="58" t="str">
        <x:v>Not Run</x:v>
      </x:c>
      <x:c r="V23" s="58" t="str"/>
      <x:c r="W23" s="58" t="str">
        <x:f>IF(AND(OR(N23="Passed",N23="Failed",N23="Not Applicable"),OR(O23="Passed",O23="Failed",O23="Not Applicable"),OR(N23="Passed",N23="Failed",O23="Passed",O23="Failed"),OR(T23="Passed",T23="Not Applicable"),OR(U23="Passed",U23="Not Applicable"),OR(T23="Passed",U23="Passed"),Y23="Reconciled",Z23="Reconciled",IF(Q23&lt;&gt;"",R23="Fixed",TRUE)),"Verified",IF(OR(T23="Failed",U23="Failed"),"Retest Failed",IF(OR(N23="Failed",O23="Failed",Q23&lt;&gt;""),"Defect Found",IF(AND(OR(N23="Passed",N23="Not Applicable"),OR(O23="Passed",O23="Not Applicable"),OR(N23="Passed",O23="Passed")),"Initial Pass","Not Complete"))))</x:f>
        <x:v>Not Complete</x:v>
      </x:c>
      <x:c r="X23" s="58" t="str">
        <x:v>SECURITY RISK: app intentionally ignores remote logout failure and wipes the only local token copy; when offline, the server access token remains usable until Sanctum’s configured expiry (default 48 hours), and the paired refresh token may remain valid for 3 months.</x:v>
      </x:c>
      <x:c r="Y23" s="58" t="str">
        <x:f>IF(OR(N23="Not Run",O23="Not Run"),"Pending",IF(AND(OR(N23="Not Applicable",COUNTIFS('Test Runs'!$B$5:$B$2004,A23,'Test Runs'!$C$5:$C$2004,"Initial",'Test Runs'!$D$5:$D$2004,"iOS",'Test Runs'!$I$5:$I$2004,N23)&gt;0),OR(O23="Not Applicable",COUNTIFS('Test Runs'!$B$5:$B$2004,A23,'Test Runs'!$C$5:$C$2004,"Initial",'Test Runs'!$D$5:$D$2004,"Android",'Test Runs'!$I$5:$I$2004,O23)&gt;0)),"Reconciled","Mismatch"))</x:f>
        <x:v>Pending</x:v>
      </x:c>
      <x:c r="Z23" s="58" t="str">
        <x:f>IF(OR(T23="Not Run",U23="Not Run"),"Pending",IF(AND(OR(T23="Not Applicable",COUNTIFS('Test Runs'!$B$5:$B$2004,A23,'Test Runs'!$C$5:$C$2004,"Retest",'Test Runs'!$D$5:$D$2004,"iOS",'Test Runs'!$I$5:$I$2004,T23)&gt;0),OR(U23="Not Applicable",COUNTIFS('Test Runs'!$B$5:$B$2004,A23,'Test Runs'!$C$5:$C$2004,"Retest",'Test Runs'!$D$5:$D$2004,"Android",'Test Runs'!$I$5:$I$2004,U23)&gt;0)),"Reconciled","Mismatch"))</x:f>
        <x:v>Pending</x:v>
      </x:c>
    </x:row>
    <x:row r="24" ht="120" customHeight="1">
      <x:c r="A24" s="58" t="str">
        <x:v>ACC-020</x:v>
      </x:c>
      <x:c r="B24" s="58" t="str">
        <x:v>Local device data removal</x:v>
      </x:c>
      <x:c r="C24" s="58" t="str">
        <x:v>Login → Clear device data → confirmation → DELETE /account/local-data</x:v>
      </x:c>
      <x:c r="D24" s="58" t="str">
        <x:v>As a signed-out/expired-session user, I want to clear this device’s local Buff identity and health data without authenticating.</x:v>
      </x:c>
      <x:c r="E24" s="58" t="str">
        <x:v>When signed out with cached device data, login exposes Clear device data. The confirmation warns that local health data is permanently removed while already-synced account data remains. Cancel preserves data; Confirm clears credentials and the local data set, then redirects to registration with Device data cleared. Processing prevents duplicate confirmation and failures stay visible.</x:v>
      </x:c>
      <x:c r="F24" s="58" t="str">
        <x:v>Both</x:v>
      </x:c>
      <x:c r="G24" s="58" t="str">
        <x:v>Expired token plus local SyncState/user records; no valid credentials</x:v>
      </x:c>
      <x:c r="H24" s="58" t="str">
        <x:v>From expired-session login with disposable local data, open Clear device data, cancel and verify preservation, then confirm. Verify local records/reminders/credentials are cleared, registration opens, and already-synced cloud data remains.</x:v>
      </x:c>
      <x:c r="I24" s="58" t="str">
        <x:v>Repeat Android after force-expiring the disposable account token; verify the visible confirmation, cancellation, local cleanup and removed reminder alarms.</x:v>
      </x:c>
      <x:c r="J24" s="58" t="str">
        <x:v>/Users/mason/Sites/Buff/tests/Feature/BuffAuthenticationTest.php:51</x:v>
      </x:c>
      <x:c r="K24" s="58" t="str">
        <x:v>/Users/mason/Sites/Buff/routes/web.php:27; /Users/mason/Sites/Buff/app/Http/Controllers/AccountController.php:280-286; /Users/mason/Sites/Buff/resources/js/Pages/Account.vue:228-238,480-489,552-562; /Users/mason/Sites/Buff/resources/js/Pages/Settings.vue:206-216</x:v>
      </x:c>
      <x:c r="L24" s="58" t="str">
        <x:v>Mapped</x:v>
      </x:c>
      <x:c r="M24" s="58" t="str">
        <x:v>Ready</x:v>
      </x:c>
      <x:c r="N24" s="58" t="str">
        <x:v>Not Run</x:v>
      </x:c>
      <x:c r="O24" s="58" t="str">
        <x:v>Failed</x:v>
      </x:c>
      <x:c r="P24" s="58" t="str">
        <x:v>Android: /Users/mason/.codex/visualizations/2026/09/01/01a05def-1c0d-76d1-abc6-07c63a443582/inventory/ACC-020-login-no-clear-device-data.png — The signed-out login page had no Clear device data action or confirmation; only sign-in, Google, password-reset, and registration actions were reachable even though the public deletion endpoint exists.</x:v>
      </x:c>
      <x:c r="Q24" s="58" t="str">
        <x:v>DEF-077</x:v>
      </x:c>
      <x:c r="R24" s="58" t="str">
        <x:v>In Progress</x:v>
      </x:c>
      <x:c r="S24" s="58" t="str"/>
      <x:c r="T24" s="58" t="str">
        <x:v>Not Run</x:v>
      </x:c>
      <x:c r="U24" s="58" t="str">
        <x:v>Not Run</x:v>
      </x:c>
      <x:c r="V24" s="58" t="str"/>
      <x:c r="W24" s="58" t="str">
        <x:f>IF(AND(OR(N24="Passed",N24="Failed",N24="Not Applicable"),OR(O24="Passed",O24="Failed",O24="Not Applicable"),OR(N24="Passed",N24="Failed",O24="Passed",O24="Failed"),OR(T24="Passed",T24="Not Applicable"),OR(U24="Passed",U24="Not Applicable"),OR(T24="Passed",U24="Passed"),Y24="Reconciled",Z24="Reconciled",IF(Q24&lt;&gt;"",R24="Fixed",TRUE)),"Verified",IF(OR(T24="Failed",U24="Failed"),"Retest Failed",IF(OR(N24="Failed",O24="Failed",Q24&lt;&gt;""),"Defect Found",IF(AND(OR(N24="Passed",N24="Not Applicable"),OR(O24="Passed",O24="Not Applicable"),OR(N24="Passed",O24="Passed")),"Initial Pass","Not Complete"))))</x:f>
        <x:v>Defect Found</x:v>
      </x:c>
      <x:c r="X24" s="58" t="str">
        <x:v>LIKELY UX DEFECT: the only login UI for this public recovery endpoint is commented out, so an ordinary user with expired credentials and local data has no reachable clear-device action.</x:v>
      </x:c>
      <x:c r="Y24" s="58" t="str">
        <x:f>IF(OR(N24="Not Run",O24="Not Run"),"Pending",IF(AND(OR(N24="Not Applicable",COUNTIFS('Test Runs'!$B$5:$B$2004,A24,'Test Runs'!$C$5:$C$2004,"Initial",'Test Runs'!$D$5:$D$2004,"iOS",'Test Runs'!$I$5:$I$2004,N24)&gt;0),OR(O24="Not Applicable",COUNTIFS('Test Runs'!$B$5:$B$2004,A24,'Test Runs'!$C$5:$C$2004,"Initial",'Test Runs'!$D$5:$D$2004,"Android",'Test Runs'!$I$5:$I$2004,O24)&gt;0)),"Reconciled","Mismatch"))</x:f>
        <x:v>Pending</x:v>
      </x:c>
      <x:c r="Z24" s="58" t="str">
        <x:f>IF(OR(T24="Not Run",U24="Not Run"),"Pending",IF(AND(OR(T24="Not Applicable",COUNTIFS('Test Runs'!$B$5:$B$2004,A24,'Test Runs'!$C$5:$C$2004,"Retest",'Test Runs'!$D$5:$D$2004,"iOS",'Test Runs'!$I$5:$I$2004,T24)&gt;0),OR(U24="Not Applicable",COUNTIFS('Test Runs'!$B$5:$B$2004,A24,'Test Runs'!$C$5:$C$2004,"Retest",'Test Runs'!$D$5:$D$2004,"Android",'Test Runs'!$I$5:$I$2004,U24)&gt;0)),"Reconciled","Mismatch"))</x:f>
        <x:v>Pending</x:v>
      </x:c>
    </x:row>
    <x:row r="25" ht="120" customHeight="1">
      <x:c r="A25" s="58" t="str">
        <x:v>ACC-021</x:v>
      </x:c>
      <x:c r="B25" s="58" t="str">
        <x:v>Profile and generated avatar</x:v>
      </x:c>
      <x:c r="C25" s="58" t="str">
        <x:v>/settings/account; cached account card on /account/login</x:v>
      </x:c>
      <x:c r="D25" s="58" t="str">
        <x:v>As an account user, I want to see a recognizable profile summary without requiring an uploaded image.</x:v>
      </x:c>
      <x:c r="E25" s="58" t="str">
        <x:v>Account settings display account name/email and a deterministic colored initials avatar: first and last initials, single initial, or ?. Color is stable for normalized lowercase trimmed name. No avatar image column, upload controller, picker, or photo API exists; this is a generated avatar only.</x:v>
      </x:c>
      <x:c r="F25" s="58" t="str">
        <x:v>Both</x:v>
      </x:c>
      <x:c r="G25" s="58" t="str">
        <x:v>Names with one/multiple/blank/non-ASCII words</x:v>
      </x:c>
      <x:c r="H25" s="58" t="str">
        <x:v>Check initials/color on profile and resumed-account card; edit name and confirm avatar updates after response; verify no photo upload control is presented.</x:v>
      </x:c>
      <x:c r="I25" s="58" t="str">
        <x:v>Same on Android at multiple font scales.</x:v>
      </x:c>
      <x:c r="J25" s="58" t="str">
        <x:v>/Users/mason/Sites/Buff/tests/avatar.test.ts:5-13</x:v>
      </x:c>
      <x:c r="K25" s="58" t="str">
        <x:v>/Users/mason/Sites/Buff/resources/js/Pages/Settings/Account.vue:34-51,64-80; /Users/mason/Sites/Buff/resources/js/avatar.ts:1-40; /Users/mason/Sites/Buff/resources/js/Pages/Account.vue:48-57,440-449</x:v>
      </x:c>
      <x:c r="L25" s="58" t="str">
        <x:v>Mapped</x:v>
      </x:c>
      <x:c r="M25" s="58" t="str">
        <x:v>Ready</x:v>
      </x:c>
      <x:c r="N25" s="58" t="str">
        <x:v>Not Run</x:v>
      </x:c>
      <x:c r="O25" s="58" t="str">
        <x:v>Passed</x:v>
      </x:c>
      <x:c r="P25" s="58" t="str">
        <x:v>Android: /Users/mason/.codex/visualizations/2026/09/01/01a05def-1c0d-76d1-abc6-07c63a443582/emulator-runs/initial/android-guest/ACC-021-022-account-profile-updated.png
/Users/mason/.codex/visualizations/2026/09/01/01a05def-1c0d-76d1-abc6-07c63a443582/emulator-runs/initial/android-guest/dom-observations-batch-015.json — The generated avatar changed deterministically from BA/red to BT/amber with the temporary QA name, persisted after reload, and restored to BA/red. No upload control was presented.</x:v>
      </x:c>
      <x:c r="Q25" s="58" t="str"/>
      <x:c r="R25" s="58" t="str">
        <x:v>Not Needed</x:v>
      </x:c>
      <x:c r="S25" s="58" t="str"/>
      <x:c r="T25" s="58" t="str">
        <x:v>Not Run</x:v>
      </x:c>
      <x:c r="U25" s="58" t="str">
        <x:v>Not Run</x:v>
      </x:c>
      <x:c r="V25" s="58" t="str"/>
      <x:c r="W25" s="58" t="str">
        <x:f>IF(AND(OR(N25="Passed",N25="Failed",N25="Not Applicable"),OR(O25="Passed",O25="Failed",O25="Not Applicable"),OR(N25="Passed",N25="Failed",O25="Passed",O25="Failed"),OR(T25="Passed",T25="Not Applicable"),OR(U25="Passed",U25="Not Applicable"),OR(T25="Passed",U25="Passed"),Y25="Reconciled",Z25="Reconciled",IF(Q25&lt;&gt;"",R25="Fixed",TRUE)),"Verified",IF(OR(T25="Failed",U25="Failed"),"Retest Failed",IF(OR(N25="Failed",O25="Failed",Q25&lt;&gt;""),"Defect Found",IF(AND(OR(N25="Passed",N25="Not Applicable"),OR(O25="Passed",O25="Not Applicable"),OR(N25="Passed",O25="Passed")),"Initial Pass","Not Complete"))))</x:f>
        <x:v>Not Complete</x:v>
      </x:c>
      <x:c r="X25" s="58" t="str">
        <x:v>Scope gap if product expects photo avatars: code implements no avatar upload/change/delete behavior.</x:v>
      </x:c>
      <x:c r="Y25" s="58" t="str">
        <x:f>IF(OR(N25="Not Run",O25="Not Run"),"Pending",IF(AND(OR(N25="Not Applicable",COUNTIFS('Test Runs'!$B$5:$B$2004,A25,'Test Runs'!$C$5:$C$2004,"Initial",'Test Runs'!$D$5:$D$2004,"iOS",'Test Runs'!$I$5:$I$2004,N25)&gt;0),OR(O25="Not Applicable",COUNTIFS('Test Runs'!$B$5:$B$2004,A25,'Test Runs'!$C$5:$C$2004,"Initial",'Test Runs'!$D$5:$D$2004,"Android",'Test Runs'!$I$5:$I$2004,O25)&gt;0)),"Reconciled","Mismatch"))</x:f>
        <x:v>Pending</x:v>
      </x:c>
      <x:c r="Z25" s="58" t="str">
        <x:f>IF(OR(T25="Not Run",U25="Not Run"),"Pending",IF(AND(OR(T25="Not Applicable",COUNTIFS('Test Runs'!$B$5:$B$2004,A25,'Test Runs'!$C$5:$C$2004,"Retest",'Test Runs'!$D$5:$D$2004,"iOS",'Test Runs'!$I$5:$I$2004,T25)&gt;0),OR(U25="Not Applicable",COUNTIFS('Test Runs'!$B$5:$B$2004,A25,'Test Runs'!$C$5:$C$2004,"Retest",'Test Runs'!$D$5:$D$2004,"Android",'Test Runs'!$I$5:$I$2004,U25)&gt;0)),"Reconciled","Mismatch"))</x:f>
        <x:v>Pending</x:v>
      </x:c>
    </x:row>
    <x:row r="26" ht="120" customHeight="1">
      <x:c r="A26" s="58" t="str">
        <x:v>ACC-022</x:v>
      </x:c>
      <x:c r="B26" s="58" t="str">
        <x:v>Profile editing</x:v>
      </x:c>
      <x:c r="C26" s="58" t="str">
        <x:v>/settings/account → Save account</x:v>
      </x:c>
      <x:c r="D26" s="58" t="str">
        <x:v>As a signed-in user, I want to change name, email, and timezone with server validation.</x:v>
      </x:c>
      <x:c r="E26" s="58" t="str">
        <x:v>Profile form populates cached account and all timezone identifiers, preserving an unknown current timezone option. App/server validate required name, normalized unique email, and valid timezone. Server clears verification and queues a new verification email only when email changes; app updates encrypted cached account but deliberately keeps access and tells user to verify when convenient. Name/timezone-only changes stay verified.</x:v>
      </x:c>
      <x:c r="F26" s="58" t="str">
        <x:v>Both + server</x:v>
      </x:c>
      <x:c r="G26" s="58" t="str">
        <x:v>Existing account; unique/duplicate email; invalid timezone; mail inbox</x:v>
      </x:c>
      <x:c r="H26" s="58" t="str">
        <x:v>Change name/timezone, then email; verify cached header/avatar, continued app access, verification mail/message, and duplicate/offline errors.</x:v>
      </x:c>
      <x:c r="I26" s="58" t="str">
        <x:v>Repeat Android; verify timezone selector scrolling and keyboard behavior.</x:v>
      </x:c>
      <x:c r="J26" s="58" t="str">
        <x:v>/Users/mason/Sites/Buff/tests/Feature/BuffAuthenticationTest.php:570,601; /Users/mason/Sites/buff-server/tests/Feature/AuthenticationTest.php:180</x:v>
      </x:c>
      <x:c r="K26" s="58" t="str">
        <x:v>/Users/mason/Sites/Buff/resources/js/Pages/Settings/Account.vue:15-55,58-108; /Users/mason/Sites/Buff/app/Http/Controllers/AccountController.php:228-251; /Users/mason/Sites/buff-server/app/Http/Controllers/Api/V1/AuthController.php:57-74; /Users/mason/Sites/buff-server/app/Http/Requests/Api/V1/UpdateProfileRequest.php:24-38</x:v>
      </x:c>
      <x:c r="L26" s="58" t="str">
        <x:v>Mapped</x:v>
      </x:c>
      <x:c r="M26" s="58" t="str">
        <x:v>Ready</x:v>
      </x:c>
      <x:c r="N26" s="58" t="str">
        <x:v>Not Run</x:v>
      </x:c>
      <x:c r="O26" s="58" t="str">
        <x:v>Passed</x:v>
      </x:c>
      <x:c r="P26" s="58" t="str">
        <x:v>Android: /Users/mason/.codex/visualizations/2026/09/01/01a05def-1c0d-76d1-abc6-07c63a443582/emulator-runs/initial/android-guest/ACC-021-022-account-profile-updated.png
/Users/mason/.codex/visualizations/2026/09/01/01a05def-1c0d-76d1-abc6-07c63a443582/emulator-runs/initial/android-guest/dom-observations-batch-015.json — Name and timezone edits saved and survived reload while the email stayed unchanged; blank name was blocked by browser validation. The original QA name and Europe/London timezone were restored successfully.</x:v>
      </x:c>
      <x:c r="Q26" s="58" t="str"/>
      <x:c r="R26" s="58" t="str">
        <x:v>Not Needed</x:v>
      </x:c>
      <x:c r="S26" s="58" t="str"/>
      <x:c r="T26" s="58" t="str">
        <x:v>Not Run</x:v>
      </x:c>
      <x:c r="U26" s="58" t="str">
        <x:v>Not Run</x:v>
      </x:c>
      <x:c r="V26" s="58" t="str"/>
      <x:c r="W26" s="58" t="str">
        <x:f>IF(AND(OR(N26="Passed",N26="Failed",N26="Not Applicable"),OR(O26="Passed",O26="Failed",O26="Not Applicable"),OR(N26="Passed",N26="Failed",O26="Passed",O26="Failed"),OR(T26="Passed",T26="Not Applicable"),OR(U26="Passed",U26="Not Applicable"),OR(T26="Passed",U26="Passed"),Y26="Reconciled",Z26="Reconciled",IF(Q26&lt;&gt;"",R26="Fixed",TRUE)),"Verified",IF(OR(T26="Failed",U26="Failed"),"Retest Failed",IF(OR(N26="Failed",O26="Failed",Q26&lt;&gt;""),"Defect Found",IF(AND(OR(N26="Passed",N26="Not Applicable"),OR(O26="Passed",O26="Not Applicable"),OR(N26="Passed",O26="Passed")),"Initial Pass","Not Complete"))))</x:f>
        <x:v>Not Complete</x:v>
      </x:c>
      <x:c r="X26" s="58" t="str">
        <x:v>None evident.</x:v>
      </x:c>
      <x:c r="Y26" s="58" t="str">
        <x:f>IF(OR(N26="Not Run",O26="Not Run"),"Pending",IF(AND(OR(N26="Not Applicable",COUNTIFS('Test Runs'!$B$5:$B$2004,A26,'Test Runs'!$C$5:$C$2004,"Initial",'Test Runs'!$D$5:$D$2004,"iOS",'Test Runs'!$I$5:$I$2004,N26)&gt;0),OR(O26="Not Applicable",COUNTIFS('Test Runs'!$B$5:$B$2004,A26,'Test Runs'!$C$5:$C$2004,"Initial",'Test Runs'!$D$5:$D$2004,"Android",'Test Runs'!$I$5:$I$2004,O26)&gt;0)),"Reconciled","Mismatch"))</x:f>
        <x:v>Pending</x:v>
      </x:c>
      <x:c r="Z26" s="58" t="str">
        <x:f>IF(OR(T26="Not Run",U26="Not Run"),"Pending",IF(AND(OR(T26="Not Applicable",COUNTIFS('Test Runs'!$B$5:$B$2004,A26,'Test Runs'!$C$5:$C$2004,"Retest",'Test Runs'!$D$5:$D$2004,"iOS",'Test Runs'!$I$5:$I$2004,T26)&gt;0),OR(U26="Not Applicable",COUNTIFS('Test Runs'!$B$5:$B$2004,A26,'Test Runs'!$C$5:$C$2004,"Retest",'Test Runs'!$D$5:$D$2004,"Android",'Test Runs'!$I$5:$I$2004,U26)&gt;0)),"Reconciled","Mismatch"))</x:f>
        <x:v>Pending</x:v>
      </x:c>
    </x:row>
    <x:row r="27" ht="120" customHeight="1">
      <x:c r="A27" s="58" t="str">
        <x:v>ACC-023</x:v>
      </x:c>
      <x:c r="B27" s="58" t="str">
        <x:v>Change password</x:v>
      </x:c>
      <x:c r="C27" s="58" t="str">
        <x:v>/settings/password</x:v>
      </x:c>
      <x:c r="D27" s="58" t="str">
        <x:v>As a signed-in user, I want to change my password using the current password or switch to email reset for social accounts.</x:v>
      </x:c>
      <x:c r="E27" s="58" t="str">
        <x:v>Settings requires current password, new minimum-8 password, and confirmation. Server current_password validation maps back to current_password; success hashes new password but does not revoke the current session or other tokens. Form clears on success. A prefilled email reset link supports users signed in via Google/Apple or without their current password.</x:v>
      </x:c>
      <x:c r="F27" s="58" t="str">
        <x:v>Both + server</x:v>
      </x:c>
      <x:c r="G27" s="58" t="str">
        <x:v>Password account; wrong current; social-created account; 7/8-char/mismatch</x:v>
      </x:c>
      <x:c r="H27" s="58" t="str">
        <x:v>Test wrong/current/new/mismatch, success and sign-in with new password; follow email reset alternative; verify current session remains after in-app change.</x:v>
      </x:c>
      <x:c r="I27" s="58" t="str">
        <x:v>Repeat Android with autofill/reveal controls.</x:v>
      </x:c>
      <x:c r="J27" s="58" t="str">
        <x:v>/Users/mason/Sites/Buff/tests/Feature/BuffAuthenticationTest.php:620,645; /Users/mason/Sites/buff-server/tests/Feature/AuthenticationTest.php:154</x:v>
      </x:c>
      <x:c r="K27" s="58" t="str">
        <x:v>/Users/mason/Sites/Buff/resources/js/Pages/Settings/Password.vue:19-37,40-93; /Users/mason/Sites/Buff/app/Http/Controllers/AccountController.php:253-266; /Users/mason/Sites/buff-server/app/Http/Requests/Api/V1/ChangePasswordRequest.php:24-29; /Users/mason/Sites/buff-server/app/Http/Controllers/Api/V1/PasswordController.php:46-51</x:v>
      </x:c>
      <x:c r="L27" s="58" t="str">
        <x:v>Mapped</x:v>
      </x:c>
      <x:c r="M27" s="58" t="str">
        <x:v>Ready</x:v>
      </x:c>
      <x:c r="N27" s="58" t="str">
        <x:v>Not Run</x:v>
      </x:c>
      <x:c r="O27" s="58" t="str">
        <x:v>Blocked</x:v>
      </x:c>
      <x:c r="P27" s="58" t="str">
        <x:v>Android: /Users/mason/.codex/visualizations/2026/09/01/01a05def-1c0d-76d1-abc6-07c63a443582/emulator-runs/initial/android/ACC-023-password-validation.png
/Users/mason/.codex/visualizations/2026/09/01/01a05def-1c0d-76d1-abc6-07c63a443582/emulator-runs/initial/android/ACC-023-024-account-security-observations.json — A seven-character new password returned 'The password field must be at least 8 characters'; an eleven-character confirmation mismatch returned 'The password field confirmation does not match'; and an incorrect current password with valid matching new fields returned 'The password is incorrect'. Autocomplete was current-password/new-password/new-password. The new-password reveal changed the input from password to text and its aria-label from 'Show password' to 'Hide password'. The reset route was prefilled for the signed-in account; no email value was recorded.</x:v>
      </x:c>
      <x:c r="Q27" s="58" t="str"/>
      <x:c r="R27" s="58" t="str">
        <x:v>Not Needed</x:v>
      </x:c>
      <x:c r="S27" s="58" t="str"/>
      <x:c r="T27" s="58" t="str">
        <x:v>Not Run</x:v>
      </x:c>
      <x:c r="U27" s="58" t="str">
        <x:v>Not Run</x:v>
      </x:c>
      <x:c r="V27" s="58" t="str"/>
      <x:c r="W27" s="58" t="str">
        <x:f>IF(AND(OR(N27="Passed",N27="Failed",N27="Not Applicable"),OR(O27="Passed",O27="Failed",O27="Not Applicable"),OR(N27="Passed",N27="Failed",O27="Passed",O27="Failed"),OR(T27="Passed",T27="Not Applicable"),OR(U27="Passed",U27="Not Applicable"),OR(T27="Passed",U27="Passed"),Y27="Reconciled",Z27="Reconciled",IF(Q27&lt;&gt;"",R27="Fixed",TRUE)),"Verified",IF(OR(T27="Failed",U27="Failed"),"Retest Failed",IF(OR(N27="Failed",O27="Failed",Q27&lt;&gt;""),"Defect Found",IF(AND(OR(N27="Passed",N27="Not Applicable"),OR(O27="Passed",O27="Not Applicable"),OR(N27="Passed",O27="Passed")),"Initial Pass","Not Complete"))))</x:f>
        <x:v>Not Complete</x:v>
      </x:c>
      <x:c r="X27" s="58" t="str">
        <x:v>Risk: unlike forgot/reset, in-session password change does not revoke other device tokens; this may be intentional but should be confirmed as security UX.</x:v>
      </x:c>
      <x:c r="Y27" s="58" t="str">
        <x:f>IF(OR(N27="Not Run",O27="Not Run"),"Pending",IF(AND(OR(N27="Not Applicable",COUNTIFS('Test Runs'!$B$5:$B$2004,A27,'Test Runs'!$C$5:$C$2004,"Initial",'Test Runs'!$D$5:$D$2004,"iOS",'Test Runs'!$I$5:$I$2004,N27)&gt;0),OR(O27="Not Applicable",COUNTIFS('Test Runs'!$B$5:$B$2004,A27,'Test Runs'!$C$5:$C$2004,"Initial",'Test Runs'!$D$5:$D$2004,"Android",'Test Runs'!$I$5:$I$2004,O27)&gt;0)),"Reconciled","Mismatch"))</x:f>
        <x:v>Pending</x:v>
      </x:c>
      <x:c r="Z27" s="58" t="str">
        <x:f>IF(OR(T27="Not Run",U27="Not Run"),"Pending",IF(AND(OR(T27="Not Applicable",COUNTIFS('Test Runs'!$B$5:$B$2004,A27,'Test Runs'!$C$5:$C$2004,"Retest",'Test Runs'!$D$5:$D$2004,"iOS",'Test Runs'!$I$5:$I$2004,T27)&gt;0),OR(U27="Not Applicable",COUNTIFS('Test Runs'!$B$5:$B$2004,A27,'Test Runs'!$C$5:$C$2004,"Retest",'Test Runs'!$D$5:$D$2004,"Android",'Test Runs'!$I$5:$I$2004,U27)&gt;0)),"Reconciled","Mismatch"))</x:f>
        <x:v>Pending</x:v>
      </x:c>
    </x:row>
    <x:row r="28" ht="120" customHeight="1">
      <x:c r="A28" s="58" t="str">
        <x:v>ACC-024</x:v>
      </x:c>
      <x:c r="B28" s="58" t="str">
        <x:v>Account deletion</x:v>
      </x:c>
      <x:c r="C28" s="58" t="str">
        <x:v>/settings → Delete account</x:v>
      </x:c>
      <x:c r="D28" s="58" t="str">
        <x:v>As a user, I want irreversible account deletion protected by my password and to retain local data if the server rejects it.</x:v>
      </x:c>
      <x:c r="E28" s="58" t="str">
        <x:v>Settings opens a nondismissable-while-processing sheet, explains synced deletion, offers reset for social users, and warns store subscription is not canceled. Server requires current password, deletes analyses/photos/tokens/user (cascades other owned data); only a successful response clears local credentials/data and redirects to registration. Failure keeps local state and reopens the sheet with password error.</x:v>
      </x:c>
      <x:c r="F28" s="58" t="str">
        <x:v>Both + server</x:v>
      </x:c>
      <x:c r="G28" s="58" t="str">
        <x:v>Account with local/cloud data and active store subscription; wrong/right password; server offline</x:v>
      </x:c>
      <x:c r="H28" s="58" t="str">
        <x:v>Open/cancel; test wrong password and offline retaining data; manage/cancel store subscription separately; delete with correct password and verify sign-in/data APIs fail afterward.</x:v>
      </x:c>
      <x:c r="I28" s="58" t="str">
        <x:v>Repeat Android and verify Play subscription warning/link.</x:v>
      </x:c>
      <x:c r="J28" s="58" t="str">
        <x:v>/Users/mason/Sites/Buff/tests/settingsAccountDeletion.test.ts:5; /Users/mason/Sites/Buff/tests/Feature/BuffAuthenticationTest.php:666; /Users/mason/Sites/buff-server/tests/Feature/AuthenticationTest.php:136</x:v>
      </x:c>
      <x:c r="K28" s="58" t="str">
        <x:v>/Users/mason/Sites/Buff/resources/js/Pages/Settings.vue:77-83,109-133,219-265; /Users/mason/Sites/Buff/app/Http/Controllers/AccountController.php:288-297; /Users/mason/Sites/buff-server/app/Http/Requests/Api/V1/DeleteAccountRequest.php:23-27; /Users/mason/Sites/buff-server/app/Http/Controllers/Api/V1/AuthController.php:122-131</x:v>
      </x:c>
      <x:c r="L28" s="58" t="str">
        <x:v>Mapped</x:v>
      </x:c>
      <x:c r="M28" s="58" t="str">
        <x:v>Ready</x:v>
      </x:c>
      <x:c r="N28" s="58" t="str">
        <x:v>Not Run</x:v>
      </x:c>
      <x:c r="O28" s="58" t="str">
        <x:v>Blocked</x:v>
      </x:c>
      <x:c r="P28" s="58" t="str">
        <x:v>Android: /Users/mason/.codex/visualizations/2026/09/01/01a05def-1c0d-76d1-abc6-07c63a443582/emulator-runs/initial/android/ACC-024-delete-modal.png
/Users/mason/.codex/visualizations/2026/09/01/01a05def-1c0d-76d1-abc6-07c63a443582/emulator-runs/initial/android/ACC-024-delete-offline-retained.png
/Users/mason/.codex/visualizations/2026/09/01/01a05def-1c0d-76d1-abc6-07c63a443582/emulator-runs/initial/android/ACC-023-024-account-security-observations.json — The modal described irreversible deletion of the Buff account and all synced data, offered the reset alternative, warned that deletion does not cancel an App Store or Google Play subscription, and used current-password autocomplete. Cancel closed the sheet without state loss. An incorrect password kept the sheet open with 'The password is incorrect'. Offline submission kept the sheet and account with 'Buff could not reach the account service. Check your connection.' Airplane mode was then disabled and online connectivity restored.</x:v>
      </x:c>
      <x:c r="Q28" s="58" t="str"/>
      <x:c r="R28" s="58" t="str">
        <x:v>Not Needed</x:v>
      </x:c>
      <x:c r="S28" s="58" t="str"/>
      <x:c r="T28" s="58" t="str">
        <x:v>Not Run</x:v>
      </x:c>
      <x:c r="U28" s="58" t="str">
        <x:v>Not Run</x:v>
      </x:c>
      <x:c r="V28" s="58" t="str"/>
      <x:c r="W28" s="58" t="str">
        <x:f>IF(AND(OR(N28="Passed",N28="Failed",N28="Not Applicable"),OR(O28="Passed",O28="Failed",O28="Not Applicable"),OR(N28="Passed",N28="Failed",O28="Passed",O28="Failed"),OR(T28="Passed",T28="Not Applicable"),OR(U28="Passed",U28="Not Applicable"),OR(T28="Passed",U28="Passed"),Y28="Reconciled",Z28="Reconciled",IF(Q28&lt;&gt;"",R28="Fixed",TRUE)),"Verified",IF(OR(T28="Failed",U28="Failed"),"Retest Failed",IF(OR(N28="Failed",O28="Failed",Q28&lt;&gt;""),"Defect Found",IF(AND(OR(N28="Passed",N28="Not Applicable"),OR(O28="Passed",O28="Not Applicable"),OR(N28="Passed",O28="Passed")),"Initial Pass","Not Complete"))))</x:f>
        <x:v>Not Complete</x:v>
      </x:c>
      <x:c r="X28" s="58" t="str">
        <x:v>Known limitation is explicitly disclosed: deleting Buff does not cancel App Store/Google Play billing.</x:v>
      </x:c>
      <x:c r="Y28" s="58" t="str">
        <x:f>IF(OR(N28="Not Run",O28="Not Run"),"Pending",IF(AND(OR(N28="Not Applicable",COUNTIFS('Test Runs'!$B$5:$B$2004,A28,'Test Runs'!$C$5:$C$2004,"Initial",'Test Runs'!$D$5:$D$2004,"iOS",'Test Runs'!$I$5:$I$2004,N28)&gt;0),OR(O28="Not Applicable",COUNTIFS('Test Runs'!$B$5:$B$2004,A28,'Test Runs'!$C$5:$C$2004,"Initial",'Test Runs'!$D$5:$D$2004,"Android",'Test Runs'!$I$5:$I$2004,O28)&gt;0)),"Reconciled","Mismatch"))</x:f>
        <x:v>Pending</x:v>
      </x:c>
      <x:c r="Z28" s="58" t="str">
        <x:f>IF(OR(T28="Not Run",U28="Not Run"),"Pending",IF(AND(OR(T28="Not Applicable",COUNTIFS('Test Runs'!$B$5:$B$2004,A28,'Test Runs'!$C$5:$C$2004,"Retest",'Test Runs'!$D$5:$D$2004,"iOS",'Test Runs'!$I$5:$I$2004,T28)&gt;0),OR(U28="Not Applicable",COUNTIFS('Test Runs'!$B$5:$B$2004,A28,'Test Runs'!$C$5:$C$2004,"Retest",'Test Runs'!$D$5:$D$2004,"Android",'Test Runs'!$I$5:$I$2004,U28)&gt;0)),"Reconciled","Mismatch"))</x:f>
        <x:v>Pending</x:v>
      </x:c>
    </x:row>
    <x:row r="29" ht="120" customHeight="1">
      <x:c r="A29" s="58" t="str">
        <x:v>ACC-025</x:v>
      </x:c>
      <x:c r="B29" s="58" t="str">
        <x:v>Onboarding entry and draft resume</x:v>
      </x:c>
      <x:c r="C29" s="58" t="str">
        <x:v>/onboarding after registration/login</x:v>
      </x:c>
      <x:c r="D29" s="58" t="str">
        <x:v>As a newly authenticated user, I want setup to resume after interruption and disappear once goals exist.</x:v>
      </x:c>
      <x:c r="E29" s="58" t="str">
        <x:v>Authenticated users without any DailyGoal receive onboarding defaults; existing goals redirect home. A per-account localStorage draft persists form data, current valid step, plan, and customization state; unparseable JSON, an unknown step, or a missing/falsy data field is ignored; other stored field values are restored and remain subject to ordinary step/server validation. Successful finish removes draft/registration-name; login clears all onboarding drafts only when no device data exists.</x:v>
      </x:c>
      <x:c r="F29" s="58" t="str">
        <x:v>Both</x:v>
      </x:c>
      <x:c r="G29" s="58" t="str">
        <x:v>Separate incomplete-onboarding QA account; interrupt ordinary steps and the plan-loading state. Invalid-draft fixtures specifically distinguish malformed JSON, unknown step and absent data from malformed field values. Keep the completed shared account intact.</x:v>
      </x:c>
      <x:c r="H29" s="58" t="str">
        <x:v>Enter values, kill/relaunch and confirm the same active step/data. Separately interrupt while the plan request is outstanding, then relaunch and verify a usable estimate or editable fallback. For controlled invalid drafts, verify malformed JSON/unknown step/missing data safely starts from defaults; do not assume every corrupted field payload is normalized. Complete the QA fixture, confirm direct onboarding redirects home and verify account-key isolation.</x:v>
      </x:c>
      <x:c r="I29" s="58" t="str">
        <x:v>Repeat process-death, adaptive-step and plan-loading interruption cases on a separate Android QA fixture. Use the same explicit invalid-draft categories; do not clear or switch the shared account merely to create this state.</x:v>
      </x:c>
      <x:c r="J29" s="58" t="str">
        <x:v>/Users/mason/Sites/Buff/tests/Feature/OnboardingTest.php:19,179; no direct JS draft persistence test located</x:v>
      </x:c>
      <x:c r="K29" s="58" t="str">
        <x:v>/Users/mason/Sites/Buff/app/Http/Controllers/OnboardingController.php:31-55; /Users/mason/Sites/Buff/resources/js/Pages/Onboarding.vue:84-127,351-367; /Users/mason/Sites/Buff/resources/js/Pages/Account.vue:126-137</x:v>
      </x:c>
      <x:c r="L29" s="58" t="str">
        <x:v>Mapped</x:v>
      </x:c>
      <x:c r="M29" s="58" t="str">
        <x:v>Ready</x:v>
      </x:c>
      <x:c r="N29" s="58" t="str">
        <x:v>Not Run</x:v>
      </x:c>
      <x:c r="O29" s="58" t="str">
        <x:v>Failed</x:v>
      </x:c>
      <x:c r="P29" s="58" t="str">
        <x:v>Android: /Users/mason/.codex/visualizations/2026/09/01/01a05def-1c0d-76d1-abc6-07c63a443582/emulator-runs/initial/android-guest/ACC-025-draft-before-process-death.png
/Users/mason/.codex/visualizations/2026/09/01/01a05def-1c0d-76d1-abc6-07c63a443582/emulator-runs/initial/android-guest/ACC-025-draft-resumed-after-process-death.png
/Users/mason/.codex/visualizations/2026/09/01/01a05def-1c0d-76d1-abc6-07c63a443582/emulator-runs/initial/android-guest/dom-observations-batch-014.json — Age 30, male, 180 cm resumed on the exact height step after force-stop and completion cleared the draft/direct onboarding redirected home. The story failed because a plan-step draft interrupted before its response resumed into a corrupted simple-plan state.</x:v>
      </x:c>
      <x:c r="Q29" s="58" t="str">
        <x:v>DEF-043</x:v>
      </x:c>
      <x:c r="R29" s="58" t="str">
        <x:v>Fixed</x:v>
      </x:c>
      <x:c r="S29" s="58" t="str"/>
      <x:c r="T29" s="58" t="str">
        <x:v>Not Run</x:v>
      </x:c>
      <x:c r="U29" s="58" t="str">
        <x:v>Not Run</x:v>
      </x:c>
      <x:c r="V29" s="58" t="str"/>
      <x:c r="W29" s="58" t="str">
        <x:f>IF(AND(OR(N29="Passed",N29="Failed",N29="Not Applicable"),OR(O29="Passed",O29="Failed",O29="Not Applicable"),OR(N29="Passed",N29="Failed",O29="Passed",O29="Failed"),OR(T29="Passed",T29="Not Applicable"),OR(U29="Passed",U29="Not Applicable"),OR(T29="Passed",U29="Passed"),Y29="Reconciled",Z29="Reconciled",IF(Q29&lt;&gt;"",R29="Fixed",TRUE)),"Verified",IF(OR(T29="Failed",U29="Failed"),"Retest Failed",IF(OR(N29="Failed",O29="Failed",Q29&lt;&gt;""),"Defect Found",IF(AND(OR(N29="Passed",N29="Not Applicable"),OR(O29="Passed",O29="Not Applicable"),OR(N29="Passed",O29="Passed")),"Initial Pass","Not Complete"))))</x:f>
        <x:v>Defect Found</x:v>
      </x:c>
      <x:c r="X29" s="58" t="str">
        <x:v>Risk: drafts contain sensitive body data in unencrypted WebView localStorage, keyed by account ID; local logout does not explicitly clear it, though login clears all drafts when device data is absent. Scope correction: readDraft checks JSON parsing, a known step and truthy data, not a full schema for saved data/plan. Generic 'corrupt draft' instructions previously promised a broader normalization contract than current code implements. ACC-025 and HLT-035 should share one evidence set rather than duplicate actions.</x:v>
      </x:c>
      <x:c r="Y29" s="58" t="str">
        <x:f>IF(OR(N29="Not Run",O29="Not Run"),"Pending",IF(AND(OR(N29="Not Applicable",COUNTIFS('Test Runs'!$B$5:$B$2004,A29,'Test Runs'!$C$5:$C$2004,"Initial",'Test Runs'!$D$5:$D$2004,"iOS",'Test Runs'!$I$5:$I$2004,N29)&gt;0),OR(O29="Not Applicable",COUNTIFS('Test Runs'!$B$5:$B$2004,A29,'Test Runs'!$C$5:$C$2004,"Initial",'Test Runs'!$D$5:$D$2004,"Android",'Test Runs'!$I$5:$I$2004,O29)&gt;0)),"Reconciled","Mismatch"))</x:f>
        <x:v>Pending</x:v>
      </x:c>
      <x:c r="Z29" s="58" t="str">
        <x:f>IF(OR(T29="Not Run",U29="Not Run"),"Pending",IF(AND(OR(T29="Not Applicable",COUNTIFS('Test Runs'!$B$5:$B$2004,A29,'Test Runs'!$C$5:$C$2004,"Retest",'Test Runs'!$D$5:$D$2004,"iOS",'Test Runs'!$I$5:$I$2004,T29)&gt;0),OR(U29="Not Applicable",COUNTIFS('Test Runs'!$B$5:$B$2004,A29,'Test Runs'!$C$5:$C$2004,"Retest",'Test Runs'!$D$5:$D$2004,"Android",'Test Runs'!$I$5:$I$2004,U29)&gt;0)),"Reconciled","Mismatch"))</x:f>
        <x:v>Pending</x:v>
      </x:c>
    </x:row>
    <x:row r="30" ht="120" customHeight="1">
      <x:c r="A30" s="58" t="str">
        <x:v>ACC-026</x:v>
      </x:c>
      <x:c r="B30" s="58" t="str">
        <x:v>Onboarding body facts and units</x:v>
      </x:c>
      <x:c r="C30" s="58" t="str">
        <x:v>/onboarding age → current weight steps</x:v>
      </x:c>
      <x:c r="D30" s="58" t="str">
        <x:v>As a user, I want to provide only the body facts I know, use metric or imperial input, and receive clear bounds.</x:v>
      </x:c>
      <x:c r="E30" s="58" t="str">
        <x:v>Age 13-120, sex, height 50-260 cm and activity are optional. Finite current weight 20-1000 kg is required and uses the same bounds in the onboarding plan and completion endpoints as cloud sync. Height and weight toggles change display units without writing rounded display values back into canonical cm/kg. Weight inputs show unit-correct bounds and visible out-of-range feedback. Sex/activity use accessible radio groups, and server validation remains authoritative.</x:v>
      </x:c>
      <x:c r="F30" s="58" t="str">
        <x:v>Both</x:v>
      </x:c>
      <x:c r="G30" s="58" t="str">
        <x:v>Boundary ages 12/13/17/18/19/120/121, height 49/50/260/261 cm, current weight 19.99/20/1000/1000.01 kg and corresponding lb values, plus kg/lb and cm/ft-in round trips.</x:v>
      </x:c>
      <x:c r="H30" s="58" t="str">
        <x:v>Leave optional steps blank, exercise all boundaries and conversions, and verify canonical values by switching units back. Confirm current weight cannot be skipped, values below 20 kg block Next, 20 kg is accepted, and both plan and completion endpoints reject an invalid direct request without saving records.</x:v>
      </x:c>
      <x:c r="I30" s="58" t="str">
        <x:v>Repeat all boundaries, unit round trips and plan/completion validation on Android with decimal keyboard/locales. Confirm displayed kg/lb limits and feedback match canonical 20-1000 kg.</x:v>
      </x:c>
      <x:c r="J30" s="58" t="str">
        <x:v>/Users/mason/Sites/Buff/tests/Feature/OnboardingTest.php:143,161; body unit tests elsewhere in suite</x:v>
      </x:c>
      <x:c r="K30" s="58" t="str">
        <x:v>/Users/mason/Sites/Buff/resources/js/Pages/Onboarding.vue:134-215,223-238,395-472; /Users/mason/Sites/Buff/app/Models/BodyProfile.php:39-48; /Users/mason/Sites/Buff/app/Http/Controllers/OnboardingController.php:57-70</x:v>
      </x:c>
      <x:c r="L30" s="58" t="str">
        <x:v>Mapped</x:v>
      </x:c>
      <x:c r="M30" s="58" t="str">
        <x:v>Ready</x:v>
      </x:c>
      <x:c r="N30" s="58" t="str">
        <x:v>Not Run</x:v>
      </x:c>
      <x:c r="O30" s="58" t="str">
        <x:v>Failed</x:v>
      </x:c>
      <x:c r="P30" s="58" t="str">
        <x:v>Android: /Users/mason/.codex/visualizations/2026/09/01/01a05def-1c0d-76d1-abc6-07c63a443582/emulator-runs/initial/android-guest/ACC-026-current-weight-1001-no-error.png
/Users/mason/.codex/visualizations/2026/09/01/01a05def-1c0d-76d1-abc6-07c63a443582/emulator-runs/initial/android-guest/dom-observations-batch-014.json — Age 12/121 and height 49/261 correctly disabled progression; sex/activity radios exposed selected state; 80 kg round-tripped through pounds. Height unit toggling changed canonical centimetres and 1001 kg was silently invalid with no exposed maximum or error.</x:v>
      </x:c>
      <x:c r="Q30" s="58" t="str">
        <x:v>DEF-038
DEF-039
DEF-084</x:v>
      </x:c>
      <x:c r="R30" s="58" t="str">
        <x:v>In Progress</x:v>
      </x:c>
      <x:c r="S30" s="58" t="str"/>
      <x:c r="T30" s="58" t="str">
        <x:v>Blocked</x:v>
      </x:c>
      <x:c r="U30" s="58" t="str">
        <x:v>Not Run</x:v>
      </x:c>
      <x:c r="V30" s="58" t="str">
        <x:v>iOS: /Users/mason/.codex/visualizations/2026/09/01/01a05def-1c0d-76d1-abc6-07c63a443582/emulator-runs/retest/ios/ACC-026-age121-disabled.png
/Users/mason/.codex/visualizations/2026/09/01/01a05def-1c0d-76d1-abc6-07c63a443582/emulator-runs/retest/ios/ACC-026-height-roundtrip180.png
/Users/mason/.codex/visualizations/2026/09/01/01a05def-1c0d-76d1-abc6-07c63a443582/emulator-runs/retest/ios/ACC-026-weight-roundtrip75.png — Age 12 and 121 disabled Next; age 25 enabled it. Empty current weight disabled Next. Height 180 cm converted to 5 feet 10.9 inches and back to exactly 180 cm; weight 75 kg converted to 165.3 lb and back to exactly 75 kg. The saved profile uses metric units.
iOS: /Users/mason/.codex/visualizations/2026/09/06/01a07722-2d43-7910-aa74-f3a7d9489dc2/release-qa/DEF-084-native-exact-validation.json
/Users/mason/.codex/visualizations/2026/09/06/01a07722-2d43-7910-aa74-f3a7d9489dc2/release-qa/onboarding-ios-saved-restarted.png — Fresh onboarding on both platforms blocks19.9kg at supported0.1kg precision and accepts20kg. Native Android public plan POST rejects raw19.99 with422 and accepts20 with200. Existing conversion rounds UI19.99 to20 before submitting, so no invalid cloud record is created. iOS80kg fixture completed and survived restart. Existing Progress boundary native checks already passed; endpoint tests cover completion validation and legacy-data preservation.</x:v>
      </x:c>
      <x:c r="W30" s="58" t="str">
        <x:f>IF(AND(OR(N30="Passed",N30="Failed",N30="Not Applicable"),OR(O30="Passed",O30="Failed",O30="Not Applicable"),OR(N30="Passed",N30="Failed",O30="Passed",O30="Failed"),OR(T30="Passed",T30="Not Applicable"),OR(U30="Passed",U30="Not Applicable"),OR(T30="Passed",U30="Passed"),Y30="Reconciled",Z30="Reconciled",IF(Q30&lt;&gt;"",R30="Fixed",TRUE)),"Verified",IF(OR(T30="Failed",U30="Failed"),"Retest Failed",IF(OR(N30="Failed",O30="Failed",Q30&lt;&gt;""),"Defect Found",IF(AND(OR(N30="Passed",N30="Not Applicable"),OR(O30="Passed",O30="Not Applicable"),OR(N30="Passed",O30="Passed")),"Initial Pass","Not Complete"))))</x:f>
        <x:v>Defect Found</x:v>
      </x:c>
      <x:c r="X30" s="58" t="str">
        <x:v>Risk: BodyProfileEditor used later in settings gives cm input HTML min=1 while server requires 50, so browser affordance and canonical constraint are inconsistent there.</x:v>
      </x:c>
      <x:c r="Y30" s="58" t="str">
        <x:f>IF(OR(N30="Not Run",O30="Not Run"),"Pending",IF(AND(OR(N30="Not Applicable",COUNTIFS('Test Runs'!$B$5:$B$2004,A30,'Test Runs'!$C$5:$C$2004,"Initial",'Test Runs'!$D$5:$D$2004,"iOS",'Test Runs'!$I$5:$I$2004,N30)&gt;0),OR(O30="Not Applicable",COUNTIFS('Test Runs'!$B$5:$B$2004,A30,'Test Runs'!$C$5:$C$2004,"Initial",'Test Runs'!$D$5:$D$2004,"Android",'Test Runs'!$I$5:$I$2004,O30)&gt;0)),"Reconciled","Mismatch"))</x:f>
        <x:v>Pending</x:v>
      </x:c>
      <x:c r="Z30" s="58" t="str">
        <x:f>IF(OR(T30="Not Run",U30="Not Run"),"Pending",IF(AND(OR(T30="Not Applicable",COUNTIFS('Test Runs'!$B$5:$B$2004,A30,'Test Runs'!$C$5:$C$2004,"Retest",'Test Runs'!$D$5:$D$2004,"iOS",'Test Runs'!$I$5:$I$2004,T30)&gt;0),OR(U30="Not Applicable",COUNTIFS('Test Runs'!$B$5:$B$2004,A30,'Test Runs'!$C$5:$C$2004,"Retest",'Test Runs'!$D$5:$D$2004,"Android",'Test Runs'!$I$5:$I$2004,U30)&gt;0)),"Reconciled","Mismatch"))</x:f>
        <x:v>Pending</x:v>
      </x:c>
    </x:row>
    <x:row r="31" ht="120" customHeight="1">
      <x:c r="A31" s="58" t="str">
        <x:v>ACC-027</x:v>
      </x:c>
      <x:c r="B31" s="58" t="str">
        <x:v>Onboarding weight goal</x:v>
      </x:c>
      <x:c r="C31" s="58" t="str">
        <x:v>/onboarding goal → target weight/pace/body fat</x:v>
      </x:c>
      <x:c r="D31" s="58" t="str">
        <x:v>As an adult, I want lose/maintain/gain choices with directionally valid target and pace; as a teen, I want unsafe change inputs removed.</x:v>
      </x:c>
      <x:c r="E31" s="58" t="str">
        <x:v>Goal is required. For users outside ages 13-18, lose/gain adds a finite target weight within 20-1000kg that must be lower/higher than current weight, plus a required pace step with kg/converted-lb options. The server requires pace for recorded age above 18 and validates supplied pace at 0.05-1kg/week. Maintain skips target/pace. Ages 13-18 hide those steps and clear their values. Optional body-fat target is 1-80% and does not affect calories.</x:v>
      </x:c>
      <x:c r="F31" s="58" t="str">
        <x:v>Both</x:v>
      </x:c>
      <x:c r="G31" s="58" t="str">
        <x:v>Profiles with missing age and ages 13/17/18/19; lose/gain/maintain; blank/nonfinite/out-of-range/directionally invalid targets; min/max pace/body fat</x:v>
      </x:c>
      <x:c r="H31" s="58" t="str">
        <x:v>Exercise every goal and Back; switch age 19→18 mid-flow and verify hidden target/pace clear. Verify current/target bounds, target direction and kg/lb equivalents prevent invalid advancement; test pace/body-fat boundaries.</x:v>
      </x:c>
      <x:c r="I31" s="58" t="str">
        <x:v>Repeat Android with lb/metric modes.</x:v>
      </x:c>
      <x:c r="J31" s="58" t="str">
        <x:v>/Users/mason/Sites/Buff/tests/Feature/OnboardingTest.php:29,48,161</x:v>
      </x:c>
      <x:c r="K31" s="58" t="str">
        <x:v>/Users/mason/Sites/Buff/resources/js/Pages/Onboarding.vue:134-215,240-248,339-350,474-521; /Users/mason/Sites/Buff/app/Http/Controllers/OnboardingController.php:61-69,112-116</x:v>
      </x:c>
      <x:c r="L31" s="58" t="str">
        <x:v>Mapped</x:v>
      </x:c>
      <x:c r="M31" s="58" t="str">
        <x:v>Ready</x:v>
      </x:c>
      <x:c r="N31" s="58" t="str">
        <x:v>Not Run</x:v>
      </x:c>
      <x:c r="O31" s="58" t="str">
        <x:v>Failed</x:v>
      </x:c>
      <x:c r="P31" s="58" t="str">
        <x:v>Android: /Users/mason/.codex/visualizations/2026/09/01/01a05def-1c0d-76d1-abc6-07c63a443582/emulator-runs/initial/android-guest/ACC-027-target-zero-next-enabled.png
/Users/mason/.codex/visualizations/2026/09/01/01a05def-1c0d-76d1-abc6-07c63a443582/emulator-runs/initial/android-guest/ACC-029-teen-age17-maintenance-only.png — Adult lose exposed target and pace; age 17 removed both and cleared their values; maintain branching and body-fat bounds are covered by tests. A zero target incorrectly enabled Next and advanced to pace.</x:v>
      </x:c>
      <x:c r="Q31" s="58" t="str">
        <x:v>DEF-040</x:v>
      </x:c>
      <x:c r="R31" s="58" t="str">
        <x:v>In Progress</x:v>
      </x:c>
      <x:c r="S31" s="58" t="str"/>
      <x:c r="T31" s="58" t="str">
        <x:v>Not Run</x:v>
      </x:c>
      <x:c r="U31" s="58" t="str">
        <x:v>Not Run</x:v>
      </x:c>
      <x:c r="V31" s="58" t="str"/>
      <x:c r="W31" s="58" t="str">
        <x:f>IF(AND(OR(N31="Passed",N31="Failed",N31="Not Applicable"),OR(O31="Passed",O31="Failed",O31="Not Applicable"),OR(N31="Passed",N31="Failed",O31="Passed",O31="Failed"),OR(T31="Passed",T31="Not Applicable"),OR(U31="Passed",U31="Not Applicable"),OR(T31="Passed",U31="Passed"),Y31="Reconciled",Z31="Reconciled",IF(Q31&lt;&gt;"",R31="Fixed",TRUE)),"Verified",IF(OR(T31="Failed",U31="Failed"),"Retest Failed",IF(OR(N31="Failed",O31="Failed",Q31&lt;&gt;""),"Defect Found",IF(AND(OR(N31="Passed",N31="Not Applicable"),OR(O31="Passed",O31="Not Applicable"),OR(N31="Passed",O31="Passed")),"Initial Pass","Not Complete"))))</x:f>
        <x:v>Defect Found</x:v>
      </x:c>
      <x:c r="X31" s="58" t="str">
        <x:v>None evident in step branching.</x:v>
      </x:c>
      <x:c r="Y31" s="58" t="str">
        <x:f>IF(OR(N31="Not Run",O31="Not Run"),"Pending",IF(AND(OR(N31="Not Applicable",COUNTIFS('Test Runs'!$B$5:$B$2004,A31,'Test Runs'!$C$5:$C$2004,"Initial",'Test Runs'!$D$5:$D$2004,"iOS",'Test Runs'!$I$5:$I$2004,N31)&gt;0),OR(O31="Not Applicable",COUNTIFS('Test Runs'!$B$5:$B$2004,A31,'Test Runs'!$C$5:$C$2004,"Initial",'Test Runs'!$D$5:$D$2004,"Android",'Test Runs'!$I$5:$I$2004,O31)&gt;0)),"Reconciled","Mismatch"))</x:f>
        <x:v>Pending</x:v>
      </x:c>
      <x:c r="Z31" s="58" t="str">
        <x:f>IF(OR(T31="Not Run",U31="Not Run"),"Pending",IF(AND(OR(T31="Not Applicable",COUNTIFS('Test Runs'!$B$5:$B$2004,A31,'Test Runs'!$C$5:$C$2004,"Retest",'Test Runs'!$D$5:$D$2004,"iOS",'Test Runs'!$I$5:$I$2004,T31)&gt;0),OR(U31="Not Applicable",COUNTIFS('Test Runs'!$B$5:$B$2004,A31,'Test Runs'!$C$5:$C$2004,"Retest",'Test Runs'!$D$5:$D$2004,"Android",'Test Runs'!$I$5:$I$2004,U31)&gt;0)),"Reconciled","Mismatch"))</x:f>
        <x:v>Pending</x:v>
      </x:c>
    </x:row>
    <x:row r="32" ht="120" customHeight="1">
      <x:c r="A32" s="58" t="str">
        <x:v>ACC-028</x:v>
      </x:c>
      <x:c r="B32" s="58" t="str">
        <x:v>Adult plan recommendation</x:v>
      </x:c>
      <x:c r="C32" s="58" t="str">
        <x:v>POST /onboarding/plan from plan step</x:v>
      </x:c>
      <x:c r="D32" s="58" t="str">
        <x:v>As an adult with complete body data, I want a personalized calorie/macro starting estimate with bounded change rate.</x:v>
      </x:c>
      <x:c r="E32" s="58" t="str">
        <x:v>Plan requests require finite current weight 20-1000 kg before estimating calories. A complete profile older than 18 uses Mifflin-St Jeor maintenance with the activity multiplier, daily pace conversion, a maximum 20% maintenance adjustment, 50-kcal rounding and calculated macros. Age 18 uses the adolescent equation and maintenance-only output without lose/gain adjustment. Response includes maintenance, personalized flag, teen flag and the corresponding estimate/safety notice.</x:v>
      </x:c>
      <x:c r="F32" s="58" t="str">
        <x:v>Both</x:v>
      </x:c>
      <x:c r="G32" s="58" t="str">
        <x:v>Complete adult male/female fixtures at ages 18 and 19, every activity, extreme pace to hit the 20% cap, and current weight 19.99/20 kg boundary requests.</x:v>
      </x:c>
      <x:c r="H32" s="58" t="str">
        <x:v>Generate maintain/lose/gain plans and verify calories/macros/notice. Compare age 18 and 19, the 20% adjustment cap and 50-kcal rounding. Verify a 19.99 kg request produces current-weight validation rather than an estimate, while 20 kg passes this boundary.</x:v>
      </x:c>
      <x:c r="I32" s="58" t="str">
        <x:v>Repeat the same estimate, age, current-weight boundary and locale-rendering checks on Android.</x:v>
      </x:c>
      <x:c r="J32" s="58" t="str">
        <x:v>/Users/mason/Sites/Buff/tests/Feature/OnboardingTest.php:29</x:v>
      </x:c>
      <x:c r="K32" s="58" t="str">
        <x:v>/Users/mason/Sites/Buff/app/Services/EnergyEstimator.php:45-143; /Users/mason/Sites/Buff/app/Http/Controllers/OnboardingController.php:57-101; /Users/mason/Sites/Buff/app/Services/NutritionCalculator.php:10-39</x:v>
      </x:c>
      <x:c r="L32" s="58" t="str">
        <x:v>Mapped</x:v>
      </x:c>
      <x:c r="M32" s="58" t="str">
        <x:v>Ready</x:v>
      </x:c>
      <x:c r="N32" s="58" t="str">
        <x:v>Not Run</x:v>
      </x:c>
      <x:c r="O32" s="58" t="str">
        <x:v>Failed</x:v>
      </x:c>
      <x:c r="P32" s="58" t="str">
        <x:v>Android: /Users/mason/.codex/visualizations/2026/09/01/01a05def-1c0d-76d1-abc6-07c63a443582/emulator-runs/initial/android-guest/ACC-028-adult-age30-lose-plan.png
/Users/mason/.codex/visualizations/2026/09/01/01a05def-1c0d-76d1-abc6-07c63a443582/emulator-runs/initial/android-guest/ACC-028-age18-adolescent-equation-adult-loss.png — Age 30 produced maintenance 2750 and a capped/rounded 2200-kcal loss plan with 165/220/73.33 macros. Age 18 used adult goal controls but an adolescent 3600-kcal baseline, producing a 3050-kcal loss plan and the inconsistent boundary defect.</x:v>
      </x:c>
      <x:c r="Q32" s="58" t="str">
        <x:v>DEF-042
DEF-084</x:v>
      </x:c>
      <x:c r="R32" s="58" t="str">
        <x:v>Fixed</x:v>
      </x:c>
      <x:c r="S32" s="58" t="str"/>
      <x:c r="T32" s="58" t="str">
        <x:v>Blocked</x:v>
      </x:c>
      <x:c r="U32" s="58" t="str">
        <x:v>Not Run</x:v>
      </x:c>
      <x:c r="V32" s="58" t="str">
        <x:v>iOS: /Users/mason/.codex/visualizations/2026/09/01/01a05def-1c0d-76d1-abc6-07c63a443582/emulator-runs/retest/ios/ACC-028-maintenance-plan2100.png — Synthetic reference profile age 25, male equation, 180 cm, 75 kg, sedentary and maintain produced 2,100 kcal with starting-estimate notice and displayed 158 g protein, 210 g carbs, 70 g fat. Maintenance skipped target-weight and pace screens. Optional body-fat target was left blank.
iOS: /Users/mason/.codex/visualizations/2026/09/06/01a07722-2d43-7910-aa74-f3a7d9489dc2/release-qa/DEF-042-ios-age18-plan.png
/Users/mason/.codex/visualizations/2026/09/06/01a07722-2d43-7910-aa74-f3a7d9489dc2/release-qa/onboarding-ios-saved-restarted.png — Fresh account7: both native platforms at age18/male/180cm/80kg/moderate/Lose produced maintenance3600kcal with teen notice and no target/pace steps. iOS saved the plan and cold-restarted into Today with3600kcal/270P/360C/120F.</x:v>
      </x:c>
      <x:c r="W32" s="58" t="str">
        <x:f>IF(AND(OR(N32="Passed",N32="Failed",N32="Not Applicable"),OR(O32="Passed",O32="Failed",O32="Not Applicable"),OR(N32="Passed",N32="Failed",O32="Passed",O32="Failed"),OR(T32="Passed",T32="Not Applicable"),OR(U32="Passed",U32="Not Applicable"),OR(T32="Passed",U32="Passed"),Y32="Reconciled",Z32="Reconciled",IF(Q32&lt;&gt;"",R32="Fixed",TRUE)),"Verified",IF(OR(T32="Failed",U32="Failed"),"Retest Failed",IF(OR(N32="Failed",O32="Failed",Q32&lt;&gt;""),"Defect Found",IF(AND(OR(N32="Passed",N32="Not Applicable"),OR(O32="Passed",O32="Not Applicable"),OR(N32="Passed",O32="Passed")),"Initial Pass","Not Complete"))))</x:f>
        <x:v>Defect Found</x:v>
      </x:c>
      <x:c r="X32" s="58" t="str">
        <x:v>LIKELY LOGIC DEFECT/RISK: EnergyEstimator uses adolescent equations through age &lt;=18 but teen protections only for age &lt;18, so exactly age 18 gets an adolescent baseline plus adult loss/gain behavior.</x:v>
      </x:c>
      <x:c r="Y32" s="58" t="str">
        <x:f>IF(OR(N32="Not Run",O32="Not Run"),"Pending",IF(AND(OR(N32="Not Applicable",COUNTIFS('Test Runs'!$B$5:$B$2004,A32,'Test Runs'!$C$5:$C$2004,"Initial",'Test Runs'!$D$5:$D$2004,"iOS",'Test Runs'!$I$5:$I$2004,N32)&gt;0),OR(O32="Not Applicable",COUNTIFS('Test Runs'!$B$5:$B$2004,A32,'Test Runs'!$C$5:$C$2004,"Initial",'Test Runs'!$D$5:$D$2004,"Android",'Test Runs'!$I$5:$I$2004,O32)&gt;0)),"Reconciled","Mismatch"))</x:f>
        <x:v>Pending</x:v>
      </x:c>
      <x:c r="Z32" s="58" t="str">
        <x:f>IF(OR(T32="Not Run",U32="Not Run"),"Pending",IF(AND(OR(T32="Not Applicable",COUNTIFS('Test Runs'!$B$5:$B$2004,A32,'Test Runs'!$C$5:$C$2004,"Retest",'Test Runs'!$D$5:$D$2004,"iOS",'Test Runs'!$I$5:$I$2004,T32)&gt;0),OR(U32="Not Applicable",COUNTIFS('Test Runs'!$B$5:$B$2004,A32,'Test Runs'!$C$5:$C$2004,"Retest",'Test Runs'!$D$5:$D$2004,"Android",'Test Runs'!$I$5:$I$2004,U32)&gt;0)),"Reconciled","Mismatch"))</x:f>
        <x:v>Pending</x:v>
      </x:c>
    </x:row>
    <x:row r="33" ht="120" customHeight="1">
      <x:c r="A33" s="58" t="str">
        <x:v>ACC-029</x:v>
      </x:c>
      <x:c r="B33" s="58" t="str">
        <x:v>Teen plan safety</x:v>
      </x:c>
      <x:c r="C33" s="58" t="str">
        <x:v>/onboarding plan for ages 13-18</x:v>
      </x:c>
      <x:c r="D33" s="58" t="str">
        <x:v>As a 13–17-year-old user, I want Buff to recommend maintenance calories even if I select lose or gain.</x:v>
      </x:c>
      <x:c r="E33" s="58" t="str">
        <x:v>For ages 13-18 with a complete profile, plan always has zero adjustment, teen_maintenance_only=true, and a parent/guardian/qualified-professional notice. The UI still lets teens express lose/maintain/gain but explains maintenance and omits target/pace; server enforcement ensures maintenance output.</x:v>
      </x:c>
      <x:c r="F33" s="58" t="str">
        <x:v>Both</x:v>
      </x:c>
      <x:c r="G33" s="58" t="str">
        <x:v>Ages 13, 17 and 18, all goal choices, complete profile</x:v>
      </x:c>
      <x:c r="H33" s="58" t="str">
        <x:v>Select lose and gain at ages 13/17/18; verify no target/pace and identical maintenance recommendation with safety notice. Supply a valid pace in a test request and verify no deficit/surplus.</x:v>
      </x:c>
      <x:c r="I33" s="58" t="str">
        <x:v>Repeat Android.</x:v>
      </x:c>
      <x:c r="J33" s="58" t="str">
        <x:v>/Users/mason/Sites/Buff/tests/Feature/OnboardingTest.php:48</x:v>
      </x:c>
      <x:c r="K33" s="58" t="str">
        <x:v>/Users/mason/Sites/Buff/resources/js/Pages/Onboarding.vue:134-143,240-247,474-483; /Users/mason/Sites/Buff/app/Services/EnergyEstimator.php:54-77; /Users/mason/Sites/Buff/app/Http/Controllers/OnboardingController.php:93-101</x:v>
      </x:c>
      <x:c r="L33" s="58" t="str">
        <x:v>Mapped</x:v>
      </x:c>
      <x:c r="M33" s="58" t="str">
        <x:v>Ready</x:v>
      </x:c>
      <x:c r="N33" s="58" t="str">
        <x:v>Not Run</x:v>
      </x:c>
      <x:c r="O33" s="58" t="str">
        <x:v>Passed</x:v>
      </x:c>
      <x:c r="P33" s="58" t="str">
        <x:v>Android: /Users/mason/.codex/visualizations/2026/09/01/01a05def-1c0d-76d1-abc6-07c63a443582/emulator-runs/initial/android-guest/ACC-029-teen-age17-maintenance-only.png — At age 17 Lose weight skipped target and pace, returned the same 3600-kcal maintenance recommendation, and displayed the parent/guardian and qualified-professional notice.</x:v>
      </x:c>
      <x:c r="Q33" s="58" t="str"/>
      <x:c r="R33" s="58" t="str">
        <x:v>Not Needed</x:v>
      </x:c>
      <x:c r="S33" s="58" t="str"/>
      <x:c r="T33" s="58" t="str">
        <x:v>Not Run</x:v>
      </x:c>
      <x:c r="U33" s="58" t="str">
        <x:v>Not Run</x:v>
      </x:c>
      <x:c r="V33" s="58" t="str"/>
      <x:c r="W33" s="58" t="str">
        <x:f>IF(AND(OR(N33="Passed",N33="Failed",N33="Not Applicable"),OR(O33="Passed",O33="Failed",O33="Not Applicable"),OR(N33="Passed",N33="Failed",O33="Passed",O33="Failed"),OR(T33="Passed",T33="Not Applicable"),OR(U33="Passed",U33="Not Applicable"),OR(T33="Passed",U33="Passed"),Y33="Reconciled",Z33="Reconciled",IF(Q33&lt;&gt;"",R33="Fixed",TRUE)),"Verified",IF(OR(T33="Failed",U33="Failed"),"Retest Failed",IF(OR(N33="Failed",O33="Failed",Q33&lt;&gt;""),"Defect Found",IF(AND(OR(N33="Passed",N33="Not Applicable"),OR(O33="Passed",O33="Not Applicable"),OR(N33="Passed",O33="Passed")),"Initial Pass","Not Complete"))))</x:f>
        <x:v>Not Complete</x:v>
      </x:c>
      <x:c r="X33" s="58" t="str">
        <x:v>None evident for 13–17; see separate age-18 boundary risk.</x:v>
      </x:c>
      <x:c r="Y33" s="58" t="str">
        <x:f>IF(OR(N33="Not Run",O33="Not Run"),"Pending",IF(AND(OR(N33="Not Applicable",COUNTIFS('Test Runs'!$B$5:$B$2004,A33,'Test Runs'!$C$5:$C$2004,"Initial",'Test Runs'!$D$5:$D$2004,"iOS",'Test Runs'!$I$5:$I$2004,N33)&gt;0),OR(O33="Not Applicable",COUNTIFS('Test Runs'!$B$5:$B$2004,A33,'Test Runs'!$C$5:$C$2004,"Initial",'Test Runs'!$D$5:$D$2004,"Android",'Test Runs'!$I$5:$I$2004,O33)&gt;0)),"Reconciled","Mismatch"))</x:f>
        <x:v>Pending</x:v>
      </x:c>
      <x:c r="Z33" s="58" t="str">
        <x:f>IF(OR(T33="Not Run",U33="Not Run"),"Pending",IF(AND(OR(T33="Not Applicable",COUNTIFS('Test Runs'!$B$5:$B$2004,A33,'Test Runs'!$C$5:$C$2004,"Retest",'Test Runs'!$D$5:$D$2004,"iOS",'Test Runs'!$I$5:$I$2004,T33)&gt;0),OR(U33="Not Applicable",COUNTIFS('Test Runs'!$B$5:$B$2004,A33,'Test Runs'!$C$5:$C$2004,"Retest",'Test Runs'!$D$5:$D$2004,"Android",'Test Runs'!$I$5:$I$2004,U33)&gt;0)),"Reconciled","Mismatch"))</x:f>
        <x:v>Pending</x:v>
      </x:c>
    </x:row>
    <x:row r="34" ht="120" customHeight="1">
      <x:c r="A34" s="58" t="str">
        <x:v>ACC-030</x:v>
      </x:c>
      <x:c r="B34" s="58" t="str">
        <x:v>Onboarding estimate fallback</x:v>
      </x:c>
      <x:c r="C34" s="58" t="str">
        <x:v>Enter plan with incomplete data, airplane mode, or a local request failure</x:v>
      </x:c>
      <x:c r="D34" s="58" t="str">
        <x:v>As a user with incomplete data or a temporary plan-service failure, I want editable safe defaults instead of a blocked setup.</x:v>
      </x:c>
      <x:c r="E34" s="58" t="str">
        <x:v>If age, sex, height, or activity is missing, the embedded plan endpoint returns editable 2000/170/195/60 defaults, personalized=false, and an explanatory notice. Plan calculation runs inside the on-device Laravel runtime, so ordinary airplane mode still calculates locally. If that local request throws, the frontend keeps the currently valid editable targets, shows Buff could not refresh the estimate, and still permits completion subject to final validation.</x:v>
      </x:c>
      <x:c r="F34" s="58" t="str">
        <x:v>Both</x:v>
      </x:c>
      <x:c r="G34" s="58" t="str">
        <x:v>Incomplete age/sex/height/activity; complete offline profile; forced local 422/500 or interruption while the plan response is pending</x:v>
      </x:c>
      <x:c r="H34" s="58" t="str">
        <x:v>Reach plan with each optional profile field missing and verify the safe defaults/notice. Enable airplane mode with a complete profile and verify the personalized local estimate still loads. Separately force a local 422/500 or interrupt plan loading, then verify usable targets and explicit failure feedback.</x:v>
      </x:c>
      <x:c r="I34" s="58" t="str">
        <x:v>Repeat the incomplete-profile cases. With the WebView visible, enable airplane mode and verify the on-device personalized estimate still loads. Separately force a local 422/500 and cold-resume during plan loading, then verify usable targets and explicit failure feedback.</x:v>
      </x:c>
      <x:c r="J34" s="58" t="str">
        <x:v>/Users/mason/Sites/Buff/tests/Feature/OnboardingTest.php:63</x:v>
      </x:c>
      <x:c r="K34" s="58" t="str">
        <x:v>/Users/mason/Sites/Buff/app/Http/Controllers/OnboardingController.php:82-91; /Users/mason/Sites/Buff/resources/js/Pages/Onboarding.vue:250-276,524-559</x:v>
      </x:c>
      <x:c r="L34" s="58" t="str">
        <x:v>Mapped</x:v>
      </x:c>
      <x:c r="M34" s="58" t="str">
        <x:v>Ready</x:v>
      </x:c>
      <x:c r="N34" s="58" t="str">
        <x:v>Not Run</x:v>
      </x:c>
      <x:c r="O34" s="58" t="str">
        <x:v>Failed</x:v>
      </x:c>
      <x:c r="P34" s="58" t="str">
        <x:v>Android: /Users/mason/.codex/visualizations/2026/09/01/01a05def-1c0d-76d1-abc6-07c63a443582/emulator-runs/initial/android-guest/ACC-030-incomplete-profile-safe-defaults.png
/Users/mason/.codex/visualizations/2026/09/01/01a05def-1c0d-76d1-abc6-07c63a443582/emulator-runs/initial/android-guest/ACC-030-offline-local-personalized-plan.png
/Users/mason/.codex/visualizations/2026/09/01/01a05def-1c0d-76d1-abc6-07c63a443582/emulator-runs/initial/android-guest/dom-observations-batch-014.json — Missing age returned editable 2000/170/195/60 defaults and explanation; airplane mode still calculated the local personalized plan. The request-failure branch failed because cold-resume validation errors became a broken plan instead of safe defaults with feedback.</x:v>
      </x:c>
      <x:c r="Q34" s="58" t="str">
        <x:v>DEF-043</x:v>
      </x:c>
      <x:c r="R34" s="58" t="str">
        <x:v>Fixed</x:v>
      </x:c>
      <x:c r="S34" s="58" t="str"/>
      <x:c r="T34" s="58" t="str">
        <x:v>Not Run</x:v>
      </x:c>
      <x:c r="U34" s="58" t="str">
        <x:v>Blocked</x:v>
      </x:c>
      <x:c r="V34" s="58" t="str">
        <x:v>Android: /Users/mason/.codex/visualizations/2026/09/06/01a07722-2d43-7910-aa74-f3a7d9489dc2/release-qa/DEF-043-cold-request.json
/Users/mason/.codex/visualizations/2026/09/06/01a07722-2d43-7910-aa74-f3a7d9489dc2/release-qa/DEF-043-cold-request-fixed.json — Native transport reproduction: complete JSON estimate request atDOMContentLoaded before capture hook returned422 missing required fields. Generated script injected at document start made the identical request return200/calories2100/P157.5/C210/F70. No onboarding completion or account data mutation.
Android: /Users/mason/.codex/visualizations/2026/09/06/01a07722-2d43-7910-aa74-f3a7d9489dc2/release-qa/DEF-043-onboarding-cold-recovery.json — Exact cold plan=null recovery Passed: valid estimate restored automatically after process death.</x:v>
      </x:c>
      <x:c r="W34" s="58" t="str">
        <x:f>IF(AND(OR(N34="Passed",N34="Failed",N34="Not Applicable"),OR(O34="Passed",O34="Failed",O34="Not Applicable"),OR(N34="Passed",N34="Failed",O34="Passed",O34="Failed"),OR(T34="Passed",T34="Not Applicable"),OR(U34="Passed",U34="Not Applicable"),OR(T34="Passed",U34="Passed"),Y34="Reconciled",Z34="Reconciled",IF(Q34&lt;&gt;"",R34="Fixed",TRUE)),"Verified",IF(OR(T34="Failed",U34="Failed"),"Retest Failed",IF(OR(N34="Failed",O34="Failed",Q34&lt;&gt;""),"Defect Found",IF(AND(OR(N34="Passed",N34="Not Applicable"),OR(O34="Passed",O34="Not Applicable"),OR(N34="Passed",O34="Passed")),"Initial Pass","Not Complete"))))</x:f>
        <x:v>Defect Found</x:v>
      </x:c>
      <x:c r="X34" s="58" t="str">
        <x:v>Airplane mode is not itself a plan-service failure because the endpoint is local. Risk: all thrown responses share one generic catch message, and previously calculated targets remain unchanged; DEF-043 records the Android cold-resume failure that bypasses the intended fallback.</x:v>
      </x:c>
      <x:c r="Y34" s="58" t="str">
        <x:f>IF(OR(N34="Not Run",O34="Not Run"),"Pending",IF(AND(OR(N34="Not Applicable",COUNTIFS('Test Runs'!$B$5:$B$2004,A34,'Test Runs'!$C$5:$C$2004,"Initial",'Test Runs'!$D$5:$D$2004,"iOS",'Test Runs'!$I$5:$I$2004,N34)&gt;0),OR(O34="Not Applicable",COUNTIFS('Test Runs'!$B$5:$B$2004,A34,'Test Runs'!$C$5:$C$2004,"Initial",'Test Runs'!$D$5:$D$2004,"Android",'Test Runs'!$I$5:$I$2004,O34)&gt;0)),"Reconciled","Mismatch"))</x:f>
        <x:v>Pending</x:v>
      </x:c>
      <x:c r="Z34" s="58" t="str">
        <x:f>IF(OR(T34="Not Run",U34="Not Run"),"Pending",IF(AND(OR(T34="Not Applicable",COUNTIFS('Test Runs'!$B$5:$B$2004,A34,'Test Runs'!$C$5:$C$2004,"Retest",'Test Runs'!$D$5:$D$2004,"iOS",'Test Runs'!$I$5:$I$2004,T34)&gt;0),OR(U34="Not Applicable",COUNTIFS('Test Runs'!$B$5:$B$2004,A34,'Test Runs'!$C$5:$C$2004,"Retest",'Test Runs'!$D$5:$D$2004,"Android",'Test Runs'!$I$5:$I$2004,U34)&gt;0)),"Reconciled","Mismatch"))</x:f>
        <x:v>Pending</x:v>
      </x:c>
    </x:row>
    <x:row r="35" ht="120" customHeight="1">
      <x:c r="A35" s="58" t="str">
        <x:v>ACC-031</x:v>
      </x:c>
      <x:c r="B35" s="58" t="str">
        <x:v>Onboarding custom targets and completion</x:v>
      </x:c>
      <x:c r="C35" s="58" t="str">
        <x:v>/onboarding plan → Customize → Start Buff</x:v>
      </x:c>
      <x:c r="D35" s="58" t="str">
        <x:v>As a user, I want to customize a calorie/macro plan and atomically create the initial local profile.</x:v>
      </x:c>
      <x:c r="E35" s="58" t="str">
        <x:v>Plan customization requires calories 1-20000 and macro grams 0-1000, with 4/4/9 macro calories matching the calorie goal. Completion requires current weight 20-1000 kg. Its transaction first-creates DailyGoal, writes BodyProfile, AppPreference units/measurement unit and today's BodyMetric. Validation writes nothing and a transaction failure rolls back every write. Success shows Buff is ready and goes home.</x:v>
      </x:c>
      <x:c r="F35" s="58" t="str">
        <x:v>Both</x:v>
      </x:c>
      <x:c r="G35" s="58" t="str">
        <x:v>A valid custom split, macro mismatch, current weight 19.99/20 kg completion requests, other field boundaries and a controlled database-failure fixture.</x:v>
      </x:c>
      <x:c r="H35" s="58" t="str">
        <x:v>Edit each target and verify live validity and exact-match server error return to the plan editor. Reject completion at 19.99 kg without partial records, accept 20 kg, and inspect Home/Goals/Profile units/current weight. Force a transaction failure and confirm no partial onboarding.</x:v>
      </x:c>
      <x:c r="I35" s="58" t="str">
        <x:v>Repeat completion boundaries and atomicity on Android. Verify the keyboard does not obscure the footer and completion is single-submit.</x:v>
      </x:c>
      <x:c r="J35" s="58" t="str">
        <x:v>/Users/mason/Sites/Buff/tests/Feature/OnboardingTest.php:76,118,143</x:v>
      </x:c>
      <x:c r="K35" s="58" t="str">
        <x:v>/Users/mason/Sites/Buff/resources/js/Pages/Onboarding.vue:278-317,524-559; /Users/mason/Sites/Buff/app/Http/Controllers/OnboardingController.php:104-166; /Users/mason/Sites/Buff/database/migrations/2026_08_20_134546_create_body_profiles_table.php; /Users/mason/Sites/Buff/database/migrations/2026_05_26_102216_create_app_preferences_table.php</x:v>
      </x:c>
      <x:c r="L35" s="58" t="str">
        <x:v>Mapped</x:v>
      </x:c>
      <x:c r="M35" s="58" t="str">
        <x:v>Ready</x:v>
      </x:c>
      <x:c r="N35" s="58" t="str">
        <x:v>Not Run</x:v>
      </x:c>
      <x:c r="O35" s="58" t="str">
        <x:v>Failed</x:v>
      </x:c>
      <x:c r="P35" s="58" t="str">
        <x:v>Android: /Users/mason/.codex/visualizations/2026/09/01/01a05def-1c0d-76d1-abc6-07c63a443582/emulator-runs/initial/android-guest/ACC-031-custom-split-resets-to-fat-100.png
/Users/mason/.codex/visualizations/2026/09/01/01a05def-1c0d-76d1-abc6-07c63a443582/emulator-runs/initial/android-guest/ACC-031-onboarding-complete-home.png
/Users/mason/.codex/visualizations/2026/09/01/01a05def-1c0d-76d1-abc6-07c63a443582/emulator-runs/initial/android-guest/dom-observations-batch-014.json — Completion atomically created Home/Goals/Profile/Units/today's 80-kg Progress state and cleared the draft. The story failed because Custom silently reset targets to a valid fat-only plan and the custom wheels lacked usable semantics.</x:v>
      </x:c>
      <x:c r="Q35" s="58" t="str">
        <x:v>DEF-041
DEF-047
DEF-084</x:v>
      </x:c>
      <x:c r="R35" s="58" t="str">
        <x:v>In Progress</x:v>
      </x:c>
      <x:c r="S35" s="58" t="str"/>
      <x:c r="T35" s="58" t="str">
        <x:v>Blocked</x:v>
      </x:c>
      <x:c r="U35" s="58" t="str">
        <x:v>Blocked</x:v>
      </x:c>
      <x:c r="V35" s="58" t="str">
        <x:v>iOS: /Users/mason/.codex/visualizations/2026/09/01/01a05def-1c0d-76d1-abc6-07c63a443582/emulator-runs/retest/ios/ACC-031-onboarding-complete-today.png
/Users/mason/.codex/visualizations/2026/09/01/01a05def-1c0d-76d1-abc6-07c63a443582/emulator-runs/retest/ios/HLT-039-created-weight75.png — Customize displayed unchanged 2,100 kcal and balanced 30/40/30 percentages. Start Buff completed once, showed Buff is ready, and opened Today with the saved goals. Goals retained the same defaults; Progress showed the initial 75 kg measurement and 180 cm height. Read-only localStorage inspection using the source-defined buff:onboarding-draft: prefix found zero drafts and no buff:registration-name after completion.
Android: /Users/mason/.codex/visualizations/2026/09/06/01a07722-2d43-7910-aa74-f3a7d9489dc2/release-qa/DEF-041-onboarding-custom.json — First Custom opening in fresh onboarding retained30/40/30,270P/360C/120F. iOS onboarding variant remains unverified due nested-scroll automation limitation; Goals shared component already native-tested both platforms.
iOS: /Users/mason/.codex/visualizations/2026/09/06/01a07722-2d43-7910-aa74-f3a7d9489dc2/release-qa/DEF-041-ios-first-custom-final.png; /Users/mason/.codex/visualizations/2026/09/06/01a07722-2d43-7910-aa74-f3a7d9489dc2/release-qa/DEF-041-ios-saved-final.png — Focused DEF-041 check Passed: first Custom selection preserved 30/40/30, saved 2750 kcal plan and reached Today.</x:v>
      </x:c>
      <x:c r="W35" s="58" t="str">
        <x:f>IF(AND(OR(N35="Passed",N35="Failed",N35="Not Applicable"),OR(O35="Passed",O35="Failed",O35="Not Applicable"),OR(N35="Passed",N35="Failed",O35="Passed",O35="Failed"),OR(T35="Passed",T35="Not Applicable"),OR(U35="Passed",U35="Not Applicable"),OR(T35="Passed",U35="Passed"),Y35="Reconciled",Z35="Reconciled",IF(Q35&lt;&gt;"",R35="Fixed",TRUE)),"Verified",IF(OR(T35="Failed",U35="Failed"),"Retest Failed",IF(OR(N35="Failed",O35="Failed",Q35&lt;&gt;""),"Defect Found",IF(AND(OR(N35="Passed",N35="Not Applicable"),OR(O35="Passed",O35="Not Applicable"),OR(N35="Passed",O35="Passed")),"Initial Pass","Not Complete"))))</x:f>
        <x:v>Defect Found</x:v>
      </x:c>
      <x:c r="X35" s="58" t="str">
        <x:v>None evident; firstOrCreate intentionally prevents overwriting an already-created goal during duplicate submission.</x:v>
      </x:c>
      <x:c r="Y35" s="58" t="str">
        <x:f>IF(OR(N35="Not Run",O35="Not Run"),"Pending",IF(AND(OR(N35="Not Applicable",COUNTIFS('Test Runs'!$B$5:$B$2004,A35,'Test Runs'!$C$5:$C$2004,"Initial",'Test Runs'!$D$5:$D$2004,"iOS",'Test Runs'!$I$5:$I$2004,N35)&gt;0),OR(O35="Not Applicable",COUNTIFS('Test Runs'!$B$5:$B$2004,A35,'Test Runs'!$C$5:$C$2004,"Initial",'Test Runs'!$D$5:$D$2004,"Android",'Test Runs'!$I$5:$I$2004,O35)&gt;0)),"Reconciled","Mismatch"))</x:f>
        <x:v>Pending</x:v>
      </x:c>
      <x:c r="Z35" s="58" t="str">
        <x:f>IF(OR(T35="Not Run",U35="Not Run"),"Pending",IF(AND(OR(T35="Not Applicable",COUNTIFS('Test Runs'!$B$5:$B$2004,A35,'Test Runs'!$C$5:$C$2004,"Retest",'Test Runs'!$D$5:$D$2004,"iOS",'Test Runs'!$I$5:$I$2004,T35)&gt;0),OR(U35="Not Applicable",COUNTIFS('Test Runs'!$B$5:$B$2004,A35,'Test Runs'!$C$5:$C$2004,"Retest",'Test Runs'!$D$5:$D$2004,"Android",'Test Runs'!$I$5:$I$2004,U35)&gt;0)),"Reconciled","Mismatch"))</x:f>
        <x:v>Reconciled</x:v>
      </x:c>
    </x:row>
    <x:row r="36" ht="120" customHeight="1">
      <x:c r="A36" s="58" t="str">
        <x:v>ACC-032</x:v>
      </x:c>
      <x:c r="B36" s="58" t="str">
        <x:v>Settings hub and navigation</x:v>
      </x:c>
      <x:c r="C36" s="58" t="str">
        <x:v>/settings and any /settings/* page</x:v>
      </x:c>
      <x:c r="D36" s="58" t="str">
        <x:v>As a user, I want one settings hub showing current summaries and only relevant account/platform integrations.</x:v>
      </x:c>
      <x:c r="E36" s="58" t="str">
        <x:v>Hub groups account/sign-in, Buff+ status, appearance, reminder count, body profile, units, exercise eat-back, conditional ad privacy, and platform health/connected assistants. Active account exposes logout/delete; cached local-only state offers removal. Subpages use a 44px Back to settings control that replaces the subpage history entry; mobile bottom nav is hidden. Android Back likewise replaces with /settings.</x:v>
      </x:c>
      <x:c r="F36" s="58" t="str">
        <x:v>Both</x:v>
      </x:c>
      <x:c r="G36" s="58" t="str">
        <x:v>Signed-in account with varied preferences/reminders/subscription; iOS and Android runtime flags</x:v>
      </x:c>
      <x:c r="H36" s="58" t="str">
        <x:v>Verify every visible row/detail and conditional section; enter each subpage, use header Back, confirm bottom nav restoration, and verify subsequent Back does not reopen the exited subpage.</x:v>
      </x:c>
      <x:c r="I36" s="58" t="str">
        <x:v>Repeat; use physical Back from every subpage and confirm /settings rather than app exit.</x:v>
      </x:c>
      <x:c r="J36" s="58" t="str">
        <x:v>/Users/mason/Sites/Buff/tests/Feature/SettingsTest.php:13,113; /Users/mason/Sites/Buff/tests/appShell.test.ts:12-30</x:v>
      </x:c>
      <x:c r="K36" s="58" t="str">
        <x:v>/Users/mason/Sites/Buff/app/Http/Controllers/SettingsController.php:23-97; /Users/mason/Sites/Buff/resources/js/Pages/Settings.vue:165-267; /Users/mason/Sites/Buff/resources/js/Components/SettingsPageHeader.vue:5-26; /Users/mason/Sites/Buff/resources/js/Layouts/AppShell.vue:49-52,121-125,412-468</x:v>
      </x:c>
      <x:c r="L36" s="58" t="str">
        <x:v>Mapped</x:v>
      </x:c>
      <x:c r="M36" s="58" t="str">
        <x:v>Ready</x:v>
      </x:c>
      <x:c r="N36" s="58" t="str">
        <x:v>Not Run</x:v>
      </x:c>
      <x:c r="O36" s="58" t="str">
        <x:v>Failed</x:v>
      </x:c>
      <x:c r="P36" s="58" t="str">
        <x:v>Android: /Users/mason/.codex/visualizations/2026/09/01/01a05def-1c0d-76d1-abc6-07c63a443582/emulator-runs/initial/android/ACC-032-header-back-reopens-subpage.png — The hub exposed every signed-in Android row and the correct Health Connect branch. All ten subpages had the exact title, a 44x44 Back to settings control, no bottom nav, and physical Back returned to Settings with the nav restored. However, using the header Back then Android Back reopened the subpage.</x:v>
      </x:c>
      <x:c r="Q36" s="58" t="str">
        <x:v>DEF-017</x:v>
      </x:c>
      <x:c r="R36" s="58" t="str">
        <x:v>Fixed</x:v>
      </x:c>
      <x:c r="S36" s="58" t="str"/>
      <x:c r="T36" s="58" t="str">
        <x:v>Blocked</x:v>
      </x:c>
      <x:c r="U36" s="58" t="str">
        <x:v>Blocked</x:v>
      </x:c>
      <x:c r="V36" s="58" t="str">
        <x:v>iOS: /Users/mason/.codex/visualizations/2026/09/01/01a05def-1c0d-76d1-abc6-07c63a443582/emulator-runs/retest/ios/ACC-032-035-settings-observations.json — Opened Edit profile, Change password, Subscription, Appearance, Meal reminders, Body profile, Units and Exercise calories. All hid mobile bottom navigation and their header Back controls returned to the Settings hub, restoring the nav. Seven measured header links were44x44 and labelled Back to settings. Appearance header Back preserved history length9→9; hub theme detail tracked Dark and Light. Account, inactive subscription, reminder Off, metric units and Eat all back summaries matched current state.
iOS: /Users/mason/.codex/visualizations/2026/09/01/01a05def-1c0d-76d1-abc6-07c63a443582/emulator-runs/retest/ios/ACC-032-068-NUT-085-observations.json
/Users/mason/.codex/visualizations/2026/09/01/01a05def-1c0d-76d1-abc6-07c63a443582/emulator-runs/retest/ios/ACC-043-health-permission-needed-readonly.png
/Users/mason/.codex/visualizations/2026/09/01/01a05def-1c0d-76d1-abc6-07c63a443582/emulator-runs/retest/ios/ACC-066-assistant-empty-inventory.png — Additional lower-row coverage: Apple Health and Connected AI assistants open the expected pages with44×44 Back to settings links, no mobile nav, and header return restores hub/nav without increasing history (8→8 and9→9). Conditional Privacy entry is visible and opens native form. Log out/Delete account labels visible but not activated.
Android: /Users/mason/.codex/visualizations/2026/09/01/01a05def-1c0d-76d1-abc6-07c63a443582/emulator-runs/retest/android/ACC-032-before-header-back.json
/Users/mason/.codex/visualizations/2026/09/01/01a05def-1c0d-76d1-abc6-07c63a443582/emulator-runs/retest/android/ACC-032-after-header-back.json
/Users/mason/.codex/visualizations/2026/09/01/01a05def-1c0d-76d1-abc6-07c63a443582/emulator-runs/retest/android/ACC-032-physical-back-no-loop.json — Appearance opened with a labelled 44×44 Back to settings control and hidden bottom navigation. Header Back returned to Settings and restored navigation without increasing history length (14 → 14). The next physical Back remained on Settings and did not reopen Appearance. Theme remained System and no preference was changed.</x:v>
      </x:c>
      <x:c r="W36" s="58" t="str">
        <x:f>IF(AND(OR(N36="Passed",N36="Failed",N36="Not Applicable"),OR(O36="Passed",O36="Failed",O36="Not Applicable"),OR(N36="Passed",N36="Failed",O36="Passed",O36="Failed"),OR(T36="Passed",T36="Not Applicable"),OR(U36="Passed",U36="Not Applicable"),OR(T36="Passed",U36="Passed"),Y36="Reconciled",Z36="Reconciled",IF(Q36&lt;&gt;"",R36="Fixed",TRUE)),"Verified",IF(OR(T36="Failed",U36="Failed"),"Retest Failed",IF(OR(N36="Failed",O36="Failed",Q36&lt;&gt;""),"Defect Found",IF(AND(OR(N36="Passed",N36="Not Applicable"),OR(O36="Passed",O36="Not Applicable"),OR(N36="Passed",O36="Passed")),"Initial Pass","Not Complete"))))</x:f>
        <x:v>Defect Found</x:v>
      </x:c>
      <x:c r="X36" s="58" t="str">
        <x:v>Risk: signed-out/local-only branches in protected settings are mostly transitional and may not be reachable after a full-page redirect.</x:v>
      </x:c>
      <x:c r="Y36" s="58" t="str">
        <x:f>IF(OR(N36="Not Run",O36="Not Run"),"Pending",IF(AND(OR(N36="Not Applicable",COUNTIFS('Test Runs'!$B$5:$B$2004,A36,'Test Runs'!$C$5:$C$2004,"Initial",'Test Runs'!$D$5:$D$2004,"iOS",'Test Runs'!$I$5:$I$2004,N36)&gt;0),OR(O36="Not Applicable",COUNTIFS('Test Runs'!$B$5:$B$2004,A36,'Test Runs'!$C$5:$C$2004,"Initial",'Test Runs'!$D$5:$D$2004,"Android",'Test Runs'!$I$5:$I$2004,O36)&gt;0)),"Reconciled","Mismatch"))</x:f>
        <x:v>Pending</x:v>
      </x:c>
      <x:c r="Z36" s="58" t="str">
        <x:f>IF(OR(T36="Not Run",U36="Not Run"),"Pending",IF(AND(OR(T36="Not Applicable",COUNTIFS('Test Runs'!$B$5:$B$2004,A36,'Test Runs'!$C$5:$C$2004,"Retest",'Test Runs'!$D$5:$D$2004,"iOS",'Test Runs'!$I$5:$I$2004,T36)&gt;0),OR(U36="Not Applicable",COUNTIFS('Test Runs'!$B$5:$B$2004,A36,'Test Runs'!$C$5:$C$2004,"Retest",'Test Runs'!$D$5:$D$2004,"Android",'Test Runs'!$I$5:$I$2004,U36)&gt;0)),"Reconciled","Mismatch"))</x:f>
        <x:v>Reconciled</x:v>
      </x:c>
    </x:row>
    <x:row r="37" ht="120" customHeight="1">
      <x:c r="A37" s="58" t="str">
        <x:v>ACC-033</x:v>
      </x:c>
      <x:c r="B37" s="58" t="str">
        <x:v>Unit preferences</x:v>
      </x:c>
      <x:c r="C37" s="58" t="str">
        <x:v>/settings/units</x:v>
      </x:c>
      <x:c r="D37" s="58" t="str">
        <x:v>As a user, I want weight, height, and measurement display units saved immediately without losing rapid changes.</x:v>
      </x:c>
      <x:c r="E37" s="58" t="str">
        <x:v>kg/lb, cm/ft-in, and cm/in selectors autosave on change. useQueuedSave permits one request at a time, coalesces any number of intervening changes into one latest follow-up, and shows local Saving…, Saved, or Couldn’t save beside controls; controller validates all three and returns with no global toast. Synced preference defaults are kg/cm/cm. These endpoints execute locally: airplane mode does not itself fail a valid save. The selected values remain on device while their outbox entry awaits cloud sync.</x:v>
      </x:c>
      <x:c r="F37" s="58" t="str">
        <x:v>Both</x:v>
      </x:c>
      <x:c r="G37" s="58" t="str">
        <x:v>Existing metrics and a signed-in QA account; record original units. Use airplane mode for local-save/cloud-pending behavior. A deliberately delayed or failed on-device request is a separate fixture for queue/error handling; invalid unit values require a controlled request test.</x:v>
      </x:c>
      <x:c r="H37" s="58" t="str">
        <x:v>Change each unit slowly and rapidly; verify final selection survives navigation/reload, inline Saving/Saved and no global toast. In airplane mode, verify valid changes still save locally; after reconnect verify normal sync and restore the original units. For Couldn't save/field-error coverage, use an explicitly controlled local request failure, not loss of internet alone.</x:v>
      </x:c>
      <x:c r="I37" s="58" t="str">
        <x:v>Repeat on Android, separating offline local-save success from a controlled local request failure. Verify latest rapid selection persists, reconnect completes sync, and original kg/lb, height and measurement preferences are restored.</x:v>
      </x:c>
      <x:c r="J37" s="58" t="str">
        <x:v>/Users/mason/Sites/Buff/tests/Feature/SettingsTest.php:130,149; /Users/mason/Sites/Buff/tests/queuedSave.test.ts:5,27</x:v>
      </x:c>
      <x:c r="K37" s="58" t="str">
        <x:v>/Users/mason/Sites/Buff/resources/js/Pages/Settings/Units.vue:14-37,40-101; /Users/mason/Sites/Buff/resources/js/useQueuedSave.ts:11-47; /Users/mason/Sites/Buff/app/Http/Controllers/SettingsController.php:140-151; /Users/mason/Sites/Buff/app/Models/AppPreference.php:9-37; /Users/mason/Sites/Buff/.ai/rules/settings.md; /Users/mason/Sites/Buff/.ai/rules/controllers.md</x:v>
      </x:c>
      <x:c r="L37" s="58" t="str">
        <x:v>Mapped</x:v>
      </x:c>
      <x:c r="M37" s="58" t="str">
        <x:v>Ready</x:v>
      </x:c>
      <x:c r="N37" s="58" t="str">
        <x:v>Not Run</x:v>
      </x:c>
      <x:c r="O37" s="58" t="str">
        <x:v>Passed</x:v>
      </x:c>
      <x:c r="P37" s="58" t="str">
        <x:v>Android: /Users/mason/.codex/visualizations/2026/09/01/01a05def-1c0d-76d1-abc6-07c63a443582/emulator-runs/initial/android-guest/dom-observations-batch-015.json — Weight, height, and measurement selectors autosaved with local Saving/Saved states; rapid kg-to-lb-to-kg changes serialized correctly, offline saves remained local, and final kg/cm/cm persisted after automatic reconnect sync.</x:v>
      </x:c>
      <x:c r="Q37" s="58" t="str"/>
      <x:c r="R37" s="58" t="str">
        <x:v>Not Needed</x:v>
      </x:c>
      <x:c r="S37" s="58" t="str"/>
      <x:c r="T37" s="58" t="str">
        <x:v>Blocked</x:v>
      </x:c>
      <x:c r="U37" s="58" t="str">
        <x:v>Not Run</x:v>
      </x:c>
      <x:c r="V37" s="58" t="str">
        <x:v>iOS: /Users/mason/.codex/visualizations/2026/09/01/01a05def-1c0d-76d1-abc6-07c63a443582/emulator-runs/retest/ios/ACC-032-035-settings-observations.json — Units displayed Kilograms, Centimeters, Centimeters and a44px labelled Back to settings; header return restored hub/nav with kg,cm summary.</x:v>
      </x:c>
      <x:c r="W37" s="58" t="str">
        <x:f>IF(AND(OR(N37="Passed",N37="Failed",N37="Not Applicable"),OR(O37="Passed",O37="Failed",O37="Not Applicable"),OR(N37="Passed",N37="Failed",O37="Passed",O37="Failed"),OR(T37="Passed",T37="Not Applicable"),OR(U37="Passed",U37="Not Applicable"),OR(T37="Passed",U37="Passed"),Y37="Reconciled",Z37="Reconciled",IF(Q37&lt;&gt;"",R37="Fixed",TRUE)),"Verified",IF(OR(T37="Failed",U37="Failed"),"Retest Failed",IF(OR(N37="Failed",O37="Failed",Q37&lt;&gt;""),"Defect Found",IF(AND(OR(N37="Passed",N37="Not Applicable"),OR(O37="Passed",O37="Not Applicable"),OR(N37="Passed",O37="Passed")),"Initial Pass","Not Complete"))))</x:f>
        <x:v>Not Complete</x:v>
      </x:c>
      <x:c r="X37" s="58" t="str">
        <x:v>None evident; implementation matches queued-save project rule. Coverage clarification: the old airplane-mode error instruction was incorrect. SettingsController writes AppPreference locally; initial RUN-0119 already observed offline local saves and reconnect sync. Retest completion and controlled local-failure coverage remain separate.</x:v>
      </x:c>
      <x:c r="Y37" s="58" t="str">
        <x:f>IF(OR(N37="Not Run",O37="Not Run"),"Pending",IF(AND(OR(N37="Not Applicable",COUNTIFS('Test Runs'!$B$5:$B$2004,A37,'Test Runs'!$C$5:$C$2004,"Initial",'Test Runs'!$D$5:$D$2004,"iOS",'Test Runs'!$I$5:$I$2004,N37)&gt;0),OR(O37="Not Applicable",COUNTIFS('Test Runs'!$B$5:$B$2004,A37,'Test Runs'!$C$5:$C$2004,"Initial",'Test Runs'!$D$5:$D$2004,"Android",'Test Runs'!$I$5:$I$2004,O37)&gt;0)),"Reconciled","Mismatch"))</x:f>
        <x:v>Pending</x:v>
      </x:c>
      <x:c r="Z37" s="58" t="str">
        <x:f>IF(OR(T37="Not Run",U37="Not Run"),"Pending",IF(AND(OR(T37="Not Applicable",COUNTIFS('Test Runs'!$B$5:$B$2004,A37,'Test Runs'!$C$5:$C$2004,"Retest",'Test Runs'!$D$5:$D$2004,"iOS",'Test Runs'!$I$5:$I$2004,T37)&gt;0),OR(U37="Not Applicable",COUNTIFS('Test Runs'!$B$5:$B$2004,A37,'Test Runs'!$C$5:$C$2004,"Retest",'Test Runs'!$D$5:$D$2004,"Android",'Test Runs'!$I$5:$I$2004,U37)&gt;0)),"Reconciled","Mismatch"))</x:f>
        <x:v>Pending</x:v>
      </x:c>
    </x:row>
    <x:row r="38" ht="120" customHeight="1">
      <x:c r="A38" s="58" t="str">
        <x:v>ACC-034</x:v>
      </x:c>
      <x:c r="B38" s="58" t="str">
        <x:v>Appearance theme</x:v>
      </x:c>
      <x:c r="C38" s="58" t="str">
        <x:v>/settings/appearance</x:v>
      </x:c>
      <x:c r="D38" s="58" t="str">
        <x:v>As a user, I want System, Light, or Dark appearance applied immediately on this device.</x:v>
      </x:c>
      <x:c r="E38" s="58" t="str">
        <x:v>Appearance is device-local in buff.appearance. Invalid/missing value defaults to System; selection toggles document dark class immediately. System mode reacts to OS color-scheme changes, and app initialization applies preference before mount. Hub detail reads current local value; it is not server-synced.</x:v>
      </x:c>
      <x:c r="F38" s="58" t="str">
        <x:v>Both; device-local</x:v>
      </x:c>
      <x:c r="G38" s="58" t="str">
        <x:v>Each theme; OS light/dark switch; corrupt localStorage value</x:v>
      </x:c>
      <x:c r="H38" s="58" t="str">
        <x:v>Select each and relaunch; in System switch simulator appearance while app open; verify only System follows it and invalid storage falls back safely.</x:v>
      </x:c>
      <x:c r="I38" s="58" t="str">
        <x:v>Repeat with Android system dark theme and force-stop.</x:v>
      </x:c>
      <x:c r="J38" s="58" t="str">
        <x:v>/Users/mason/Sites/Buff/tests/appearance.test.ts:15-28</x:v>
      </x:c>
      <x:c r="K38" s="58" t="str">
        <x:v>/Users/mason/Sites/Buff/resources/js/Pages/Settings/Appearance.vue:16-27,34-86; /Users/mason/Sites/Buff/resources/js/appearance.ts:1-22,49-54; /Users/mason/Sites/Buff/resources/js/app.ts:8-16</x:v>
      </x:c>
      <x:c r="L38" s="58" t="str">
        <x:v>Mapped</x:v>
      </x:c>
      <x:c r="M38" s="58" t="str">
        <x:v>Ready</x:v>
      </x:c>
      <x:c r="N38" s="58" t="str">
        <x:v>Not Run</x:v>
      </x:c>
      <x:c r="O38" s="58" t="str">
        <x:v>Passed</x:v>
      </x:c>
      <x:c r="P38" s="58" t="str">
        <x:v>Android: /Users/mason/.codex/visualizations/2026/09/01/01a05def-1c0d-76d1-abc6-07c63a443582/emulator-runs/initial/android-guest/dom-observations-batch-015.json — Light, Dark, and System applied immediately with correct aria-pressed and persistence. System followed Android night-mode changes live, and Reduce motion toggled aria-checked/storage then restored off.</x:v>
      </x:c>
      <x:c r="Q38" s="58" t="str"/>
      <x:c r="R38" s="58" t="str">
        <x:v>Not Needed</x:v>
      </x:c>
      <x:c r="S38" s="58" t="str"/>
      <x:c r="T38" s="58" t="str">
        <x:v>Blocked</x:v>
      </x:c>
      <x:c r="U38" s="58" t="str">
        <x:v>Not Run</x:v>
      </x:c>
      <x:c r="V38" s="58" t="str">
        <x:v>iOS: /Users/mason/.codex/visualizations/2026/09/01/01a05def-1c0d-76d1-abc6-07c63a443582/emulator-runs/retest/ios/ACC-032-035-settings-observations.json
/Users/mason/.codex/visualizations/2026/09/01/01a05def-1c0d-76d1-abc6-07c63a443582/emulator-runs/retest/ios/ACC-034-035-dark-cold-launch.png
/Users/mason/.codex/visualizations/2026/09/01/01a05def-1c0d-76d1-abc6-07c63a443582/emulator-runs/retest/ios/ACC-034-light-cold-launch.png
/Users/mason/.codex/visualizations/2026/09/01/01a05def-1c0d-76d1-abc6-07c63a443582/emulator-runs/retest/ios/ACC-034-system-restored-cold-launch.png — System default initially matched the light OS. Selecting Dark immediately changed rendering and aria-pressed selection, persisted locally, updated the hub summary and survived process death. Light did the same and survived a second cold launch. System was restored and survived a third cold launch, matching the unchanged light OS.</x:v>
      </x:c>
      <x:c r="W38" s="58" t="str">
        <x:f>IF(AND(OR(N38="Passed",N38="Failed",N38="Not Applicable"),OR(O38="Passed",O38="Failed",O38="Not Applicable"),OR(N38="Passed",N38="Failed",O38="Passed",O38="Failed"),OR(T38="Passed",T38="Not Applicable"),OR(U38="Passed",U38="Not Applicable"),OR(T38="Passed",U38="Passed"),Y38="Reconciled",Z38="Reconciled",IF(Q38&lt;&gt;"",R38="Fixed",TRUE)),"Verified",IF(OR(T38="Failed",U38="Failed"),"Retest Failed",IF(OR(N38="Failed",O38="Failed",Q38&lt;&gt;""),"Defect Found",IF(AND(OR(N38="Passed",N38="Not Applicable"),OR(O38="Passed",O38="Not Applicable"),OR(N38="Passed",O38="Passed")),"Initial Pass","Not Complete"))))</x:f>
        <x:v>Not Complete</x:v>
      </x:c>
      <x:c r="X38" s="58" t="str">
        <x:v>None evident.</x:v>
      </x:c>
      <x:c r="Y38" s="58" t="str">
        <x:f>IF(OR(N38="Not Run",O38="Not Run"),"Pending",IF(AND(OR(N38="Not Applicable",COUNTIFS('Test Runs'!$B$5:$B$2004,A38,'Test Runs'!$C$5:$C$2004,"Initial",'Test Runs'!$D$5:$D$2004,"iOS",'Test Runs'!$I$5:$I$2004,N38)&gt;0),OR(O38="Not Applicable",COUNTIFS('Test Runs'!$B$5:$B$2004,A38,'Test Runs'!$C$5:$C$2004,"Initial",'Test Runs'!$D$5:$D$2004,"Android",'Test Runs'!$I$5:$I$2004,O38)&gt;0)),"Reconciled","Mismatch"))</x:f>
        <x:v>Pending</x:v>
      </x:c>
      <x:c r="Z38" s="58" t="str">
        <x:f>IF(OR(T38="Not Run",U38="Not Run"),"Pending",IF(AND(OR(T38="Not Applicable",COUNTIFS('Test Runs'!$B$5:$B$2004,A38,'Test Runs'!$C$5:$C$2004,"Retest",'Test Runs'!$D$5:$D$2004,"iOS",'Test Runs'!$I$5:$I$2004,T38)&gt;0),OR(U38="Not Applicable",COUNTIFS('Test Runs'!$B$5:$B$2004,A38,'Test Runs'!$C$5:$C$2004,"Retest",'Test Runs'!$D$5:$D$2004,"Android",'Test Runs'!$I$5:$I$2004,U38)&gt;0)),"Reconciled","Mismatch"))</x:f>
        <x:v>Pending</x:v>
      </x:c>
    </x:row>
    <x:row r="39" ht="120" customHeight="1">
      <x:c r="A39" s="58" t="str">
        <x:v>ACC-035</x:v>
      </x:c>
      <x:c r="B39" s="58" t="str">
        <x:v>Reduced motion</x:v>
      </x:c>
      <x:c r="C39" s="58" t="str">
        <x:v>/settings/appearance → Reduce motion</x:v>
      </x:c>
      <x:c r="D39" s="58" t="str">
        <x:v>As a motion-sensitive user, I want app animations limited by either my Buff choice or device accessibility setting.</x:v>
      </x:c>
      <x:c r="E39" s="58" t="str">
        <x:v>Reduce motion preference stores only true locally; effective reduction is Buff true OR OS prefers-reduced-motion. App toggles data-reduce-motion at launch and on system changes and reapplies it on AppShell focus/resume. Setup, sheets, offline banner, and other transitions include motion-reduce fallbacks; the device setting is respected even if Buff toggle is off.</x:v>
      </x:c>
      <x:c r="F39" s="58" t="str">
        <x:v>Both; device-local</x:v>
      </x:c>
      <x:c r="G39" s="58" t="str">
        <x:v>All four combinations of app toggle and OS reduce motion</x:v>
      </x:c>
      <x:c r="H39" s="58" t="str">
        <x:v>Test all app/OS toggle combinations, including changing OS Reduce Motion while Buff is backgrounded and returning. Traverse onboarding, settings, sheets and MCP approval; relaunch to confirm persistence.</x:v>
      </x:c>
      <x:c r="I39" s="58" t="str">
        <x:v>Repeat with Android Remove animations accessibility setting; inspect navigation/sheets.</x:v>
      </x:c>
      <x:c r="J39" s="58" t="str">
        <x:v>/Users/mason/Sites/Buff/tests/appearance.test.ts:9-13</x:v>
      </x:c>
      <x:c r="K39" s="58" t="str">
        <x:v>/Users/mason/Sites/Buff/resources/js/Pages/Settings/Appearance.vue:88-104; /Users/mason/Sites/Buff/resources/js/appearance.ts:24-58; representative /Users/mason/Sites/Buff/resources/js/Components/OfflineBanner.vue:34-40</x:v>
      </x:c>
      <x:c r="L39" s="58" t="str">
        <x:v>Mapped</x:v>
      </x:c>
      <x:c r="M39" s="58" t="str">
        <x:v>Ready</x:v>
      </x:c>
      <x:c r="N39" s="58" t="str">
        <x:v>Not Run</x:v>
      </x:c>
      <x:c r="O39" s="58" t="str">
        <x:v>Failed</x:v>
      </x:c>
      <x:c r="P39" s="58" t="str">
        <x:v>Android: /Users/mason/.codex/visualizations/2026/09/01/01a05def-1c0d-76d1-abc6-07c63a443582/emulator-runs/initial/android-guest/ACC-035-android-remove-animations-on.png
/Users/mason/.codex/visualizations/2026/09/01/01a05def-1c0d-76d1-abc6-07c63a443582/emulator-runs/initial/android-guest/ACC-035-buff-after-system-remove-animations-on.png
/Users/mason/.codex/visualizations/2026/09/01/01a05def-1c0d-76d1-abc6-07c63a443582/emulator-runs/initial/android-guest/dom-observations-batch-016.json — Buff's own Reduce motion switch persisted and worked, and a cold launch respected Android Remove animations. Enabling Remove animations while Buff was backgrounded and then resuming left the WebView preference and Buff's data-reduce-motion state false until the process was restarted.</x:v>
      </x:c>
      <x:c r="Q39" s="58" t="str">
        <x:v>DEF-054</x:v>
      </x:c>
      <x:c r="R39" s="58" t="str">
        <x:v>In Progress</x:v>
      </x:c>
      <x:c r="S39" s="58" t="str"/>
      <x:c r="T39" s="58" t="str">
        <x:v>Blocked</x:v>
      </x:c>
      <x:c r="U39" s="58" t="str">
        <x:v>Not Run</x:v>
      </x:c>
      <x:c r="V39" s="58" t="str">
        <x:v>iOS: /Users/mason/.codex/visualizations/2026/09/01/01a05def-1c0d-76d1-abc6-07c63a443582/emulator-runs/retest/ios/ACC-032-035-settings-observations.json
/Users/mason/.codex/visualizations/2026/09/01/01a05def-1c0d-76d1-abc6-07c63a443582/emulator-runs/retest/ios/ACC-034-035-dark-reduce-motion-on.png
/Users/mason/.codex/visualizations/2026/09/01/01a05def-1c0d-76d1-abc6-07c63a443582/emulator-runs/retest/ios/ACC-034-035-light-reduce-motion-off.png — With OS prefers-reduced-motion=false, turning Buff Reduce motion on set the accessible switch true, stored true and applied data-reduce-motion; all persisted after cold launch. Turning it off cleared local storage and the root attribute, and stayed off after subsequent cold launches. Original off preference restored.</x:v>
      </x:c>
      <x:c r="W39" s="58" t="str">
        <x:f>IF(AND(OR(N39="Passed",N39="Failed",N39="Not Applicable"),OR(O39="Passed",O39="Failed",O39="Not Applicable"),OR(N39="Passed",N39="Failed",O39="Passed",O39="Failed"),OR(T39="Passed",T39="Not Applicable"),OR(U39="Passed",U39="Not Applicable"),OR(T39="Passed",U39="Passed"),Y39="Reconciled",Z39="Reconciled",IF(Q39&lt;&gt;"",R39="Fixed",TRUE)),"Verified",IF(OR(T39="Failed",U39="Failed"),"Retest Failed",IF(OR(N39="Failed",O39="Failed",Q39&lt;&gt;""),"Defect Found",IF(AND(OR(N39="Passed",N39="Not Applicable"),OR(O39="Passed",O39="Not Applicable"),OR(N39="Passed",O39="Passed")),"Initial Pass","Not Complete"))))</x:f>
        <x:v>Defect Found</x:v>
      </x:c>
      <x:c r="X39" s="58" t="str">
        <x:v>Risk: OS media-query support inside each native WebView must be emulator-verified; automated coverage tests only pure decision logic.</x:v>
      </x:c>
      <x:c r="Y39" s="58" t="str">
        <x:f>IF(OR(N39="Not Run",O39="Not Run"),"Pending",IF(AND(OR(N39="Not Applicable",COUNTIFS('Test Runs'!$B$5:$B$2004,A39,'Test Runs'!$C$5:$C$2004,"Initial",'Test Runs'!$D$5:$D$2004,"iOS",'Test Runs'!$I$5:$I$2004,N39)&gt;0),OR(O39="Not Applicable",COUNTIFS('Test Runs'!$B$5:$B$2004,A39,'Test Runs'!$C$5:$C$2004,"Initial",'Test Runs'!$D$5:$D$2004,"Android",'Test Runs'!$I$5:$I$2004,O39)&gt;0)),"Reconciled","Mismatch"))</x:f>
        <x:v>Pending</x:v>
      </x:c>
      <x:c r="Z39" s="58" t="str">
        <x:f>IF(OR(T39="Not Run",U39="Not Run"),"Pending",IF(AND(OR(T39="Not Applicable",COUNTIFS('Test Runs'!$B$5:$B$2004,A39,'Test Runs'!$C$5:$C$2004,"Retest",'Test Runs'!$D$5:$D$2004,"iOS",'Test Runs'!$I$5:$I$2004,T39)&gt;0),OR(U39="Not Applicable",COUNTIFS('Test Runs'!$B$5:$B$2004,A39,'Test Runs'!$C$5:$C$2004,"Retest",'Test Runs'!$D$5:$D$2004,"Android",'Test Runs'!$I$5:$I$2004,U39)&gt;0)),"Reconciled","Mismatch"))</x:f>
        <x:v>Pending</x:v>
      </x:c>
    </x:row>
    <x:row r="40" ht="120" customHeight="1">
      <x:c r="A40" s="58" t="str">
        <x:v>ACC-036</x:v>
      </x:c>
      <x:c r="B40" s="58" t="str">
        <x:v>Body profile settings</x:v>
      </x:c>
      <x:c r="C40" s="58" t="str">
        <x:v>/settings/body-profile</x:v>
      </x:c>
      <x:c r="D40" s="58" t="str">
        <x:v>As a user, I want to edit/clear age, sex, height, and activity separately from weight/body-fat goals.</x:v>
      </x:c>
      <x:c r="E40" s="58" t="str">
        <x:v>Form loads canonical BodyProfile and preferred height display, converts ft/in to cm on explicit Save, and permits nullable fields. Sex and Activity each provide Not set to clear a previous choice. Metric height input bounds are 50-260cm; server requires every key present and validates height 50-260, age 13-120, sex male/female, and activity enum. Success shows Body profile saved; weight/body-fat targets are untouched and profile is independently syncable.</x:v>
      </x:c>
      <x:c r="F40" s="58" t="str">
        <x:v>Both</x:v>
      </x:c>
      <x:c r="G40" s="58" t="str">
        <x:v>Existing profile and body targets with original values recorded; metric and imperial display variants; clear-all and boundary invalid data. Airplane mode tests successful local save plus deferred cloud sync, not an automatic save failure.</x:v>
      </x:c>
      <x:c r="H40" s="58" t="str">
        <x:v>Edit every field in cm and ft/in, clear sex/activity through Not set and clear numeric optional fields, save/reopen, and verify Goals targets remain unchanged. Test invalid bounds without persisting them. In airplane mode, valid changes should save locally and remain after reopening; reconnect/sync, then restore the original profile. A genuine local request/write failure requires a separate controlled fixture.</x:v>
      </x:c>
      <x:c r="I40" s="58" t="str">
        <x:v>Repeat on Android with feet/inches conversion, nullable selectors and bounds. Separate offline local-save success from injected local failure, and restore the original profile/targets.</x:v>
      </x:c>
      <x:c r="J40" s="58" t="str">
        <x:v>/Users/mason/Sites/Buff/tests/Feature/SettingsTest.php:176,216,250</x:v>
      </x:c>
      <x:c r="K40" s="58" t="str">
        <x:v>/Users/mason/Sites/Buff/resources/js/Pages/Settings/BodyProfile.vue:10-35,38-64; /Users/mason/Sites/Buff/resources/js/Components/BodyProfileEditor.vue:12-46,49-108; /Users/mason/Sites/Buff/app/Http/Controllers/SettingsController.php:57-63,164-169; /Users/mason/Sites/Buff/app/Models/BodyProfile.php:39-61; /Users/mason/Sites/Buff/database/migrations/2026_08_20_134546_create_body_profiles_table.php</x:v>
      </x:c>
      <x:c r="L40" s="58" t="str">
        <x:v>Mapped</x:v>
      </x:c>
      <x:c r="M40" s="58" t="str">
        <x:v>Ready</x:v>
      </x:c>
      <x:c r="N40" s="58" t="str">
        <x:v>Not Run</x:v>
      </x:c>
      <x:c r="O40" s="58" t="str">
        <x:v>Failed</x:v>
      </x:c>
      <x:c r="P40" s="58" t="str">
        <x:v>Android: /Users/mason/.codex/visualizations/2026/09/01/01a05def-1c0d-76d1-abc6-07c63a443582/emulator-runs/initial/android-guest/ACC-036-body-height-client-server-min-mismatch.png
/Users/mason/.codex/visualizations/2026/09/01/01a05def-1c0d-76d1-abc6-07c63a443582/emulator-runs/initial/android-guest/ACC-036-optional-profile-fields-cannot-clear.png — The saved age/sex/height/activity appeared correctly and valid resave worked. The cm field exposed the wrong bounds, and set sex/activity values had no way to return to their supported nullable state.</x:v>
      </x:c>
      <x:c r="Q40" s="58" t="str">
        <x:v>DEF-044
DEF-045</x:v>
      </x:c>
      <x:c r="R40" s="58" t="str">
        <x:v>In Progress</x:v>
      </x:c>
      <x:c r="S40" s="58" t="str"/>
      <x:c r="T40" s="58" t="str">
        <x:v>Not Run</x:v>
      </x:c>
      <x:c r="U40" s="58" t="str">
        <x:v>Not Run</x:v>
      </x:c>
      <x:c r="V40" s="58" t="str"/>
      <x:c r="W40" s="58" t="str">
        <x:f>IF(AND(OR(N40="Passed",N40="Failed",N40="Not Applicable"),OR(O40="Passed",O40="Failed",O40="Not Applicable"),OR(N40="Passed",N40="Failed",O40="Passed",O40="Failed"),OR(T40="Passed",T40="Not Applicable"),OR(U40="Passed",U40="Not Applicable"),OR(T40="Passed",U40="Passed"),Y40="Reconciled",Z40="Reconciled",IF(Q40&lt;&gt;"",R40="Fixed",TRUE)),"Verified",IF(OR(T40="Failed",U40="Failed"),"Retest Failed",IF(OR(N40="Failed",O40="Failed",Q40&lt;&gt;""),"Defect Found",IF(AND(OR(N40="Passed",N40="Not Applicable"),OR(O40="Passed",O40="Not Applicable"),OR(N40="Passed",O40="Passed")),"Initial Pass","Not Complete"))))</x:f>
        <x:v>Defect Found</x:v>
      </x:c>
      <x:c r="X40" s="58" t="str">
        <x:v>Historical source finding: UX inconsistency: cm input advertises min=1 in BodyProfileEditor while server rejects below 50; validation works but input affordance is misleading. Current BodyProfileEditor now advertises 50–260 cm and provides Not set for sex/activity. The old finding must not be treated as a still-present source defect or as proof of emulator retest success. Offline saves are local; internet loss alone is not the save-error fixture.</x:v>
      </x:c>
      <x:c r="Y40" s="58" t="str">
        <x:f>IF(OR(N40="Not Run",O40="Not Run"),"Pending",IF(AND(OR(N40="Not Applicable",COUNTIFS('Test Runs'!$B$5:$B$2004,A40,'Test Runs'!$C$5:$C$2004,"Initial",'Test Runs'!$D$5:$D$2004,"iOS",'Test Runs'!$I$5:$I$2004,N40)&gt;0),OR(O40="Not Applicable",COUNTIFS('Test Runs'!$B$5:$B$2004,A40,'Test Runs'!$C$5:$C$2004,"Initial",'Test Runs'!$D$5:$D$2004,"Android",'Test Runs'!$I$5:$I$2004,O40)&gt;0)),"Reconciled","Mismatch"))</x:f>
        <x:v>Pending</x:v>
      </x:c>
      <x:c r="Z40" s="58" t="str">
        <x:f>IF(OR(T40="Not Run",U40="Not Run"),"Pending",IF(AND(OR(T40="Not Applicable",COUNTIFS('Test Runs'!$B$5:$B$2004,A40,'Test Runs'!$C$5:$C$2004,"Retest",'Test Runs'!$D$5:$D$2004,"iOS",'Test Runs'!$I$5:$I$2004,T40)&gt;0),OR(U40="Not Applicable",COUNTIFS('Test Runs'!$B$5:$B$2004,A40,'Test Runs'!$C$5:$C$2004,"Retest",'Test Runs'!$D$5:$D$2004,"Android",'Test Runs'!$I$5:$I$2004,U40)&gt;0)),"Reconciled","Mismatch"))</x:f>
        <x:v>Pending</x:v>
      </x:c>
    </x:row>
    <x:row r="41" ht="120" customHeight="1">
      <x:c r="A41" s="58" t="str">
        <x:v>ACC-037</x:v>
      </x:c>
      <x:c r="B41" s="58" t="str">
        <x:v>Exercise calorie eat-back</x:v>
      </x:c>
      <x:c r="C41" s="58" t="str">
        <x:v>/settings/exercise</x:v>
      </x:c>
      <x:c r="D41" s="58" t="str">
        <x:v>As a user, I want all, half, or none of workout calories applied to food targets and macros, saved immediately.</x:v>
      </x:c>
      <x:c r="E41" s="58" t="str">
        <x:v>Three explanatory choices form a labelled radiogroup with checked semantics and autosave through the latest-change queue with local Saving/Saved/error and no toast. Controller allows only all/half/none; AppPreference normalizes malformed values to all. NutritionCalculator adds 100%, rounded 50%, or 0% of burned calories to effective calorie target and proportionally recalculates macros; workout burn still remains displayed. A valid preference change saves locally in airplane mode; only cloud propagation waits for connectivity.</x:v>
      </x:c>
      <x:c r="F41" s="58" t="str">
        <x:v>Both</x:v>
      </x:c>
      <x:c r="G41" s="58" t="str">
        <x:v>Signed-in QA account, daily goal and a known odd-calorie workout (for example 501 kcal), with original eat-back setting recorded. A manual workout is sufficient; Health Connect import is a separate integration scenario. Use a controlled local request delay/failure for queue/error coverage.</x:v>
      </x:c>
      <x:c r="H41" s="58" t="str">
        <x:v>Select all/half/none and verify Today/Weekly effective calorie and macro targets. For 501 kcal burnt, additions are 501/251/0 while displayed burn stays 501. Rapid-change during a deliberately delayed local request, reopen and verify latest value. Test airplane-mode local-save success separately from a controlled local request failure, then restore the original setting.</x:v>
      </x:c>
      <x:c r="I41" s="58" t="str">
        <x:v>Repeat using the same known manual-workout fixture so Health Connect permissions do not block this preference story. Verify radio checked state, inline status, latest rapid choice, offline local persistence and reconnect sync. Imported-workout integration remains an additional health scenario.</x:v>
      </x:c>
      <x:c r="J41" s="58" t="str">
        <x:v>/Users/mason/Sites/Buff/tests/Feature/SettingsTest.php:157,170; /Users/mason/Sites/Buff/tests/Feature/WeeklySummaryTest.php:155,264; /Users/mason/Sites/Buff/tests/queuedSave.test.ts</x:v>
      </x:c>
      <x:c r="K41" s="58" t="str">
        <x:v>/Users/mason/Sites/Buff/resources/js/Pages/Settings/Exercise.vue:19-35,38-81; /Users/mason/Sites/Buff/app/Http/Controllers/SettingsController.php:153-162; /Users/mason/Sites/Buff/app/Models/AppPreference.php:15,72-75; /Users/mason/Sites/Buff/app/Services/NutritionCalculator.php:41-63; /Users/mason/Sites/Buff/.ai/rules/settings.md</x:v>
      </x:c>
      <x:c r="L41" s="58" t="str">
        <x:v>Mapped</x:v>
      </x:c>
      <x:c r="M41" s="58" t="str">
        <x:v>Ready</x:v>
      </x:c>
      <x:c r="N41" s="58" t="str">
        <x:v>Not Run</x:v>
      </x:c>
      <x:c r="O41" s="58" t="str">
        <x:v>Passed</x:v>
      </x:c>
      <x:c r="P41" s="58" t="str">
        <x:v>Android: /Users/mason/.codex/visualizations/2026/09/01/01a05def-1c0d-76d1-abc6-07c63a443582/emulator-runs/initial/android/HLT-045-all-eat-back-restored.png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 — All three explanatory options autosaved without toast, surfaced Saving/Saved, latest rapid choice won, and exact 301/151/0 eat-back effects persisted in Today calorie and macro targets.</x:v>
      </x:c>
      <x:c r="Q41" s="58" t="str">
        <x:v>DEF-026</x:v>
      </x:c>
      <x:c r="R41" s="58" t="str">
        <x:v>In Progress</x:v>
      </x:c>
      <x:c r="S41" s="58" t="str"/>
      <x:c r="T41" s="58" t="str">
        <x:v>Not Run</x:v>
      </x:c>
      <x:c r="U41" s="58" t="str">
        <x:v>Not Run</x:v>
      </x:c>
      <x:c r="V41" s="58" t="str"/>
      <x:c r="W41" s="58" t="str">
        <x:f>IF(AND(OR(N41="Passed",N41="Failed",N41="Not Applicable"),OR(O41="Passed",O41="Failed",O41="Not Applicable"),OR(N41="Passed",N41="Failed",O41="Passed",O41="Failed"),OR(T41="Passed",T41="Not Applicable"),OR(U41="Passed",U41="Not Applicable"),OR(T41="Passed",U41="Passed"),Y41="Reconciled",Z41="Reconciled",IF(Q41&lt;&gt;"",R41="Fixed",TRUE)),"Verified",IF(OR(T41="Failed",U41="Failed"),"Retest Failed",IF(OR(N41="Failed",O41="Failed",Q41&lt;&gt;""),"Defect Found",IF(AND(OR(N41="Passed",N41="Not Applicable"),OR(O41="Passed",O41="Not Applicable"),OR(N41="Passed",O41="Passed")),"Initial Pass","Not Complete"))))</x:f>
        <x:v>Defect Found</x:v>
      </x:c>
      <x:c r="X41" s="58" t="str">
        <x:v>None evident; half uses integer rounding, which should be included in expected numeric assertions. The former offline-error wording was misleading because updateEatBack writes local AppPreference. Initial RUN-0058 already covered the odd-calorie arithmetic and rapid autosave path; post-fix and failure-fixture coverage must remain explicit.</x:v>
      </x:c>
      <x:c r="Y41" s="58" t="str">
        <x:f>IF(OR(N41="Not Run",O41="Not Run"),"Pending",IF(AND(OR(N41="Not Applicable",COUNTIFS('Test Runs'!$B$5:$B$2004,A41,'Test Runs'!$C$5:$C$2004,"Initial",'Test Runs'!$D$5:$D$2004,"iOS",'Test Runs'!$I$5:$I$2004,N41)&gt;0),OR(O41="Not Applicable",COUNTIFS('Test Runs'!$B$5:$B$2004,A41,'Test Runs'!$C$5:$C$2004,"Initial",'Test Runs'!$D$5:$D$2004,"Android",'Test Runs'!$I$5:$I$2004,O41)&gt;0)),"Reconciled","Mismatch"))</x:f>
        <x:v>Pending</x:v>
      </x:c>
      <x:c r="Z41" s="58" t="str">
        <x:f>IF(OR(T41="Not Run",U41="Not Run"),"Pending",IF(AND(OR(T41="Not Applicable",COUNTIFS('Test Runs'!$B$5:$B$2004,A41,'Test Runs'!$C$5:$C$2004,"Retest",'Test Runs'!$D$5:$D$2004,"iOS",'Test Runs'!$I$5:$I$2004,T41)&gt;0),OR(U41="Not Applicable",COUNTIFS('Test Runs'!$B$5:$B$2004,A41,'Test Runs'!$C$5:$C$2004,"Retest",'Test Runs'!$D$5:$D$2004,"Android",'Test Runs'!$I$5:$I$2004,U41)&gt;0)),"Reconciled","Mismatch"))</x:f>
        <x:v>Pending</x:v>
      </x:c>
    </x:row>
    <x:row r="42" ht="730.7999877929688" hidden="0" customHeight="1">
      <x:c r="A42" s="58" t="str">
        <x:v>ACC-038</x:v>
      </x:c>
      <x:c r="B42" s="58" t="str">
        <x:v>Meal reminder editing</x:v>
      </x:c>
      <x:c r="C42" s="58" t="str">
        <x:v>/settings/reminders</x:v>
      </x:c>
      <x:c r="D42" s="58" t="str">
        <x:v>As a user, I want breakfast, lunch, and dinner reminder times/toggles to autosave reliably.</x:v>
      </x:c>
      <x:c r="E42" s="58" t="str">
        <x:v>Defaults are off at 08:00/12:00/18:00. Any time/toggle change sends the full three-meal payload through latest-change queue; server requires booleans and HH:mm for every meal, schedules natively before committing DB, keeps prior DB settings if bridge returns error, and shows Saving then the inline permission/saved status or Couldn’t save with field/reminders errors. Imported malformed values normalize per meal to defaults.</x:v>
      </x:c>
      <x:c r="F42" s="58" t="str">
        <x:v>Both</x:v>
      </x:c>
      <x:c r="G42" s="58" t="str">
        <x:v>All reminders off/on; invalid 24:00 payload; mocked bridge error/unsupported; rapid changes</x:v>
      </x:c>
      <x:c r="H42" s="58" t="str">
        <x:v>Enable and edit all three rapidly; confirm prompt/status, persistence, correct summary count, no global toast; force bridge error and verify previous values remain.</x:v>
      </x:c>
      <x:c r="I42" s="58" t="str">
        <x:v>Repeat Android, including notification-channel disabled and rapid changes.</x:v>
      </x:c>
      <x:c r="J42" s="58" t="str">
        <x:v>/Users/mason/Sites/Buff/tests/Feature/SettingsTest.php:261,289,308,323; /Users/mason/Sites/Buff/tests/Unit/MealReminderBridgeTest.php</x:v>
      </x:c>
      <x:c r="K42" s="58" t="str">
        <x:v>/Users/mason/Sites/Buff/resources/js/Pages/Settings/Reminders.vue:16-42,45-99; /Users/mason/Sites/Buff/app/Http/Controllers/SettingsController.php:171-199; /Users/mason/Sites/Buff/app/Models/AppPreference.php:17-21,51-70; /Users/mason/Sites/Buff/app/Services/MealReminderBridge.php:12-44; /Users/mason/Sites/Buff/.ai/rules/settings.md; /Users/mason/Sites/Buff/.ai/rules/controllers.md</x:v>
      </x:c>
      <x:c r="L42" s="58" t="str">
        <x:v>Mapped</x:v>
      </x:c>
      <x:c r="M42" s="58" t="str">
        <x:v>Ready</x:v>
      </x:c>
      <x:c r="N42" s="58" t="str">
        <x:v>Not Run</x:v>
      </x:c>
      <x:c r="O42" s="58" t="str">
        <x:v>Passed</x:v>
      </x:c>
      <x:c r="P42" s="58" t="str">
        <x:v>Android: /Users/mason/.codex/visualizations/2026/09/01/01a05def-1c0d-76d1-abc6-07c63a443582/emulator-runs/initial/android-guest/ACC-038-040-breakfast-enabled-1128.png
/Users/mason/.codex/visualizations/2026/09/01/01a05def-1c0d-76d1-abc6-07c63a443582/emulator-runs/initial/android-guest/ACC-038-settings-summary-3-on.png
/Users/mason/.codex/visualizations/2026/09/01/01a05def-1c0d-76d1-abc6-07c63a443582/emulator-runs/initial/android-guest/dom-observations-batch-017.json — The page loaded with breakfast, lunch, and dinner off at 08:00, 12:00, and 18:00. Rapid edits exposed Saving/Saved feedback, all three enabled values persisted after reload, Settings summarized 3 on, and AlarmManager contained exactly three non-duplicate meal alarms.</x:v>
      </x:c>
      <x:c r="Q42" s="58" t="str"/>
      <x:c r="R42" s="58" t="str">
        <x:v>Not Needed</x:v>
      </x:c>
      <x:c r="S42" s="58" t="str"/>
      <x:c r="T42" s="58" t="str">
        <x:v>Blocked</x:v>
      </x:c>
      <x:c r="U42" s="58" t="str">
        <x:v>Blocked</x:v>
      </x:c>
      <x:c r="V42" s="58" t="str">
        <x:v>Android: /Users/mason/.codex/visualizations/2026/09/01/01a05def-1c0d-76d1-abc6-07c63a443582/emulator-runs/retest/android/DEF-092-b16-reminders.json
/Users/mason/.codex/visualizations/2026/09/01/01a05def-1c0d-76d1-abc6-07c63a443582/emulator-runs/retest/android/DEF-092-b16-reminders.png
/Users/mason/.codex/visualizations/2026/09/01/01a05def-1c0d-76d1-abc6-07c63a443582/emulator-runs/retest/android/DEF-092-b16-reminder-picker.png
/Users/mason/.codex/visualizations/2026/09/01/01a05def-1c0d-76d1-abc6-07c63a443582/emulator-runs/retest/android/DEF-092-b16-reminders-after-cancel.json — 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
iOS: /Users/mason/.codex/visualizations/2026/09/01/01a05def-1c0d-76d1-abc6-07c63a443582/emulator-runs/retest/ios/DEF-092-b16-postfix-observations.json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 — 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W42" s="58" t="str">
        <x:f>IF(AND(OR(N42="Passed",N42="Failed",N42="Not Applicable"),OR(O42="Passed",O42="Failed",O42="Not Applicable"),OR(N42="Passed",N42="Failed",O42="Passed",O42="Failed"),OR(T42="Passed",T42="Not Applicable"),OR(U42="Passed",U42="Not Applicable"),OR(T42="Passed",U42="Passed"),Y42="Reconciled",Z42="Reconciled",IF(Q42&lt;&gt;"",R42="Fixed",TRUE)),"Verified",IF(OR(T42="Failed",U42="Failed"),"Retest Failed",IF(OR(N42="Failed",O42="Failed",Q42&lt;&gt;""),"Defect Found",IF(AND(OR(N42="Passed",N42="Not Applicable"),OR(O42="Passed",O42="Not Applicable"),OR(N42="Passed",O42="Passed")),"Initial Pass","Not Complete"))))</x:f>
        <x:v>Not Complete</x:v>
      </x:c>
      <x:c r="X42" s="58" t="str">
        <x:v>Risk: bridge status unsupported is treated as success/default Saved, so a missing/unregistered native plugin can persist enabled reminders while no notification is scheduled.</x:v>
      </x:c>
      <x:c r="Y42" s="58" t="str">
        <x:f>IF(OR(N42="Not Run",O42="Not Run"),"Pending",IF(AND(OR(N42="Not Applicable",COUNTIFS('Test Runs'!$B$5:$B$2004,A42,'Test Runs'!$C$5:$C$2004,"Initial",'Test Runs'!$D$5:$D$2004,"iOS",'Test Runs'!$I$5:$I$2004,N42)&gt;0),OR(O42="Not Applicable",COUNTIFS('Test Runs'!$B$5:$B$2004,A42,'Test Runs'!$C$5:$C$2004,"Initial",'Test Runs'!$D$5:$D$2004,"Android",'Test Runs'!$I$5:$I$2004,O42)&gt;0)),"Reconciled","Mismatch"))</x:f>
        <x:v>Pending</x:v>
      </x:c>
      <x:c r="Z42" s="58" t="str">
        <x:f>IF(OR(T42="Not Run",U42="Not Run"),"Pending",IF(AND(OR(T42="Not Applicable",COUNTIFS('Test Runs'!$B$5:$B$2004,A42,'Test Runs'!$C$5:$C$2004,"Retest",'Test Runs'!$D$5:$D$2004,"iOS",'Test Runs'!$I$5:$I$2004,T42)&gt;0),OR(U42="Not Applicable",COUNTIFS('Test Runs'!$B$5:$B$2004,A42,'Test Runs'!$C$5:$C$2004,"Retest",'Test Runs'!$D$5:$D$2004,"Android",'Test Runs'!$I$5:$I$2004,U42)&gt;0)),"Reconciled","Mismatch"))</x:f>
        <x:v>Reconciled</x:v>
      </x:c>
    </x:row>
    <x:row r="43" ht="120" customHeight="1">
      <x:c r="A43" s="58" t="str">
        <x:v>ACC-039</x:v>
      </x:c>
      <x:c r="B43" s="58" t="str">
        <x:v>Meal reminder permission feedback</x:v>
      </x:c>
      <x:c r="C43" s="58" t="str">
        <x:v>Enable first reminder in /settings/reminders</x:v>
      </x:c>
      <x:c r="D43" s="58" t="str">
        <x:v>As a user enabling reminders, I want the OS permission flow and disabled-notification state explained without losing my schedule.</x:v>
      </x:c>
      <x:c r="E43" s="58" t="str">
        <x:v>First enabled schedule with undetermined permission returns permission_requested and prompts; denial/disabled app or channel returns notifications_disabled, while zero enabled returns disabled and granted returns scheduled. Settings are saved for all non-error statuses and inline text says allow notifications or notifications are off. Android records that it requested once; iOS requests asynchronously then schedules if granted.</x:v>
      </x:c>
      <x:c r="F43" s="58" t="str">
        <x:v>Both, platform-specific permission APIs</x:v>
      </x:c>
      <x:c r="G43" s="58" t="str">
        <x:v>Fresh notification permission; denied; OS channel off; granted; all disabled</x:v>
      </x:c>
      <x:c r="H43" s="58" t="str">
        <x:v>Reset notification authorization, enable and allow/deny in separate runs; verify inline status and pending notification schedule; disable in iOS Settings and resave.</x:v>
      </x:c>
      <x:c r="I43" s="58" t="str">
        <x:v>Reset app permission, allow/deny; disable Meal reminders channel; resave and verify inline status and schedule retention.</x:v>
      </x:c>
      <x:c r="J43" s="58" t="str">
        <x:v>/Users/mason/Sites/Buff/tests/Feature/SettingsTest.php:261; /Users/mason/Sites/Buff/tests/Unit/MealReminderWorkerTest.php; native plugin contract coverage</x:v>
      </x:c>
      <x:c r="K43" s="58" t="str">
        <x:v>/Users/mason/Sites/Buff/app/Http/Controllers/SettingsController.php:182-198; /Users/mason/Sites/Buff/native-plugins/background-tasks/resources/android/src/com/buff/backgroundtasks/BackgroundTaskFunctions.kt:134-188; /Users/mason/Sites/Buff/native-plugins/background-tasks/resources/ios/Sources/BackgroundTaskFunctions.swift:8-41</x:v>
      </x:c>
      <x:c r="L43" s="58" t="str">
        <x:v>Mapped</x:v>
      </x:c>
      <x:c r="M43" s="58" t="str">
        <x:v>Ready</x:v>
      </x:c>
      <x:c r="N43" s="58" t="str">
        <x:v>Not Run</x:v>
      </x:c>
      <x:c r="O43" s="58" t="str">
        <x:v>Passed</x:v>
      </x:c>
      <x:c r="P43" s="58" t="str">
        <x:v>Android: /Users/mason/.codex/visualizations/2026/09/01/01a05def-1c0d-76d1-abc6-07c63a443582/emulator-runs/initial/android-guest/ACC-039-notification-permission-prompt.png
/Users/mason/.codex/visualizations/2026/09/01/01a05def-1c0d-76d1-abc6-07c63a443582/emulator-runs/initial/android-guest/ACC-040-breakfast-reminder-delivered.png
/Users/mason/.codex/visualizations/2026/09/01/01a05def-1c0d-76d1-abc6-07c63a443582/emulator-runs/initial/android-guest/dom-observations-batch-017.json — First enable showed the Android notification prompt and allow-notifications inline status. Denial retained the schedule and the next save reported notifications off. Directly granting POST_NOTIFICATIONS produced the saved state and a real notification; disabling the Meal reminders channel reported notifications off without losing the schedule, and re-enabling restored normal saved/delivery behavior.</x:v>
      </x:c>
      <x:c r="Q43" s="58" t="str"/>
      <x:c r="R43" s="58" t="str">
        <x:v>Not Needed</x:v>
      </x:c>
      <x:c r="S43" s="58" t="str"/>
      <x:c r="T43" s="58" t="str">
        <x:v>Not Run</x:v>
      </x:c>
      <x:c r="U43" s="58" t="str">
        <x:v>Not Run</x:v>
      </x:c>
      <x:c r="V43" s="58" t="str"/>
      <x:c r="W43" s="58" t="str">
        <x:f>IF(AND(OR(N43="Passed",N43="Failed",N43="Not Applicable"),OR(O43="Passed",O43="Failed",O43="Not Applicable"),OR(N43="Passed",N43="Failed",O43="Passed",O43="Failed"),OR(T43="Passed",T43="Not Applicable"),OR(U43="Passed",U43="Not Applicable"),OR(T43="Passed",U43="Passed"),Y43="Reconciled",Z43="Reconciled",IF(Q43&lt;&gt;"",R43="Fixed",TRUE)),"Verified",IF(OR(T43="Failed",U43="Failed"),"Retest Failed",IF(OR(N43="Failed",O43="Failed",Q43&lt;&gt;""),"Defect Found",IF(AND(OR(N43="Passed",N43="Not Applicable"),OR(O43="Passed",O43="Not Applicable"),OR(N43="Passed",O43="Passed")),"Initial Pass","Not Complete"))))</x:f>
        <x:v>Not Complete</x:v>
      </x:c>
      <x:c r="X43" s="58" t="str">
        <x:v>Risk: after denying once, UI does not provide a direct Open Settings action; it only reports notifications are off.</x:v>
      </x:c>
      <x:c r="Y43" s="58" t="str">
        <x:f>IF(OR(N43="Not Run",O43="Not Run"),"Pending",IF(AND(OR(N43="Not Applicable",COUNTIFS('Test Runs'!$B$5:$B$2004,A43,'Test Runs'!$C$5:$C$2004,"Initial",'Test Runs'!$D$5:$D$2004,"iOS",'Test Runs'!$I$5:$I$2004,N43)&gt;0),OR(O43="Not Applicable",COUNTIFS('Test Runs'!$B$5:$B$2004,A43,'Test Runs'!$C$5:$C$2004,"Initial",'Test Runs'!$D$5:$D$2004,"Android",'Test Runs'!$I$5:$I$2004,O43)&gt;0)),"Reconciled","Mismatch"))</x:f>
        <x:v>Pending</x:v>
      </x:c>
      <x:c r="Z43" s="58" t="str">
        <x:f>IF(OR(T43="Not Run",U43="Not Run"),"Pending",IF(AND(OR(T43="Not Applicable",COUNTIFS('Test Runs'!$B$5:$B$2004,A43,'Test Runs'!$C$5:$C$2004,"Retest",'Test Runs'!$D$5:$D$2004,"iOS",'Test Runs'!$I$5:$I$2004,T43)&gt;0),OR(U43="Not Applicable",COUNTIFS('Test Runs'!$B$5:$B$2004,A43,'Test Runs'!$C$5:$C$2004,"Retest",'Test Runs'!$D$5:$D$2004,"Android",'Test Runs'!$I$5:$I$2004,U43)&gt;0)),"Reconciled","Mismatch"))</x:f>
        <x:v>Pending</x:v>
      </x:c>
    </x:row>
    <x:row r="44" ht="120" customHeight="1">
      <x:c r="A44" s="58" t="str">
        <x:v>ACC-040</x:v>
      </x:c>
      <x:c r="B44" s="58" t="str">
        <x:v>Android meal reminder delivery</x:v>
      </x:c>
      <x:c r="C44" s="58" t="str">
        <x:v>Android OS alarm/notification from saved reminder</x:v>
      </x:c>
      <x:c r="D44" s="58" t="str">
        <x:v>As an Android user, I want reminders delivered near the chosen time, restored after reboot, and suppressed when that meal is already logged.</x:v>
      </x:c>
      <x:c r="E44" s="58" t="str">
        <x:v>Each enabled reminder uses AlarmManager.setAndAllowWhileIdle for the next local occurrence; receiver enqueues an expedited unique WorkManager job. Worker validates the saved schedule and checks local Laravel for an exact due/logged result marker. It notifies only when due/unlogged, retries failed/missing/invalid checks without treating them as success, and schedules the next day after a completed check or disabled notification delivery. BOOT_COMPLETED/one-time migration restores alarms. Tap opens /add?mode=food&amp;meal=MEAL.</x:v>
      </x:c>
      <x:c r="F44" s="58" t="str">
        <x:v>Android only</x:v>
      </x:c>
      <x:c r="G44" s="58" t="str">
        <x:v>Notification granted; reminders one minute ahead; meal logged/unlogged today; doze; reboot</x:v>
      </x:c>
      <x:c r="H44" s="58" t="str">
        <x:v>N/A—covered by iOS-specific row.</x:v>
      </x:c>
      <x:c r="I44" s="58" t="str">
        <x:v>Schedule one minute ahead unlogged and verify notification/deep link; repeat after logging and expect silence. Exercise Doze/idle, change/disable, reboot and stale alarms. Force failed/missing check result, verify retry rather than silently scheduling tomorrow, then recover.</x:v>
      </x:c>
      <x:c r="J44" s="58" t="str">
        <x:v>/Users/mason/Sites/Buff/tests/Feature/SettingsTest.php:337; /Users/mason/Sites/Buff/tests/Unit/MealReminderWorkerTest.php; /Users/mason/Sites/Buff/tests/Feature/NativePluginHooksTest.php</x:v>
      </x:c>
      <x:c r="K44" s="58" t="str">
        <x:v>/Users/mason/Sites/Buff/native-plugins/background-tasks/resources/android/src/com/buff/backgroundtasks/BackgroundTaskFunctions.kt:389-480,483-574,652-682; /Users/mason/Sites/Buff/native-plugins/background-tasks/nativephp.json:26-48; /Users/mason/Sites/Buff/.ai/rules/background-tasks.md</x:v>
      </x:c>
      <x:c r="L44" s="58" t="str">
        <x:v>Mapped</x:v>
      </x:c>
      <x:c r="M44" s="58" t="str">
        <x:v>Ready</x:v>
      </x:c>
      <x:c r="N44" s="58" t="str">
        <x:v>Not Applicable</x:v>
      </x:c>
      <x:c r="O44" s="58" t="str">
        <x:v>Failed</x:v>
      </x:c>
      <x:c r="P44" s="58" t="str">
        <x:v>Android: /Users/mason/.codex/visualizations/2026/09/01/01a05def-1c0d-76d1-abc6-07c63a443582/emulator-runs/initial/android-guest/ACC-038-040-breakfast-enabled-1128.png
/Users/mason/.codex/visualizations/2026/09/01/01a05def-1c0d-76d1-abc6-07c63a443582/emulator-runs/initial/android-guest/ACC-040-breakfast-reminder-delivered.png
/Users/mason/.codex/visualizations/2026/09/01/01a05def-1c0d-76d1-abc6-07c63a443582/emulator-runs/initial/android-guest/dom-observations-batch-017.json — Normal unlogged delivery produced notification ID 4101 with the expected Breakfast reminder title/body, and tapping opened /add?mode=food&amp;meal=breakfast with Breakfast selected. A same-day breakfast fixture suppressed delivery and was deleted, and reboot restored the current alarm. Under forced deep idle, however, the 11:38 alarm fired and four local meal checks returned no result; after three retries the fourth work attempt succeeded silently, emitted no notification, and moved the alarm to 2026-09-03 11:38.</x:v>
      </x:c>
      <x:c r="Q44" s="58" t="str">
        <x:v>DEF-055</x:v>
      </x:c>
      <x:c r="R44" s="58" t="str">
        <x:v>Fixed</x:v>
      </x:c>
      <x:c r="S44" s="58" t="str"/>
      <x:c r="T44" s="58" t="str">
        <x:v>Not Applicable</x:v>
      </x:c>
      <x:c r="U44" s="58" t="str">
        <x:v>Blocked</x:v>
      </x:c>
      <x:c r="V44" s="58" t="str">
        <x:v>Android: /Users/mason/.codex/visualizations/2026/09/06/01a07722-2d43-7910-aa74-f3a7d9489dc2/release-qa/DEF-055-doze-worker.log
/Users/mason/.codex/visualizations/2026/09/06/01a07722-2d43-7910-aa74-f3a7d9489dc2/release-qa/DEF-055-doze-notification.txt
/Users/mason/.codex/visualizations/2026/09/06/01a07722-2d43-7910-aa74-f3a7d9489dc2/release-qa/DEF-055-doze-state.txt
/Users/mason/.codex/visualizations/2026/09/06/01a07722-2d43-7910-aa74-f3a7d9489dc2/release-qa/DEF-055-original-reminders.json — Native breakfast alarm scheduled19:18 fired19:19:14 during forced deep idle. MealReminderWorker completed SUCCESS at19:19:15 and notification said Time to log your breakfast in Buff while mForceIdle=true/mState=IDLE. Result-file fix resolves the original empty-check Doze failure. Repeated injected failure remains source-tested, not injected on device. Restored all three original disabled reminder settings/times, removed forced idle and reset battery simulation.</x:v>
      </x:c>
      <x:c r="W44" s="58" t="str">
        <x:f>IF(AND(OR(N44="Passed",N44="Failed",N44="Not Applicable"),OR(O44="Passed",O44="Failed",O44="Not Applicable"),OR(N44="Passed",N44="Failed",O44="Passed",O44="Failed"),OR(T44="Passed",T44="Not Applicable"),OR(U44="Passed",U44="Not Applicable"),OR(T44="Passed",U44="Passed"),Y44="Reconciled",Z44="Reconciled",IF(Q44&lt;&gt;"",R44="Fixed",TRUE)),"Verified",IF(OR(T44="Failed",U44="Failed"),"Retest Failed",IF(OR(N44="Failed",O44="Failed",Q44&lt;&gt;""),"Defect Found",IF(AND(OR(N44="Passed",N44="Not Applicable"),OR(O44="Passed",O44="Not Applicable"),OR(N44="Passed",O44="Passed")),"Initial Pass","Not Complete"))))</x:f>
        <x:v>Defect Found</x:v>
      </x:c>
      <x:c r="X44" s="58" t="str">
        <x:v>Emulator risk: setAndAllowWhileIdle is inexact and delivery may be delayed by OS power policy; test with tolerance, not exact seconds.</x:v>
      </x:c>
      <x:c r="Y44" s="58" t="str">
        <x:f>IF(OR(N44="Not Run",O44="Not Run"),"Pending",IF(AND(OR(N44="Not Applicable",COUNTIFS('Test Runs'!$B$5:$B$2004,A44,'Test Runs'!$C$5:$C$2004,"Initial",'Test Runs'!$D$5:$D$2004,"iOS",'Test Runs'!$I$5:$I$2004,N44)&gt;0),OR(O44="Not Applicable",COUNTIFS('Test Runs'!$B$5:$B$2004,A44,'Test Runs'!$C$5:$C$2004,"Initial",'Test Runs'!$D$5:$D$2004,"Android",'Test Runs'!$I$5:$I$2004,O44)&gt;0)),"Reconciled","Mismatch"))</x:f>
        <x:v>Reconciled</x:v>
      </x:c>
      <x:c r="Z44" s="58" t="str">
        <x:f>IF(OR(T44="Not Run",U44="Not Run"),"Pending",IF(AND(OR(T44="Not Applicable",COUNTIFS('Test Runs'!$B$5:$B$2004,A44,'Test Runs'!$C$5:$C$2004,"Retest",'Test Runs'!$D$5:$D$2004,"iOS",'Test Runs'!$I$5:$I$2004,T44)&gt;0),OR(U44="Not Applicable",COUNTIFS('Test Runs'!$B$5:$B$2004,A44,'Test Runs'!$C$5:$C$2004,"Retest",'Test Runs'!$D$5:$D$2004,"Android",'Test Runs'!$I$5:$I$2004,U44)&gt;0)),"Reconciled","Mismatch"))</x:f>
        <x:v>Reconciled</x:v>
      </x:c>
    </x:row>
    <x:row r="45" ht="120" customHeight="1">
      <x:c r="A45" s="58" t="str">
        <x:v>ACC-041</x:v>
      </x:c>
      <x:c r="B45" s="58" t="str">
        <x:v>iOS meal reminder delivery</x:v>
      </x:c>
      <x:c r="C45" s="58" t="str">
        <x:v>Scheduled iOS local notification</x:v>
      </x:c>
      <x:c r="D45" s="58" t="str">
        <x:v>As an iOS user, I want daily local reminders at chosen times and taps to open the correct meal logger.</x:v>
      </x:c>
      <x:c r="E45" s="58" t="str">
        <x:v>iOS removes/replaces three stable notification IDs and creates repeating UNCalendarNotification triggers with title/body and /add?mode=food&amp;meal=MEAL userInfo. Foreground presentation includes banner/list/sound; tap routes through DeepLinkRouter. Unlike Android, delivery cannot query Laravel and currently fires even if that meal was already logged.</x:v>
      </x:c>
      <x:c r="F45" s="58" t="str">
        <x:v>iOS only</x:v>
      </x:c>
      <x:c r="G45" s="58" t="str">
        <x:v>Notification granted; reminder one minute ahead; logged and unlogged meal</x:v>
      </x:c>
      <x:c r="H45" s="58" t="str">
        <x:v>Schedule and verify foreground/background delivery and deep link; repeat after meal already logged and document that notification still fires; change/disable and inspect pending requests.</x:v>
      </x:c>
      <x:c r="I45" s="58" t="str">
        <x:v>N/A—covered by Android-specific row.</x:v>
      </x:c>
      <x:c r="J45" s="58" t="str">
        <x:v>Native bridge tests cover registration/contract; no end-to-end iOS notification-delivery test located</x:v>
      </x:c>
      <x:c r="K45" s="58" t="str">
        <x:v>/Users/mason/Sites/Buff/native-plugins/background-tasks/resources/ios/Sources/BackgroundTaskFunctions.swift:67-98,179-302; especially :270-287 schedule/ponytail note</x:v>
      </x:c>
      <x:c r="L45" s="58" t="str">
        <x:v>Mapped</x:v>
      </x:c>
      <x:c r="M45" s="58" t="str">
        <x:v>Ready</x:v>
      </x:c>
      <x:c r="N45" s="58" t="str">
        <x:v>Not Run</x:v>
      </x:c>
      <x:c r="O45" s="58" t="str">
        <x:v>Not Applicable</x:v>
      </x:c>
      <x:c r="P45" s="58" t="str"/>
      <x:c r="Q45" s="58" t="str"/>
      <x:c r="R45" s="58" t="str">
        <x:v>Not Needed</x:v>
      </x:c>
      <x:c r="S45" s="58" t="str"/>
      <x:c r="T45" s="58" t="str">
        <x:v>Not Run</x:v>
      </x:c>
      <x:c r="U45" s="58" t="str">
        <x:v>Not Applicable</x:v>
      </x:c>
      <x:c r="V45" s="58" t="str"/>
      <x:c r="W45" s="58" t="str">
        <x:f>IF(AND(OR(N45="Passed",N45="Failed",N45="Not Applicable"),OR(O45="Passed",O45="Failed",O45="Not Applicable"),OR(N45="Passed",N45="Failed",O45="Passed",O45="Failed"),OR(T45="Passed",T45="Not Applicable"),OR(U45="Passed",U45="Not Applicable"),OR(T45="Passed",U45="Passed"),Y45="Reconciled",Z45="Reconciled",IF(Q45&lt;&gt;"",R45="Fixed",TRUE)),"Verified",IF(OR(T45="Failed",U45="Failed"),"Retest Failed",IF(OR(N45="Failed",O45="Failed",Q45&lt;&gt;""),"Defect Found",IF(AND(OR(N45="Passed",N45="Not Applicable"),OR(O45="Passed",O45="Not Applicable"),OR(N45="Passed",O45="Passed")),"Initial Pass","Not Complete"))))</x:f>
        <x:v>Not Complete</x:v>
      </x:c>
      <x:c r="X45" s="58" t="str">
        <x:v>CROSS-PLATFORM UX DEFECT: iOS explicitly cannot suppress already-logged meal reminders, while Android does, so identical settings behave differently.</x:v>
      </x:c>
      <x:c r="Y45" s="58" t="str">
        <x:f>IF(OR(N45="Not Run",O45="Not Run"),"Pending",IF(AND(OR(N45="Not Applicable",COUNTIFS('Test Runs'!$B$5:$B$2004,A45,'Test Runs'!$C$5:$C$2004,"Initial",'Test Runs'!$D$5:$D$2004,"iOS",'Test Runs'!$I$5:$I$2004,N45)&gt;0),OR(O45="Not Applicable",COUNTIFS('Test Runs'!$B$5:$B$2004,A45,'Test Runs'!$C$5:$C$2004,"Initial",'Test Runs'!$D$5:$D$2004,"Android",'Test Runs'!$I$5:$I$2004,O45)&gt;0)),"Reconciled","Mismatch"))</x:f>
        <x:v>Pending</x:v>
      </x:c>
      <x:c r="Z45" s="58" t="str">
        <x:f>IF(OR(T45="Not Run",U45="Not Run"),"Pending",IF(AND(OR(T45="Not Applicable",COUNTIFS('Test Runs'!$B$5:$B$2004,A45,'Test Runs'!$C$5:$C$2004,"Retest",'Test Runs'!$D$5:$D$2004,"iOS",'Test Runs'!$I$5:$I$2004,T45)&gt;0),OR(U45="Not Applicable",COUNTIFS('Test Runs'!$B$5:$B$2004,A45,'Test Runs'!$C$5:$C$2004,"Retest",'Test Runs'!$D$5:$D$2004,"Android",'Test Runs'!$I$5:$I$2004,U45)&gt;0)),"Reconciled","Mismatch"))</x:f>
        <x:v>Pending</x:v>
      </x:c>
    </x:row>
    <x:row r="46" ht="120" customHeight="1">
      <x:c r="A46" s="58" t="str">
        <x:v>ACC-042</x:v>
      </x:c>
      <x:c r="B46" s="58" t="str">
        <x:v>Synced reminder reconciliation</x:v>
      </x:c>
      <x:c r="C46" s="58" t="str">
        <x:v>Automatic Buff Sync applying app_preferences</x:v>
      </x:c>
      <x:c r="D46" s="58" t="str">
        <x:v>As a user with multiple devices, I want a remotely changed reminder schedule to replace the native alarms on this device.</x:v>
      </x:c>
      <x:c r="E46" s="58" t="str">
        <x:v>When Buff Sync applies an accepted remote AppPreference change, it tracks whether reminder fields changed. After the local sync transaction commits and cursor advances, it reads the canonical preference and invokes MealReminderBridge so the native schedule matches the imported state. The native scheduling result is not inspected here, so local settings can be imported even when native rescheduling fails.</x:v>
      </x:c>
      <x:c r="F46" s="58" t="str">
        <x:v>Both</x:v>
      </x:c>
      <x:c r="G46" s="58" t="str">
        <x:v>Two signed-in devices; differing reminder payloads; native bridge success/error</x:v>
      </x:c>
      <x:c r="H46" s="58" t="str">
        <x:v>Change reminders on Android device, sync iOS, verify local settings and pending iOS notifications; simulate bridge failure and compare state.</x:v>
      </x:c>
      <x:c r="I46" s="58" t="str">
        <x:v>Change reminders on iOS device, sync Android, inspect AlarmManager jobs and settings; simulate bridge failure.</x:v>
      </x:c>
      <x:c r="J46" s="58" t="str">
        <x:v>/Users/mason/Sites/Buff/tests/Feature/BuffSyncTest.php; /Users/mason/Sites/Buff/tests/Feature/SettingsTest.php</x:v>
      </x:c>
      <x:c r="K46" s="58" t="str">
        <x:v>/Users/mason/Sites/Buff/app/Services/BuffSyncService.php:180-217; /Users/mason/Sites/Buff/app/Services/MealReminderBridge.php:12-44</x:v>
      </x:c>
      <x:c r="L46" s="58" t="str">
        <x:v>Mapped</x:v>
      </x:c>
      <x:c r="M46" s="58" t="str">
        <x:v>Ready</x:v>
      </x:c>
      <x:c r="N46" s="58" t="str">
        <x:v>Not Run</x:v>
      </x:c>
      <x:c r="O46" s="58" t="str">
        <x:v>Blocked</x:v>
      </x:c>
      <x:c r="P46" s="58" t="str">
        <x:v>Android: /Users/mason/.codex/visualizations/2026/09/01/01a05def-1c0d-76d1-abc6-07c63a443582/emulator-runs/initial/android-guest/dom-observations-batch-017.json — Local reminder scheduling and persistence were exercised, but no second signed-in device or controlled newer remote AppPreference payload was available to drive accepted remote reminder reconciliation on Android.</x:v>
      </x:c>
      <x:c r="Q46" s="58" t="str"/>
      <x:c r="R46" s="58" t="str">
        <x:v>Not Needed</x:v>
      </x:c>
      <x:c r="S46" s="58" t="str"/>
      <x:c r="T46" s="58" t="str">
        <x:v>Not Run</x:v>
      </x:c>
      <x:c r="U46" s="58" t="str">
        <x:v>Not Run</x:v>
      </x:c>
      <x:c r="V46" s="58" t="str"/>
      <x:c r="W46" s="58" t="str">
        <x:f>IF(AND(OR(N46="Passed",N46="Failed",N46="Not Applicable"),OR(O46="Passed",O46="Failed",O46="Not Applicable"),OR(N46="Passed",N46="Failed",O46="Passed",O46="Failed"),OR(T46="Passed",T46="Not Applicable"),OR(U46="Passed",U46="Not Applicable"),OR(T46="Passed",U46="Passed"),Y46="Reconciled",Z46="Reconciled",IF(Q46&lt;&gt;"",R46="Fixed",TRUE)),"Verified",IF(OR(T46="Failed",U46="Failed"),"Retest Failed",IF(OR(N46="Failed",O46="Failed",Q46&lt;&gt;""),"Defect Found",IF(AND(OR(N46="Passed",N46="Not Applicable"),OR(O46="Passed",O46="Not Applicable"),OR(N46="Passed",O46="Passed")),"Initial Pass","Not Complete"))))</x:f>
        <x:v>Not Complete</x:v>
      </x:c>
      <x:c r="X46" s="58" t="str">
        <x:v>LOGISTICAL RISK: imported settings advance the sync cursor even if post-commit native reminder scheduling fails; there is no retry/status surfaced for that mismatch.</x:v>
      </x:c>
      <x:c r="Y46" s="58" t="str">
        <x:f>IF(OR(N46="Not Run",O46="Not Run"),"Pending",IF(AND(OR(N46="Not Applicable",COUNTIFS('Test Runs'!$B$5:$B$2004,A46,'Test Runs'!$C$5:$C$2004,"Initial",'Test Runs'!$D$5:$D$2004,"iOS",'Test Runs'!$I$5:$I$2004,N46)&gt;0),OR(O46="Not Applicable",COUNTIFS('Test Runs'!$B$5:$B$2004,A46,'Test Runs'!$C$5:$C$2004,"Initial",'Test Runs'!$D$5:$D$2004,"Android",'Test Runs'!$I$5:$I$2004,O46)&gt;0)),"Reconciled","Mismatch"))</x:f>
        <x:v>Pending</x:v>
      </x:c>
      <x:c r="Z46" s="58" t="str">
        <x:f>IF(OR(T46="Not Run",U46="Not Run"),"Pending",IF(AND(OR(T46="Not Applicable",COUNTIFS('Test Runs'!$B$5:$B$2004,A46,'Test Runs'!$C$5:$C$2004,"Retest",'Test Runs'!$D$5:$D$2004,"iOS",'Test Runs'!$I$5:$I$2004,T46)&gt;0),OR(U46="Not Applicable",COUNTIFS('Test Runs'!$B$5:$B$2004,A46,'Test Runs'!$C$5:$C$2004,"Retest",'Test Runs'!$D$5:$D$2004,"Android",'Test Runs'!$I$5:$I$2004,U46)&gt;0)),"Reconciled","Mismatch"))</x:f>
        <x:v>Pending</x:v>
      </x:c>
    </x:row>
    <x:row r="47" ht="120" customHeight="1">
      <x:c r="A47" s="58" t="str">
        <x:v>ACC-043</x:v>
      </x:c>
      <x:c r="B47" s="58" t="str">
        <x:v>Health provider routing</x:v>
      </x:c>
      <x:c r="C47" s="58" t="str">
        <x:v>/settings/health</x:v>
      </x:c>
      <x:c r="D47" s="58" t="str">
        <x:v>As a mobile user, I want the Health settings page to offer the provider supported by my platform and reject unsupported environments safely.</x:v>
      </x:c>
      <x:c r="E47" s="58" t="str">
        <x:v>Settings shares both provider states but chooses Apple Health whenever is_ios is true, otherwise Health Connect when is_android is true; desktop has no provider and the controller redirects back to Settings. Bridge calls on the wrong platform report supported=false, available=false, status=unsupported with a platform-specific message rather than invoking native code.</x:v>
      </x:c>
      <x:c r="F47" s="58" t="str">
        <x:v>Both with platform branches</x:v>
      </x:c>
      <x:c r="G47" s="58" t="str">
        <x:v>iOS shell; Android shell; web/unsupported shell</x:v>
      </x:c>
      <x:c r="H47" s="58" t="str">
        <x:v>Open Settings &gt; Apple Health and verify only Apple Health language/actions; test wrong-platform endpoints return unsupported.</x:v>
      </x:c>
      <x:c r="I47" s="58" t="str">
        <x:v>Open Settings &gt; Health Connect and verify only Health Connect language/actions; test missing provider install/unavailable state.</x:v>
      </x:c>
      <x:c r="J47" s="58" t="str">
        <x:v>/Users/mason/Sites/Buff/tests/Feature/SettingsTest.php:38-63,109-130; /Users/mason/Sites/Buff/tests/Unit/HealthConnectBridgeTest.php; /Users/mason/Sites/Buff/tests/Unit/AppleHealthBridgeTest.php</x:v>
      </x:c>
      <x:c r="K47" s="58" t="str">
        <x:v>/Users/mason/Sites/Buff/resources/js/Pages/Settings/Health.vue:42-63,214-250; /Users/mason/Sites/Buff/app/Http/Controllers/SettingsController.php:75-86; /Users/mason/Sites/Buff/app/Services/HealthConnectBridge.php:17-66; /Users/mason/Sites/Buff/app/Services/AppleHealthBridge.php:17-66</x:v>
      </x:c>
      <x:c r="L47" s="58" t="str">
        <x:v>Mapped</x:v>
      </x:c>
      <x:c r="M47" s="58" t="str">
        <x:v>Ready</x:v>
      </x:c>
      <x:c r="N47" s="58" t="str">
        <x:v>Not Run</x:v>
      </x:c>
      <x:c r="O47" s="58" t="str">
        <x:v>Blocked</x:v>
      </x:c>
      <x:c r="P47" s="58" t="str">
        <x:v>Android: /Users/mason/.codex/visualizations/2026/09/01/01a05def-1c0d-76d1-abc6-07c63a443582/emulator-runs/initial/android/ACC-043-android-health-connect.png — Android rendered only Health Connect language and actions, reported Connected, and exposed Sync now/Disconnect. Calling the wrong-platform Apple Health status endpoint returned supported=false, available=false, status=unsupported with the platform message. The missing-provider/unavailable branch cannot be reached without changing emulator integration state.</x:v>
      </x:c>
      <x:c r="Q47" s="58" t="str"/>
      <x:c r="R47" s="58" t="str">
        <x:v>Not Needed</x:v>
      </x:c>
      <x:c r="S47" s="58" t="str"/>
      <x:c r="T47" s="58" t="str">
        <x:v>Blocked</x:v>
      </x:c>
      <x:c r="U47" s="58" t="str">
        <x:v>Not Run</x:v>
      </x:c>
      <x:c r="V47" s="58" t="str">
        <x:v>iOS: /Users/mason/.codex/visualizations/2026/09/01/01a05def-1c0d-76d1-abc6-07c63a443582/emulator-runs/retest/ios/ACC-043-health-permission-needed-readonly.png
/Users/mason/.codex/visualizations/2026/09/01/01a05def-1c0d-76d1-abc6-07c63a443582/emulator-runs/retest/ios/ACC-032-068-NUT-085-observations.json — iOS hub and health page show only Apple Health, Permission needed, automatic workout import explanation and Connect Apple Health. No Health Connect management/disconnect action appears. Header return works.</x:v>
      </x:c>
      <x:c r="W47" s="58" t="str">
        <x:f>IF(AND(OR(N47="Passed",N47="Failed",N47="Not Applicable"),OR(O47="Passed",O47="Failed",O47="Not Applicable"),OR(N47="Passed",N47="Failed",O47="Passed",O47="Failed"),OR(T47="Passed",T47="Not Applicable"),OR(U47="Passed",U47="Not Applicable"),OR(T47="Passed",U47="Passed"),Y47="Reconciled",Z47="Reconciled",IF(Q47&lt;&gt;"",R47="Fixed",TRUE)),"Verified",IF(OR(T47="Failed",U47="Failed"),"Retest Failed",IF(OR(N47="Failed",O47="Failed",Q47&lt;&gt;""),"Defect Found",IF(AND(OR(N47="Passed",N47="Not Applicable"),OR(O47="Passed",O47="Not Applicable"),OR(N47="Passed",O47="Passed")),"Initial Pass","Not Complete"))))</x:f>
        <x:v>Not Complete</x:v>
      </x:c>
      <x:c r="X47" s="58" t="str">
        <x:v>None evident; emulator images without Health Connect should exercise unavailable rather than assuming provider presence.</x:v>
      </x:c>
      <x:c r="Y47" s="58" t="str">
        <x:f>IF(OR(N47="Not Run",O47="Not Run"),"Pending",IF(AND(OR(N47="Not Applicable",COUNTIFS('Test Runs'!$B$5:$B$2004,A47,'Test Runs'!$C$5:$C$2004,"Initial",'Test Runs'!$D$5:$D$2004,"iOS",'Test Runs'!$I$5:$I$2004,N47)&gt;0),OR(O47="Not Applicable",COUNTIFS('Test Runs'!$B$5:$B$2004,A47,'Test Runs'!$C$5:$C$2004,"Initial",'Test Runs'!$D$5:$D$2004,"Android",'Test Runs'!$I$5:$I$2004,O47)&gt;0)),"Reconciled","Mismatch"))</x:f>
        <x:v>Pending</x:v>
      </x:c>
      <x:c r="Z47" s="58" t="str">
        <x:f>IF(OR(T47="Not Run",U47="Not Run"),"Pending",IF(AND(OR(T47="Not Applicable",COUNTIFS('Test Runs'!$B$5:$B$2004,A47,'Test Runs'!$C$5:$C$2004,"Retest",'Test Runs'!$D$5:$D$2004,"iOS",'Test Runs'!$I$5:$I$2004,T47)&gt;0),OR(U47="Not Applicable",COUNTIFS('Test Runs'!$B$5:$B$2004,A47,'Test Runs'!$C$5:$C$2004,"Retest",'Test Runs'!$D$5:$D$2004,"Android",'Test Runs'!$I$5:$I$2004,U47)&gt;0)),"Reconciled","Mismatch"))</x:f>
        <x:v>Pending</x:v>
      </x:c>
    </x:row>
    <x:row r="48" ht="120" customHeight="1">
      <x:c r="A48" s="58" t="str">
        <x:v>ACC-044</x:v>
      </x:c>
      <x:c r="B48" s="58" t="str">
        <x:v>Health Connect authorization</x:v>
      </x:c>
      <x:c r="C48" s="58" t="str">
        <x:v>/settings/health &gt; Connect Health Connect</x:v>
      </x:c>
      <x:c r="D48" s="58" t="str">
        <x:v>As an Android user, I want Buff to explain availability and request the foreground/background Health Connect permissions needed for automatic workout imports.</x:v>
      </x:c>
      <x:c r="E48" s="58" t="str">
        <x:v>The plugin requires exercise, total-calorie, active-calorie, and background-read permissions. Connect launches the permission activity and separately requests background access when supported, then queues a sync. Status distinguishes unavailable, permission_required, background_permission_required, and connected. When Health Connect is available, Manage Health Connect access opens app permission settings with a Health Connect settings fallback; missing permissions show guidance for a suppressed Connect prompt, and launch failures are reported.</x:v>
      </x:c>
      <x:c r="F48" s="58" t="str">
        <x:v>Android only</x:v>
      </x:c>
      <x:c r="G48" s="58" t="str">
        <x:v>Android 14+ image with Health Connect; fresh, partial, denied, and fully granted permissions</x:v>
      </x:c>
      <x:c r="H48" s="58" t="str">
        <x:v>N/A—Android-only provider.</x:v>
      </x:c>
      <x:c r="I48" s="58" t="str">
        <x:v>Test provider absent/unavailable, deny twice, grant partial/foreground/background access, and resume. Verify status and no prompt loop. After Connect stops prompting, use Manage Health Connect access, grant access in settings and return; force settings-launch failure and verify visible recovery guidance.</x:v>
      </x:c>
      <x:c r="J48" s="58" t="str">
        <x:v>/Users/mason/Sites/Buff/tests/Unit/HealthConnectWorkerKeyTest.php:13-84; /Users/mason/Sites/Buff/tests/Feature/HealthConnectSyncTest.php</x:v>
      </x:c>
      <x:c r="K48" s="58" t="str">
        <x:v>/Users/mason/Sites/Buff/resources/js/Pages/Settings/Health.vue:64-101,129-149; /Users/mason/Sites/Buff/native-plugins/health-connect/nativephp.json:6-36; /Users/mason/Sites/Buff/native-plugins/health-connect/resources/android/src/com/buff/healthconnect/HealthConnectPlugin.kt:19-130; /Users/mason/Sites/Buff/native-plugins/health-connect/resources/android/src/com/buff/healthconnect/HealthConnectPermissionActivity.kt:9-64</x:v>
      </x:c>
      <x:c r="L48" s="58" t="str">
        <x:v>Mapped</x:v>
      </x:c>
      <x:c r="M48" s="58" t="str">
        <x:v>Ready</x:v>
      </x:c>
      <x:c r="N48" s="58" t="str">
        <x:v>Not Applicable</x:v>
      </x:c>
      <x:c r="O48" s="58" t="str">
        <x:v>Failed</x:v>
      </x:c>
      <x:c r="P48" s="58" t="str">
        <x:v>Android: /Users/mason/.codex/visualizations/2026/09/01/01a05def-1c0d-76d1-abc6-07c63a443582/emulator-runs/initial/android-guest/dom-observations-batch-019.json
/Users/mason/.codex/visualizations/2026/09/01/01a05def-1c0d-76d1-abc6-07c63a443582/emulator-runs/initial/android-guest/ACC-044-health-connect-foreground-prompt.png
/Users/mason/.codex/visualizations/2026/09/01/01a05def-1c0d-76d1-abc6-07c63a443582/emulator-runs/initial/android-guest/ACC-044-health-connect-background-prompt.png — The first foreground request was denied; the second granted Exercise only. Later Connect attempts for the twice-denied missing permissions opened and immediately closed HealthConnectPermissionActivity with no OS sheet, message, or Settings route, leaving Permission needed.</x:v>
      </x:c>
      <x:c r="Q48" s="58" t="str">
        <x:v>DEF-057</x:v>
      </x:c>
      <x:c r="R48" s="58" t="str">
        <x:v>In Progress</x:v>
      </x:c>
      <x:c r="S48" s="58" t="str"/>
      <x:c r="T48" s="58" t="str">
        <x:v>Not Applicable</x:v>
      </x:c>
      <x:c r="U48" s="58" t="str">
        <x:v>Not Run</x:v>
      </x:c>
      <x:c r="V48" s="58" t="str"/>
      <x:c r="W48" s="58" t="str">
        <x:f>IF(AND(OR(N48="Passed",N48="Failed",N48="Not Applicable"),OR(O48="Passed",O48="Failed",O48="Not Applicable"),OR(N48="Passed",N48="Failed",O48="Passed",O48="Failed"),OR(T48="Passed",T48="Not Applicable"),OR(U48="Passed",U48="Not Applicable"),OR(T48="Passed",U48="Passed"),Y48="Reconciled",Z48="Reconciled",IF(Q48&lt;&gt;"",R48="Fixed",TRUE)),"Verified",IF(OR(T48="Failed",U48="Failed"),"Retest Failed",IF(OR(N48="Failed",O48="Failed",Q48&lt;&gt;""),"Defect Found",IF(AND(OR(N48="Passed",N48="Not Applicable"),OR(O48="Passed",O48="Not Applicable"),OR(N48="Passed",O48="Passed")),"Initial Pass","Not Complete"))))</x:f>
        <x:v>Defect Found</x:v>
      </x:c>
      <x:c r="X48" s="58" t="str">
        <x:v>Risk: exact availability and background permission behavior varies by Android/Health Connect version and needs multiple emulator API levels.</x:v>
      </x:c>
      <x:c r="Y48" s="58" t="str">
        <x:f>IF(OR(N48="Not Run",O48="Not Run"),"Pending",IF(AND(OR(N48="Not Applicable",COUNTIFS('Test Runs'!$B$5:$B$2004,A48,'Test Runs'!$C$5:$C$2004,"Initial",'Test Runs'!$D$5:$D$2004,"iOS",'Test Runs'!$I$5:$I$2004,N48)&gt;0),OR(O48="Not Applicable",COUNTIFS('Test Runs'!$B$5:$B$2004,A48,'Test Runs'!$C$5:$C$2004,"Initial",'Test Runs'!$D$5:$D$2004,"Android",'Test Runs'!$I$5:$I$2004,O48)&gt;0)),"Reconciled","Mismatch"))</x:f>
        <x:v>Reconciled</x:v>
      </x:c>
      <x:c r="Z48" s="58" t="str">
        <x:f>IF(OR(T48="Not Run",U48="Not Run"),"Pending",IF(AND(OR(T48="Not Applicable",COUNTIFS('Test Runs'!$B$5:$B$2004,A48,'Test Runs'!$C$5:$C$2004,"Retest",'Test Runs'!$D$5:$D$2004,"iOS",'Test Runs'!$I$5:$I$2004,T48)&gt;0),OR(U48="Not Applicable",COUNTIFS('Test Runs'!$B$5:$B$2004,A48,'Test Runs'!$C$5:$C$2004,"Retest",'Test Runs'!$D$5:$D$2004,"Android",'Test Runs'!$I$5:$I$2004,U48)&gt;0)),"Reconciled","Mismatch"))</x:f>
        <x:v>Pending</x:v>
      </x:c>
    </x:row>
    <x:row r="49" ht="120" customHeight="1">
      <x:c r="A49" s="58" t="str">
        <x:v>ACC-045</x:v>
      </x:c>
      <x:c r="B49" s="58" t="str">
        <x:v>Health Connect workout sync</x:v>
      </x:c>
      <x:c r="C49" s="58" t="str">
        <x:v>/settings/health &gt; Sync now; Health Connect background changes</x:v>
      </x:c>
      <x:c r="D49" s="58" t="str">
        <x:v>As an Android user, I want Health Connect workouts and calorie records imported automatically and on demand without duplicate exercise calories.</x:v>
      </x:c>
      <x:c r="E49" s="58" t="str">
        <x:v>Sync now queues unique WorkManager work only when all required permissions exist. Worker reads the last 30 days, paginates exercise sessions plus total/active calorie records, avoids overlapping aggregate calorie intervals, skips nonpositive records, boots the background PHP runtime, imports by stable source/external ID, updates existing records, deletes formerly imported records missing from the same window, stores success/error state, and retries worker exceptions. Imported workout calories feed Buff exercise totals/eat-back.</x:v>
      </x:c>
      <x:c r="F49" s="58" t="str">
        <x:v>Android only</x:v>
      </x:c>
      <x:c r="G49" s="58" t="str">
        <x:v>Granted permissions; sessions with/without calories; total/active overlap; deleted/updated record; account signed out</x:v>
      </x:c>
      <x:c r="H49" s="58" t="str">
        <x:v>N/A—Android-only provider.</x:v>
      </x:c>
      <x:c r="I49" s="58" t="str">
        <x:v>Seed Health Connect test data, sync, verify exact workout/calorie totals and idempotence; modify/delete records, resync; sign out before background execution; force import failure and verify retry/error status.</x:v>
      </x:c>
      <x:c r="J49" s="58" t="str">
        <x:v>/Users/mason/Sites/Buff/tests/Feature/HealthConnectImportTest.php; /Users/mason/Sites/Buff/tests/Feature/HealthConnectSyncTest.php; /Users/mason/Sites/Buff/tests/Unit/HealthConnectWorkerKeyTest.php</x:v>
      </x:c>
      <x:c r="K49" s="58" t="str">
        <x:v>/Users/mason/Sites/Buff/app/Http/Controllers/HealthConnectController.php:25-33; /Users/mason/Sites/Buff/native-plugins/health-connect/resources/android/src/com/buff/healthconnect/HealthConnectSyncWorker.kt:23-163; /Users/mason/Sites/Buff/app/Services/HealthConnectWorkoutImporter.php:13-111; /Users/mason/Sites/Buff/app/Console/Commands/ImportHealthConnectWorkouts.php</x:v>
      </x:c>
      <x:c r="L49" s="58" t="str">
        <x:v>Mapped</x:v>
      </x:c>
      <x:c r="M49" s="58" t="str">
        <x:v>Ready</x:v>
      </x:c>
      <x:c r="N49" s="58" t="str">
        <x:v>Not Applicable</x:v>
      </x:c>
      <x:c r="O49" s="58" t="str">
        <x:v>Blocked</x:v>
      </x:c>
      <x:c r="P49" s="58" t="str">
        <x:v>Android: /Users/mason/.codex/visualizations/2026/09/01/01a05def-1c0d-76d1-abc6-07c63a443582/emulator-runs/initial/android-guest/dom-observations-batch-019.json
/Users/mason/.codex/visualizations/2026/09/01/01a05def-1c0d-76d1-abc6-07c63a443582/emulator-runs/initial/android-guest/HLT-055-health-connect-sync-queued-stuck.png — After full permission grant, the initial immediate zero-record sync succeeded. A manual Sync now committed PHP success but empty returned Artisan stdout caused false failure and retries, so Settings stayed Sync queued.
Android: /Users/mason/.codex/visualizations/2026/09/01/01a05def-1c0d-76d1-abc6-07c63a443582/emulator-runs/initial/android/health-connect-real-fixture-observations.json
/Users/mason/.codex/visualizations/2026/09/01/01a05def-1c0d-76d1-abc6-07c63a443582/emulator-runs/initial/android/HLT-056-toolbox-exercise-session.png
/Users/mason/.codex/visualizations/2026/09/01/01a05def-1c0d-76d1-abc6-07c63a443582/emulator-runs/initial/android/HLT-056-toolbox-total-calories.png
/Users/mason/.codex/visualizations/2026/09/01/01a05def-1c0d-76d1-abc6-07c63a443582/emulator-runs/initial/android/HLT-041-health-connect-workout-row-275.png — The same official Toolbox dataset used for HLT-056 produced one 275-kcal Health Connect workout from real exercise-session and total-calorie records without duplicate exercise calories across overlap handling.
Android: /Users/mason/.codex/visualizations/2026/09/01/01a05def-1c0d-76d1-abc6-07c63a443582/emulator-runs/initial/android/HLT-056-toolbox-standalone-total-60.png
/Users/mason/.codex/visualizations/2026/09/01/01a05def-1c0d-76d1-abc6-07c63a443582/emulator-runs/initial/android/HLT-056-toolbox-standalone-active-50.png
/Users/mason/.codex/visualizations/2026/09/01/01a05def-1c0d-76d1-abc6-07c63a443582/emulator-runs/initial/android/HLT-056-toolbox-overlapping-active-70.png
/Users/mason/.codex/visualizations/2026/09/01/01a05def-1c0d-76d1-abc6-07c63a443582/emulator-runs/initial/android/HLT-056-toolbox-read-total-fixtures.png
/Users/mason/.codex/visualizations/2026/09/01/01a05def-1c0d-76d1-abc6-07c63a443582/emulator-runs/initial/android/HLT-056-toolbox-read-active-fixtures.png
/Users/mason/.codex/visualizations/2026/09/01/01a05def-1c0d-76d1-abc6-07c63a443582/emulator-runs/initial/android/HLT-057-timezone-reconciliation-delay.json
/Users/mason/.codex/visualizations/2026/09/01/01a05def-1c0d-76d1-abc6-07c63a443582/emulator-runs/initial/android/HLT-057-second-worker-delete-reconciled.png — The shared live fixture read 1 exercise, 3 total, and 2 active records, emitted a three-record payload, and imported two non-overlapping standalone rows: Total 60 kcal and Active 50 kcal. The overlapping Active 70-kcal interval was excluded, so Today showed exactly 110 kcal without duplicate exercise calories.</x:v>
      </x:c>
      <x:c r="Q49" s="58" t="str">
        <x:v>DEF-058</x:v>
      </x:c>
      <x:c r="R49" s="58" t="str">
        <x:v>Fixed</x:v>
      </x:c>
      <x:c r="S49" s="58" t="str"/>
      <x:c r="T49" s="58" t="str">
        <x:v>Not Applicable</x:v>
      </x:c>
      <x:c r="U49" s="58" t="str">
        <x:v>Not Run</x:v>
      </x:c>
      <x:c r="V49" s="58" t="str"/>
      <x:c r="W49" s="58" t="str">
        <x:f>IF(AND(OR(N49="Passed",N49="Failed",N49="Not Applicable"),OR(O49="Passed",O49="Failed",O49="Not Applicable"),OR(N49="Passed",N49="Failed",O49="Passed",O49="Failed"),OR(T49="Passed",T49="Not Applicable"),OR(U49="Passed",U49="Not Applicable"),OR(T49="Passed",U49="Passed"),Y49="Reconciled",Z49="Reconciled",IF(Q49&lt;&gt;"",R49="Fixed",TRUE)),"Verified",IF(OR(T49="Failed",U49="Failed"),"Retest Failed",IF(OR(N49="Failed",O49="Failed",Q49&lt;&gt;""),"Defect Found",IF(AND(OR(N49="Passed",N49="Not Applicable"),OR(O49="Passed",O49="Not Applicable"),OR(N49="Passed",O49="Passed")),"Initial Pass","Not Complete"))))</x:f>
        <x:v>Defect Found</x:v>
      </x:c>
      <x:c r="X49" s="58" t="str">
        <x:v>Risk: the 30-day authoritative window can remove locally imported Health Connect entries if provider read access returns an unexpectedly incomplete result; emulator should test pagination and revocation timing.</x:v>
      </x:c>
      <x:c r="Y49" s="58" t="str">
        <x:f>IF(OR(N49="Not Run",O49="Not Run"),"Pending",IF(AND(OR(N49="Not Applicable",COUNTIFS('Test Runs'!$B$5:$B$2004,A49,'Test Runs'!$C$5:$C$2004,"Initial",'Test Runs'!$D$5:$D$2004,"iOS",'Test Runs'!$I$5:$I$2004,N49)&gt;0),OR(O49="Not Applicable",COUNTIFS('Test Runs'!$B$5:$B$2004,A49,'Test Runs'!$C$5:$C$2004,"Initial",'Test Runs'!$D$5:$D$2004,"Android",'Test Runs'!$I$5:$I$2004,O49)&gt;0)),"Reconciled","Mismatch"))</x:f>
        <x:v>Reconciled</x:v>
      </x:c>
      <x:c r="Z49" s="58" t="str">
        <x:f>IF(OR(T49="Not Run",U49="Not Run"),"Pending",IF(AND(OR(T49="Not Applicable",COUNTIFS('Test Runs'!$B$5:$B$2004,A49,'Test Runs'!$C$5:$C$2004,"Retest",'Test Runs'!$D$5:$D$2004,"iOS",'Test Runs'!$I$5:$I$2004,T49)&gt;0),OR(U49="Not Applicable",COUNTIFS('Test Runs'!$B$5:$B$2004,A49,'Test Runs'!$C$5:$C$2004,"Retest",'Test Runs'!$D$5:$D$2004,"Android",'Test Runs'!$I$5:$I$2004,U49)&gt;0)),"Reconciled","Mismatch"))</x:f>
        <x:v>Pending</x:v>
      </x:c>
    </x:row>
    <x:row r="50" ht="120" customHeight="1">
      <x:c r="A50" s="58" t="str">
        <x:v>ACC-046</x:v>
      </x:c>
      <x:c r="B50" s="58" t="str">
        <x:v>Health Connect disconnect</x:v>
      </x:c>
      <x:c r="C50" s="58" t="str">
        <x:v>/settings/health &gt; Disconnect Health Connect</x:v>
      </x:c>
      <x:c r="D50" s="58" t="str">
        <x:v>As an Android user, I want to revoke Buff's Health Connect access from within Buff while retaining understandable status.</x:v>
      </x:c>
      <x:c r="E50" s="58" t="str">
        <x:v>Disconnect is shown only when foreground or background access is currently present. It calls Health Connect's revoke-all-permissions API, cancels queued sync work, sets an in-process revoked-until-restart guard so status immediately becomes permission_required, and returns Health Connect disconnected. Existing imported workout rows are not deleted by this action.</x:v>
      </x:c>
      <x:c r="F50" s="58" t="str">
        <x:v>Android only</x:v>
      </x:c>
      <x:c r="G50" s="58" t="str">
        <x:v>Connected provider; queued sync; imported workout history</x:v>
      </x:c>
      <x:c r="H50" s="58" t="str">
        <x:v>N/A—Android-only provider.</x:v>
      </x:c>
      <x:c r="I50" s="58" t="str">
        <x:v>Connect and import, disconnect, verify OS permissions revoked, button/status changes, queued sync cancellation, history retained, and post-restart status remains consistent with OS.</x:v>
      </x:c>
      <x:c r="J50" s="58" t="str">
        <x:v>/Users/mason/Sites/Buff/tests/Feature/HealthConnectSyncTest.php:34-64; /Users/mason/Sites/Buff/tests/Unit/HealthConnectWorkerKeyTest.php:22-48</x:v>
      </x:c>
      <x:c r="K50" s="58" t="str">
        <x:v>/Users/mason/Sites/Buff/resources/js/Pages/Settings/Health.vue:65-69,151-164,238-247; /Users/mason/Sites/Buff/app/Http/Controllers/HealthConnectController.php:35-43; /Users/mason/Sites/Buff/native-plugins/health-connect/resources/android/src/com/buff/healthconnect/HealthConnectFunctions.kt:74-105; /Users/mason/Sites/Buff/native-plugins/health-connect/resources/android/src/com/buff/healthconnect/HealthConnectPlugin.kt:19,116-130</x:v>
      </x:c>
      <x:c r="L50" s="58" t="str">
        <x:v>Mapped</x:v>
      </x:c>
      <x:c r="M50" s="58" t="str">
        <x:v>Ready</x:v>
      </x:c>
      <x:c r="N50" s="58" t="str">
        <x:v>Not Applicable</x:v>
      </x:c>
      <x:c r="O50" s="58" t="str">
        <x:v>Passed</x:v>
      </x:c>
      <x:c r="P50" s="58" t="str">
        <x:v>Android: /Users/mason/.codex/visualizations/2026/09/01/01a05def-1c0d-76d1-abc6-07c63a443582/emulator-runs/initial/android-guest/dom-observations-batch-019.json — The connection could be revoked and stayed revoked after restart, but there was no genuine Health Connect-imported workout row with which to prove imported history remains after disconnect.
Android: /Users/mason/.codex/visualizations/2026/09/01/01a05def-1c0d-76d1-abc6-07c63a443582/emulator-runs/initial/android/HLT-059-disconnect-reconnect-observations.json
/Users/mason/.codex/visualizations/2026/09/01/01a05def-1c0d-76d1-abc6-07c63a443582/emulator-runs/initial/android/HLT-059-health-connected-genuine-import.png
/Users/mason/.codex/visualizations/2026/09/01/01a05def-1c0d-76d1-abc6-07c63a443582/emulator-runs/initial/android/HLT-059-disconnected-import-retained.png
/Users/mason/.codex/visualizations/2026/09/01/01a05def-1c0d-76d1-abc6-07c63a443582/emulator-runs/initial/android/HLT-059-restart-disconnected-import-retained.png
/Users/mason/.codex/visualizations/2026/09/01/01a05def-1c0d-76d1-abc6-07c63a443582/emulator-runs/initial/android/HLT-059-reconnected-foreground-background.png — The same HLT-059 lifecycle retained a genuine imported row through disconnect and restart, verified all Health Connect OS grants revoked, then restored foreground and background grants with connected status while keeping the row.</x:v>
      </x:c>
      <x:c r="Q50" s="58" t="str"/>
      <x:c r="R50" s="58" t="str">
        <x:v>Not Needed</x:v>
      </x:c>
      <x:c r="S50" s="58" t="str"/>
      <x:c r="T50" s="58" t="str">
        <x:v>Not Applicable</x:v>
      </x:c>
      <x:c r="U50" s="58" t="str">
        <x:v>Not Run</x:v>
      </x:c>
      <x:c r="V50" s="58" t="str"/>
      <x:c r="W50" s="58" t="str">
        <x:f>IF(AND(OR(N50="Passed",N50="Failed",N50="Not Applicable"),OR(O50="Passed",O50="Failed",O50="Not Applicable"),OR(N50="Passed",N50="Failed",O50="Passed",O50="Failed"),OR(T50="Passed",T50="Not Applicable"),OR(U50="Passed",U50="Not Applicable"),OR(T50="Passed",U50="Passed"),Y50="Reconciled",Z50="Reconciled",IF(Q50&lt;&gt;"",R50="Fixed",TRUE)),"Verified",IF(OR(T50="Failed",U50="Failed"),"Retest Failed",IF(OR(N50="Failed",O50="Failed",Q50&lt;&gt;""),"Defect Found",IF(AND(OR(N50="Passed",N50="Not Applicable"),OR(O50="Passed",O50="Not Applicable"),OR(N50="Passed",O50="Passed")),"Initial Pass","Not Complete"))))</x:f>
        <x:v>Initial Pass</x:v>
      </x:c>
      <x:c r="X50" s="58" t="str">
        <x:v>UX risk: destructive permission revocation has no confirmation, and retaining already imported health data is not explained beside the action.</x:v>
      </x:c>
      <x:c r="Y50" s="58" t="str">
        <x:f>IF(OR(N50="Not Run",O50="Not Run"),"Pending",IF(AND(OR(N50="Not Applicable",COUNTIFS('Test Runs'!$B$5:$B$2004,A50,'Test Runs'!$C$5:$C$2004,"Initial",'Test Runs'!$D$5:$D$2004,"iOS",'Test Runs'!$I$5:$I$2004,N50)&gt;0),OR(O50="Not Applicable",COUNTIFS('Test Runs'!$B$5:$B$2004,A50,'Test Runs'!$C$5:$C$2004,"Initial",'Test Runs'!$D$5:$D$2004,"Android",'Test Runs'!$I$5:$I$2004,O50)&gt;0)),"Reconciled","Mismatch"))</x:f>
        <x:v>Reconciled</x:v>
      </x:c>
      <x:c r="Z50" s="58" t="str">
        <x:f>IF(OR(T50="Not Run",U50="Not Run"),"Pending",IF(AND(OR(T50="Not Applicable",COUNTIFS('Test Runs'!$B$5:$B$2004,A50,'Test Runs'!$C$5:$C$2004,"Retest",'Test Runs'!$D$5:$D$2004,"iOS",'Test Runs'!$I$5:$I$2004,T50)&gt;0),OR(U50="Not Applicable",COUNTIFS('Test Runs'!$B$5:$B$2004,A50,'Test Runs'!$C$5:$C$2004,"Retest",'Test Runs'!$D$5:$D$2004,"Android",'Test Runs'!$I$5:$I$2004,U50)&gt;0)),"Reconciled","Mismatch"))</x:f>
        <x:v>Pending</x:v>
      </x:c>
    </x:row>
    <x:row r="51" ht="120" customHeight="1">
      <x:c r="A51" s="58" t="str">
        <x:v>ACC-047</x:v>
      </x:c>
      <x:c r="B51" s="58" t="str">
        <x:v>Apple Health authorization and sync</x:v>
      </x:c>
      <x:c r="C51" s="58" t="str">
        <x:v>/settings/health &gt; Connect Apple Health / Sync now</x:v>
      </x:c>
      <x:c r="D51" s="58" t="str">
        <x:v>As an iOS user, I want Buff to import Apple Health workouts automatically and when I tap Sync now.</x:v>
      </x:c>
      <x:c r="E51" s="58" t="str">
        <x:v>Connect requests read authorization for workouts and energy types, records that authorization was requested, starts an HKObserverQuery, enables immediate background delivery, and queues a serialized import. Sync exports a 30-day payload into the PHP importer using stable external IDs and the same update/delete/status rules as Health Connect. iOS reports requested authorization as permission granted because HealthKit does not reveal per-read denial. There is no in-app disconnect action.</x:v>
      </x:c>
      <x:c r="F51" s="58" t="str">
        <x:v>iOS only</x:v>
      </x:c>
      <x:c r="G51" s="58" t="str">
        <x:v>HealthKit-capable iOS simulator/device; allow/deny read types; workout updates/deletions; background delivery</x:v>
      </x:c>
      <x:c r="H51" s="58" t="str">
        <x:v>Authorize, deny selected/all read types, add/update/delete workouts, foreground and background Buff, tap Sync now, verify records/status/idempotence and signed-out import guard.</x:v>
      </x:c>
      <x:c r="I51" s="58" t="str">
        <x:v>N/A—iOS-only provider.</x:v>
      </x:c>
      <x:c r="J51" s="58" t="str">
        <x:v>/Users/mason/Sites/Buff/tests/Feature/AppleHealthImportTest.php; /Users/mason/Sites/Buff/tests/Feature/AppleHealthSyncTest.php; /Users/mason/Sites/Buff/tests/Unit/AppleHealthPluginTest.php</x:v>
      </x:c>
      <x:c r="K51" s="58" t="str">
        <x:v>/Users/mason/Sites/Buff/app/Http/Controllers/AppleHealthController.php:10-48; /Users/mason/Sites/Buff/native-plugins/apple-health/resources/ios/Sources/AppleHealthFunctions.swift:4-59; /Users/mason/Sites/Buff/native-plugins/apple-health/resources/ios/Sources/AppleHealthPlugin.swift:4-128; /Users/mason/Sites/Buff/app/Services/HealthConnectWorkoutImporter.php:13-134</x:v>
      </x:c>
      <x:c r="L51" s="58" t="str">
        <x:v>Mapped</x:v>
      </x:c>
      <x:c r="M51" s="58" t="str">
        <x:v>Ready</x:v>
      </x:c>
      <x:c r="N51" s="58" t="str">
        <x:v>Not Run</x:v>
      </x:c>
      <x:c r="O51" s="58" t="str">
        <x:v>Not Applicable</x:v>
      </x:c>
      <x:c r="P51" s="58" t="str"/>
      <x:c r="Q51" s="58" t="str"/>
      <x:c r="R51" s="58" t="str">
        <x:v>Not Needed</x:v>
      </x:c>
      <x:c r="S51" s="58" t="str"/>
      <x:c r="T51" s="58" t="str">
        <x:v>Blocked</x:v>
      </x:c>
      <x:c r="U51" s="58" t="str">
        <x:v>Not Applicable</x:v>
      </x:c>
      <x:c r="V51" s="58" t="str">
        <x:v>iOS: /Users/mason/.codex/visualizations/2026/09/01/01a05def-1c0d-76d1-abc6-07c63a443582/emulator-runs/retest/ios/ACC-043-health-permission-needed-readonly.png — Pre-authorization page renders Permission needed and enabled Connect Apple Health with no in-app disconnect control.</x:v>
      </x:c>
      <x:c r="W51" s="58" t="str">
        <x:f>IF(AND(OR(N51="Passed",N51="Failed",N51="Not Applicable"),OR(O51="Passed",O51="Failed",O51="Not Applicable"),OR(N51="Passed",N51="Failed",O51="Passed",O51="Failed"),OR(T51="Passed",T51="Not Applicable"),OR(U51="Passed",U51="Not Applicable"),OR(T51="Passed",U51="Passed"),Y51="Reconciled",Z51="Reconciled",IF(Q51&lt;&gt;"",R51="Fixed",TRUE)),"Verified",IF(OR(T51="Failed",U51="Failed"),"Retest Failed",IF(OR(N51="Failed",O51="Failed",Q51&lt;&gt;""),"Defect Found",IF(AND(OR(N51="Passed",N51="Not Applicable"),OR(O51="Passed",O51="Not Applicable"),OR(N51="Passed",O51="Passed")),"Initial Pass","Not Complete"))))</x:f>
        <x:v>Not Complete</x:v>
      </x:c>
      <x:c r="X51" s="58" t="str">
        <x:v>PRIVACY/UX GAP: unlike Android, Apple Health has no Disconnect control, and the UI can say Connected after the prompt even when the user denied every read type.</x:v>
      </x:c>
      <x:c r="Y51" s="58" t="str">
        <x:f>IF(OR(N51="Not Run",O51="Not Run"),"Pending",IF(AND(OR(N51="Not Applicable",COUNTIFS('Test Runs'!$B$5:$B$2004,A51,'Test Runs'!$C$5:$C$2004,"Initial",'Test Runs'!$D$5:$D$2004,"iOS",'Test Runs'!$I$5:$I$2004,N51)&gt;0),OR(O51="Not Applicable",COUNTIFS('Test Runs'!$B$5:$B$2004,A51,'Test Runs'!$C$5:$C$2004,"Initial",'Test Runs'!$D$5:$D$2004,"Android",'Test Runs'!$I$5:$I$2004,O51)&gt;0)),"Reconciled","Mismatch"))</x:f>
        <x:v>Pending</x:v>
      </x:c>
      <x:c r="Z51" s="58" t="str">
        <x:f>IF(OR(T51="Not Run",U51="Not Run"),"Pending",IF(AND(OR(T51="Not Applicable",COUNTIFS('Test Runs'!$B$5:$B$2004,A51,'Test Runs'!$C$5:$C$2004,"Retest",'Test Runs'!$D$5:$D$2004,"iOS",'Test Runs'!$I$5:$I$2004,T51)&gt;0),OR(U51="Not Applicable",COUNTIFS('Test Runs'!$B$5:$B$2004,A51,'Test Runs'!$C$5:$C$2004,"Retest",'Test Runs'!$D$5:$D$2004,"Android",'Test Runs'!$I$5:$I$2004,U51)&gt;0)),"Reconciled","Mismatch"))</x:f>
        <x:v>Reconciled</x:v>
      </x:c>
    </x:row>
    <x:row r="52" ht="120" customHeight="1">
      <x:c r="A52" s="58" t="str">
        <x:v>ACC-048</x:v>
      </x:c>
      <x:c r="B52" s="58" t="str">
        <x:v>Health status refresh and request errors</x:v>
      </x:c>
      <x:c r="C52" s="58" t="str">
        <x:v>/settings/health lifecycle and actions</x:v>
      </x:c>
      <x:c r="D52" s="58" t="str">
        <x:v>As a user returning from an OS health-permission screen, I want Buff to refresh status and show failures instead of appearing stuck.</x:v>
      </x:c>
      <x:c r="E52" s="58" t="str">
        <x:v>Health status refreshes on mount, window focus and visibility return. Both permission_requested and sync_queued poll once per second for up to 20 attempts. Detail prioritizes the current native message, then last_error, then last successful sync time. Status, connect, sync, disconnect and manage-access request failures set visible feedback; persisted errors use alert semantics rather than being hidden by an older success timestamp.</x:v>
      </x:c>
      <x:c r="F52" s="58" t="str">
        <x:v>Both</x:v>
      </x:c>
      <x:c r="G52" s="58" t="str">
        <x:v>Offline/network error for GET/POST/DELETE; slow permission prompt; server 500; stale success state</x:v>
      </x:c>
      <x:c r="H52" s="58" t="str">
        <x:v>Start connect and sync, background/return, verify polling and final state. Force local GET/POST failures after a prior success and verify visible current failure feedback; recover and confirm stale errors clear.</x:v>
      </x:c>
      <x:c r="I52" s="58" t="str">
        <x:v>Repeat status/connect/sync/disconnect/manage-access failures and focus/visibility polling. Verify a queued sync refreshes without leaving Settings and older success text does not mask a newer error.</x:v>
      </x:c>
      <x:c r="J52" s="58" t="str">
        <x:v>/Users/mason/Sites/Buff/tests/Unit/HealthConnectTodayRefreshTest.php; feature controller tests; no component error-path test located</x:v>
      </x:c>
      <x:c r="K52" s="58" t="str">
        <x:v>/Users/mason/Sites/Buff/resources/js/Pages/Settings/Health.vue:70-127,129-211</x:v>
      </x:c>
      <x:c r="L52" s="58" t="str">
        <x:v>Mapped</x:v>
      </x:c>
      <x:c r="M52" s="58" t="str">
        <x:v>Ready</x:v>
      </x:c>
      <x:c r="N52" s="58" t="str">
        <x:v>Not Run</x:v>
      </x:c>
      <x:c r="O52" s="58" t="str">
        <x:v>Failed</x:v>
      </x:c>
      <x:c r="P52" s="58" t="str">
        <x:v>Android: /Users/mason/.codex/visualizations/2026/09/01/01a05def-1c0d-76d1-abc6-07c63a443582/emulator-runs/initial/android-guest/dom-observations-batch-019.json — Controlled one-request failures for status, connect, sync, and disconnect reset their controls but displayed no alert. A GET status failure after prior success kept Last synced visible because the success timestamp outranked last_error.
Android: /Users/mason/.codex/visualizations/2026/09/01/01a05def-1c0d-76d1-abc6-07c63a443582/emulator-runs/initial/android/HLT-050-settings-sync-queued-observations.json
/Users/mason/.codex/visualizations/2026/09/01/01a05def-1c0d-76d1-abc6-07c63a443582/emulator-runs/initial/android/HLT-050-settings-sync-queued-stale.png
/Users/mason/.codex/visualizations/2026/09/01/01a05def-1c0d-76d1-abc6-07c63a443582/emulator-runs/initial/android/HLT-050-settings-focus-refresh.png
/Users/mason/.codex/visualizations/2026/09/01/01a05def-1c0d-76d1-abc6-07c63a443582/emulator-runs/initial/android/HLT-050-today-sync-queued-polls-success.png — The same HLT-050 Settings sync completed successfully at the endpoint while both UI labels remained Sync queued; only a background/resume focus refresh changed them to Connected and Sync now.</x:v>
      </x:c>
      <x:c r="Q52" s="58" t="str">
        <x:v>DEF-059
DEF-070</x:v>
      </x:c>
      <x:c r="R52" s="58" t="str">
        <x:v>In Progress</x:v>
      </x:c>
      <x:c r="S52" s="58" t="str"/>
      <x:c r="T52" s="58" t="str">
        <x:v>Not Run</x:v>
      </x:c>
      <x:c r="U52" s="58" t="str">
        <x:v>Not Run</x:v>
      </x:c>
      <x:c r="V52" s="58" t="str"/>
      <x:c r="W52" s="58" t="str">
        <x:f>IF(AND(OR(N52="Passed",N52="Failed",N52="Not Applicable"),OR(O52="Passed",O52="Failed",O52="Not Applicable"),OR(N52="Passed",N52="Failed",O52="Passed",O52="Failed"),OR(T52="Passed",T52="Not Applicable"),OR(U52="Passed",U52="Not Applicable"),OR(T52="Passed",U52="Passed"),Y52="Reconciled",Z52="Reconciled",IF(Q52&lt;&gt;"",R52="Fixed",TRUE)),"Verified",IF(OR(T52="Failed",U52="Failed"),"Retest Failed",IF(OR(N52="Failed",O52="Failed",Q52&lt;&gt;""),"Defect Found",IF(AND(OR(N52="Passed",N52="Not Applicable"),OR(O52="Passed",O52="Not Applicable"),OR(N52="Passed",O52="Passed")),"Initial Pass","Not Complete"))))</x:f>
        <x:v>Defect Found</x:v>
      </x:c>
      <x:c r="X52" s="58" t="str">
        <x:v>CONFIRMED UX DEFECT: POST connect/sync and DELETE disconnect failures have no catch/error feedback, so a tap can end silently or surface an unhandled promise while stale status remains.</x:v>
      </x:c>
      <x:c r="Y52" s="58" t="str">
        <x:f>IF(OR(N52="Not Run",O52="Not Run"),"Pending",IF(AND(OR(N52="Not Applicable",COUNTIFS('Test Runs'!$B$5:$B$2004,A52,'Test Runs'!$C$5:$C$2004,"Initial",'Test Runs'!$D$5:$D$2004,"iOS",'Test Runs'!$I$5:$I$2004,N52)&gt;0),OR(O52="Not Applicable",COUNTIFS('Test Runs'!$B$5:$B$2004,A52,'Test Runs'!$C$5:$C$2004,"Initial",'Test Runs'!$D$5:$D$2004,"Android",'Test Runs'!$I$5:$I$2004,O52)&gt;0)),"Reconciled","Mismatch"))</x:f>
        <x:v>Pending</x:v>
      </x:c>
      <x:c r="Z52" s="58" t="str">
        <x:f>IF(OR(T52="Not Run",U52="Not Run"),"Pending",IF(AND(OR(T52="Not Applicable",COUNTIFS('Test Runs'!$B$5:$B$2004,A52,'Test Runs'!$C$5:$C$2004,"Retest",'Test Runs'!$D$5:$D$2004,"iOS",'Test Runs'!$I$5:$I$2004,T52)&gt;0),OR(U52="Not Applicable",COUNTIFS('Test Runs'!$B$5:$B$2004,A52,'Test Runs'!$C$5:$C$2004,"Retest",'Test Runs'!$D$5:$D$2004,"Android",'Test Runs'!$I$5:$I$2004,U52)&gt;0)),"Reconciled","Mismatch"))</x:f>
        <x:v>Pending</x:v>
      </x:c>
    </x:row>
    <x:row r="53" ht="120" customHeight="1">
      <x:c r="A53" s="58" t="str">
        <x:v>ACC-049</x:v>
      </x:c>
      <x:c r="B53" s="58" t="str">
        <x:v>Subscription access and cached status</x:v>
      </x:c>
      <x:c r="C53" s="58" t="str">
        <x:v>/settings/subscription</x:v>
      </x:c>
      <x:c r="D53" s="58" t="str">
        <x:v>As a Buff account holder, I want Subscription settings to show whether Buff+ is active and until when, while requiring sign-in for account-linked purchases.</x:v>
      </x:c>
      <x:c r="E53" s="58" t="str">
        <x:v>Both Subscription settings and refresh endpoint require a signed-in Buff account. An active label appears only when cached expires_at parses to a future instant, with localized access-through date; the client does not trust the entitled boolean alone. On mount it silently asks the server for current status and updates the encrypted cached account only on a successful account-shaped response.</x:v>
      </x:c>
      <x:c r="F53" s="58" t="str">
        <x:v>Both</x:v>
      </x:c>
      <x:c r="G53" s="58" t="str">
        <x:v>Signed out; signed in inactive; future/past/malformed expiry; offline cached state</x:v>
      </x:c>
      <x:c r="H53" s="58" t="str">
        <x:v>Sign out and follow Subscription route; sign in with future/expired subscription; relaunch offline and then reconnect; verify localized date/status refresh.</x:v>
      </x:c>
      <x:c r="I53" s="58" t="str">
        <x:v>Repeat Android with the same account state transitions.</x:v>
      </x:c>
      <x:c r="J53" s="58" t="str">
        <x:v>/Users/mason/Sites/Buff/tests/Feature/SubscriptionTest.php:14-67; /Users/mason/Sites/Buff/tests/subscriptions.test.ts</x:v>
      </x:c>
      <x:c r="K53" s="58" t="str">
        <x:v>/Users/mason/Sites/Buff/routes/web.php:90-103; /Users/mason/Sites/Buff/resources/js/Pages/Settings/Subscription.vue:23-78,199-237; /Users/mason/Sites/Buff/resources/js/subscriptions.ts:60-64; /Users/mason/Sites/Buff/app/Http/Controllers/SubscriptionController.php:11-20</x:v>
      </x:c>
      <x:c r="L53" s="58" t="str">
        <x:v>Mapped</x:v>
      </x:c>
      <x:c r="M53" s="58" t="str">
        <x:v>Ready</x:v>
      </x:c>
      <x:c r="N53" s="58" t="str">
        <x:v>Not Run</x:v>
      </x:c>
      <x:c r="O53" s="58" t="str">
        <x:v>Passed</x:v>
      </x:c>
      <x:c r="P53" s="58" t="str">
        <x:v>Android: /Users/mason/.codex/visualizations/2026/09/01/01a05def-1c0d-76d1-abc6-07c63a443582/emulator-runs/initial/android-guest/ACC-049-050-subscription.png — The signed-in free account displayed Buff+ benefits, no active-expiry label, inactive hub summary, legal/support links, and a manual status refresh action.</x:v>
      </x:c>
      <x:c r="Q53" s="58" t="str"/>
      <x:c r="R53" s="58" t="str">
        <x:v>Not Needed</x:v>
      </x:c>
      <x:c r="S53" s="58" t="str"/>
      <x:c r="T53" s="58" t="str">
        <x:v>Not Run</x:v>
      </x:c>
      <x:c r="U53" s="58" t="str">
        <x:v>Not Run</x:v>
      </x:c>
      <x:c r="V53" s="58" t="str"/>
      <x:c r="W53" s="58" t="str">
        <x:f>IF(AND(OR(N53="Passed",N53="Failed",N53="Not Applicable"),OR(O53="Passed",O53="Failed",O53="Not Applicable"),OR(N53="Passed",N53="Failed",O53="Passed",O53="Failed"),OR(T53="Passed",T53="Not Applicable"),OR(U53="Passed",U53="Not Applicable"),OR(T53="Passed",U53="Passed"),Y53="Reconciled",Z53="Reconciled",IF(Q53&lt;&gt;"",R53="Fixed",TRUE)),"Verified",IF(OR(T53="Failed",U53="Failed"),"Retest Failed",IF(OR(N53="Failed",O53="Failed",Q53&lt;&gt;""),"Defect Found",IF(AND(OR(N53="Passed",N53="Not Applicable"),OR(O53="Passed",O53="Not Applicable"),OR(N53="Passed",O53="Passed")),"Initial Pass","Not Complete"))))</x:f>
        <x:v>Not Complete</x:v>
      </x:c>
      <x:c r="X53" s="58" t="str">
        <x:v>UX inconsistency: the page contains a Sign in to subscribe card, but route middleware redirects signed-out users before that branch can render, making the card effectively unreachable.</x:v>
      </x:c>
      <x:c r="Y53" s="58" t="str">
        <x:f>IF(OR(N53="Not Run",O53="Not Run"),"Pending",IF(AND(OR(N53="Not Applicable",COUNTIFS('Test Runs'!$B$5:$B$2004,A53,'Test Runs'!$C$5:$C$2004,"Initial",'Test Runs'!$D$5:$D$2004,"iOS",'Test Runs'!$I$5:$I$2004,N53)&gt;0),OR(O53="Not Applicable",COUNTIFS('Test Runs'!$B$5:$B$2004,A53,'Test Runs'!$C$5:$C$2004,"Initial",'Test Runs'!$D$5:$D$2004,"Android",'Test Runs'!$I$5:$I$2004,O53)&gt;0)),"Reconciled","Mismatch"))</x:f>
        <x:v>Pending</x:v>
      </x:c>
      <x:c r="Z53" s="58" t="str">
        <x:f>IF(OR(T53="Not Run",U53="Not Run"),"Pending",IF(AND(OR(T53="Not Applicable",COUNTIFS('Test Runs'!$B$5:$B$2004,A53,'Test Runs'!$C$5:$C$2004,"Retest",'Test Runs'!$D$5:$D$2004,"iOS",'Test Runs'!$I$5:$I$2004,T53)&gt;0),OR(U53="Not Applicable",COUNTIFS('Test Runs'!$B$5:$B$2004,A53,'Test Runs'!$C$5:$C$2004,"Retest",'Test Runs'!$D$5:$D$2004,"Android",'Test Runs'!$I$5:$I$2004,U53)&gt;0)),"Reconciled","Mismatch"))</x:f>
        <x:v>Pending</x:v>
      </x:c>
    </x:row>
    <x:row r="54" ht="120" customHeight="1">
      <x:c r="A54" s="58" t="str">
        <x:v>ACC-050</x:v>
      </x:c>
      <x:c r="B54" s="58" t="str">
        <x:v>Native subscription identity and offerings</x:v>
      </x:c>
      <x:c r="C54" s="58" t="str">
        <x:v>/settings/subscription on mount</x:v>
      </x:c>
      <x:c r="D54" s="58" t="str">
        <x:v>As a signed-in mobile user, I want store products loaded for my Buff identity with accurate local price, period, and trial terms.</x:v>
      </x:c>
      <x:c r="E54" s="58" t="str">
        <x:v>Configuration resolves iOS/Android from native System detection before store setup, requires the matching RevenueCat public SDK key and server-issued opaque identity, and serializes account switches. It waits for matching completion/failure when switching_account, ignores other identities, and times out after 30 seconds. Valid monthly/annual packages are normalized, sorted monthly first and show localized price/period/trial details. Store setup errors retain the detected store and actionable App Store/Google Play recovery copy; unsupported web directs users to mobile.</x:v>
      </x:c>
      <x:c r="F54" s="58" t="str">
        <x:v>Both, platform store branches</x:v>
      </x:c>
      <x:c r="G54" s="58" t="str">
        <x:v>RevenueCat test offering with monthly/annual/unknown/malformed packages; missing iOS/Android key; rapid account switch; delayed/mismatched event</x:v>
      </x:c>
      <x:c r="H54" s="58" t="str">
        <x:v>Load valid/malformed offerings, omit key/identity, and force native setup failure. Verify App Store-specific recovery copy and that the platform does not become unsupported. Switch accounts during setup, withhold/mismatch events, and verify timeout, pricing/trial/current product.</x:v>
      </x:c>
      <x:c r="I54" s="58" t="str">
        <x:v>Repeat with Google Play products and native Android detection, including a mismatched asset-mode test fixture; verify store-specific errors and account switching.</x:v>
      </x:c>
      <x:c r="J54" s="58" t="str">
        <x:v>/Users/mason/Sites/Buff/tests/subscriptions.test.ts; /Users/mason/Sites/Buff/tests/Unit/SubscriptionsPluginTest.php; /Users/mason/Sites/buff-server/tests/Feature/SubscriptionTest.php:17-44</x:v>
      </x:c>
      <x:c r="K54" s="58" t="str">
        <x:v>/Users/mason/Sites/Buff/resources/js/Pages/Settings/Subscription.vue:94-143,239-269; /Users/mason/Sites/Buff/resources/js/subscriptions.ts:100-136,147-224,227-316; /Users/mason/Sites/Buff/native-plugins/in-app-purchases/nativephp.json; /Users/mason/Sites/buff-server/app/Models/User.php; /Users/mason/Sites/buff-server/app/Http/Resources/UserResource.php:14-31</x:v>
      </x:c>
      <x:c r="L54" s="58" t="str">
        <x:v>Mapped</x:v>
      </x:c>
      <x:c r="M54" s="58" t="str">
        <x:v>Ready</x:v>
      </x:c>
      <x:c r="N54" s="58" t="str">
        <x:v>Not Run</x:v>
      </x:c>
      <x:c r="O54" s="58" t="str">
        <x:v>Failed</x:v>
      </x:c>
      <x:c r="P54" s="58" t="str">
        <x:v>Android: /Users/mason/.codex/visualizations/2026/09/01/01a05def-1c0d-76d1-abc6-07c63a443582/emulator-runs/initial/android-guest/ACC-049-050-subscription.png
/Users/mason/.codex/visualizations/2026/09/01/01a05def-1c0d-76d1-abc6-07c63a443582/emulator-runs/initial/android-guest/ACC-050-053-subscription-empty-after-refresh.png
/Users/mason/.codex/visualizations/2026/09/01/01a05def-1c0d-76d1-abc6-07c63a443582/emulator-runs/initial/android-guest/ACC-050-058-platform-mode-mismatch.log — The Android store bridge rejected an iOS-mode public key, the page mislabeled Android as unsupported and told the user to use the mobile app, then Refresh status erased the error while leaving no offerings or explanatory empty state.</x:v>
      </x:c>
      <x:c r="Q54" s="58" t="str">
        <x:v>DEF-048
DEF-049
DEF-050</x:v>
      </x:c>
      <x:c r="R54" s="58" t="str">
        <x:v>In Progress</x:v>
      </x:c>
      <x:c r="S54" s="58" t="str"/>
      <x:c r="T54" s="58" t="str">
        <x:v>Not Run</x:v>
      </x:c>
      <x:c r="U54" s="58" t="str">
        <x:v>Not Run</x:v>
      </x:c>
      <x:c r="V54" s="58" t="str"/>
      <x:c r="W54" s="58" t="str">
        <x:f>IF(AND(OR(N54="Passed",N54="Failed",N54="Not Applicable"),OR(O54="Passed",O54="Failed",O54="Not Applicable"),OR(N54="Passed",N54="Failed",O54="Passed",O54="Failed"),OR(T54="Passed",T54="Not Applicable"),OR(U54="Passed",U54="Not Applicable"),OR(T54="Passed",U54="Passed"),Y54="Reconciled",Z54="Reconciled",IF(Q54&lt;&gt;"",R54="Fixed",TRUE)),"Verified",IF(OR(T54="Failed",U54="Failed"),"Retest Failed",IF(OR(N54="Failed",O54="Failed",Q54&lt;&gt;""),"Defect Found",IF(AND(OR(N54="Passed",N54="Not Applicable"),OR(O54="Passed",O54="Not Applicable"),OR(N54="Passed",O54="Passed")),"Initial Pass","Not Complete"))))</x:f>
        <x:v>Defect Found</x:v>
      </x:c>
      <x:c r="X54" s="58" t="str">
        <x:v>Risk: packages whose RevenueCat package identifiers do not contain monthly/annual/yearly are silently dropped even if they grant the correct entitlement.</x:v>
      </x:c>
      <x:c r="Y54" s="58" t="str">
        <x:f>IF(OR(N54="Not Run",O54="Not Run"),"Pending",IF(AND(OR(N54="Not Applicable",COUNTIFS('Test Runs'!$B$5:$B$2004,A54,'Test Runs'!$C$5:$C$2004,"Initial",'Test Runs'!$D$5:$D$2004,"iOS",'Test Runs'!$I$5:$I$2004,N54)&gt;0),OR(O54="Not Applicable",COUNTIFS('Test Runs'!$B$5:$B$2004,A54,'Test Runs'!$C$5:$C$2004,"Initial",'Test Runs'!$D$5:$D$2004,"Android",'Test Runs'!$I$5:$I$2004,O54)&gt;0)),"Reconciled","Mismatch"))</x:f>
        <x:v>Pending</x:v>
      </x:c>
      <x:c r="Z54" s="58" t="str">
        <x:f>IF(OR(T54="Not Run",U54="Not Run"),"Pending",IF(AND(OR(T54="Not Applicable",COUNTIFS('Test Runs'!$B$5:$B$2004,A54,'Test Runs'!$C$5:$C$2004,"Retest",'Test Runs'!$D$5:$D$2004,"iOS",'Test Runs'!$I$5:$I$2004,T54)&gt;0),OR(U54="Not Applicable",COUNTIFS('Test Runs'!$B$5:$B$2004,A54,'Test Runs'!$C$5:$C$2004,"Retest",'Test Runs'!$D$5:$D$2004,"Android",'Test Runs'!$I$5:$I$2004,U54)&gt;0)),"Reconciled","Mismatch"))</x:f>
        <x:v>Pending</x:v>
      </x:c>
    </x:row>
    <x:row r="55" ht="120" customHeight="1">
      <x:c r="A55" s="58" t="str">
        <x:v>ACC-051</x:v>
      </x:c>
      <x:c r="B55" s="58" t="str">
        <x:v>Buff+ purchase</x:v>
      </x:c>
      <x:c r="C55" s="58" t="str">
        <x:v>/settings/subscription &gt; Choose monthly/annual</x:v>
      </x:c>
      <x:c r="D55" s="58" t="str">
        <x:v>As a signed-in mobile user, I want to buy a monthly or annual Buff+ package and receive clear cancelled, pending, failure, and confirmed outcomes.</x:v>
      </x:c>
      <x:c r="E55" s="58" t="str">
        <x:v>Choosing a package disables all purchase actions, calls the native store with its package identifier, and waits for RevenueCat events. Cancel clears busy with Purchase cancelled; pending explains unlock waits for store confirmation; native failure shows its safe message; completed triggers server refresh. Buff+ becomes active only if the authoritative refreshed expiry is in the future; otherwise it says confirmation is still pending. Active users cannot purchase another package and are directed to manage the plan.</x:v>
      </x:c>
      <x:c r="F55" s="58" t="str">
        <x:v>Both</x:v>
      </x:c>
      <x:c r="G55" s="58" t="str">
        <x:v>Store sandbox products; successful/cancelled/pending/failed purchase; delayed server projection; already active account</x:v>
      </x:c>
      <x:c r="H55" s="58" t="str">
        <x:v>Purchase each package in StoreKit sandbox; exercise Ask to Buy/pending, cancel, failure, and server-delay; verify no unlock before server confirmation and duplicate taps blocked.</x:v>
      </x:c>
      <x:c r="I55" s="58" t="str">
        <x:v>Repeat with Google Play license tester, slow pending purchase, cancel/failure, and delayed server refresh.</x:v>
      </x:c>
      <x:c r="J55" s="58" t="str">
        <x:v>/Users/mason/Sites/Buff/tests/subscriptions.test.ts; /Users/mason/Sites/Buff/tests/Unit/SubscriptionsPluginTest.php; /Users/mason/Sites/buff-server/tests/Feature/SubscriptionTest.php</x:v>
      </x:c>
      <x:c r="K55" s="58" t="str">
        <x:v>/Users/mason/Sites/Buff/resources/js/Pages/Settings/Subscription.vue:80-92,108-129,145-160,239-263; /Users/mason/Sites/Buff/native-plugins/in-app-purchases/resources/ios/Sources/SubscriptionsFunctions.swift:105-178; /Users/mason/Sites/Buff/native-plugins/in-app-purchases/resources/android/src/com/buff/inapppurchases/SubscriptionsFunctions.kt</x:v>
      </x:c>
      <x:c r="L55" s="58" t="str">
        <x:v>Mapped</x:v>
      </x:c>
      <x:c r="M55" s="58" t="str">
        <x:v>Ready</x:v>
      </x:c>
      <x:c r="N55" s="58" t="str">
        <x:v>Not Run</x:v>
      </x:c>
      <x:c r="O55" s="58" t="str">
        <x:v>Blocked</x:v>
      </x:c>
      <x:c r="P55"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/Users/mason/.codex/visualizations/2026/09/01/01a05def-1c0d-76d1-abc6-07c63a443582/emulator-runs/initial/android/ACC-055-068-081-observations.json
/Users/mason/.codex/visualizations/2026/09/01/01a05def-1c0d-76d1-abc6-07c63a443582/emulator-runs/initial/android/ACC-051-052-NUT-058-080-buff-plus-blocked-observations.json — Subscription rendered 'Subscriptions are temporarily unavailable.' with no monthly or annual purchase controls. Purchase and restore were not tapped. Purchase success, cancellation, pending, native failure, delayed authoritative confirmation, and already-active handling remain unexercised.</x:v>
      </x:c>
      <x:c r="Q55" s="58" t="str"/>
      <x:c r="R55" s="58" t="str">
        <x:v>Not Needed</x:v>
      </x:c>
      <x:c r="S55" s="58" t="str"/>
      <x:c r="T55" s="58" t="str">
        <x:v>Not Run</x:v>
      </x:c>
      <x:c r="U55" s="58" t="str">
        <x:v>Not Run</x:v>
      </x:c>
      <x:c r="V55" s="58" t="str"/>
      <x:c r="W55" s="58" t="str">
        <x:f>IF(AND(OR(N55="Passed",N55="Failed",N55="Not Applicable"),OR(O55="Passed",O55="Failed",O55="Not Applicable"),OR(N55="Passed",N55="Failed",O55="Passed",O55="Failed"),OR(T55="Passed",T55="Not Applicable"),OR(U55="Passed",U55="Not Applicable"),OR(T55="Passed",U55="Passed"),Y55="Reconciled",Z55="Reconciled",IF(Q55&lt;&gt;"",R55="Fixed",TRUE)),"Verified",IF(OR(T55="Failed",U55="Failed"),"Retest Failed",IF(OR(N55="Failed",O55="Failed",Q55&lt;&gt;""),"Defect Found",IF(AND(OR(N55="Passed",N55="Not Applicable"),OR(O55="Passed",O55="Not Applicable"),OR(N55="Passed",O55="Passed")),"Initial Pass","Not Complete"))))</x:f>
        <x:v>Not Complete</x:v>
      </x:c>
      <x:c r="X55" s="58" t="str">
        <x:v>Risk: no explicit finite timeout exists for purchase/restore events after native start; if the bridge accepts the call but emits no terminal event, the page can remain busy until navigation/reload.</x:v>
      </x:c>
      <x:c r="Y55" s="58" t="str">
        <x:f>IF(OR(N55="Not Run",O55="Not Run"),"Pending",IF(AND(OR(N55="Not Applicable",COUNTIFS('Test Runs'!$B$5:$B$2004,A55,'Test Runs'!$C$5:$C$2004,"Initial",'Test Runs'!$D$5:$D$2004,"iOS",'Test Runs'!$I$5:$I$2004,N55)&gt;0),OR(O55="Not Applicable",COUNTIFS('Test Runs'!$B$5:$B$2004,A55,'Test Runs'!$C$5:$C$2004,"Initial",'Test Runs'!$D$5:$D$2004,"Android",'Test Runs'!$I$5:$I$2004,O55)&gt;0)),"Reconciled","Mismatch"))</x:f>
        <x:v>Pending</x:v>
      </x:c>
      <x:c r="Z55" s="58" t="str">
        <x:f>IF(OR(T55="Not Run",U55="Not Run"),"Pending",IF(AND(OR(T55="Not Applicable",COUNTIFS('Test Runs'!$B$5:$B$2004,A55,'Test Runs'!$C$5:$C$2004,"Retest",'Test Runs'!$D$5:$D$2004,"iOS",'Test Runs'!$I$5:$I$2004,T55)&gt;0),OR(U55="Not Applicable",COUNTIFS('Test Runs'!$B$5:$B$2004,A55,'Test Runs'!$C$5:$C$2004,"Retest",'Test Runs'!$D$5:$D$2004,"Android",'Test Runs'!$I$5:$I$2004,U55)&gt;0)),"Reconciled","Mismatch"))</x:f>
        <x:v>Pending</x:v>
      </x:c>
    </x:row>
    <x:row r="56" ht="120" customHeight="1">
      <x:c r="A56" s="58" t="str">
        <x:v>ACC-052</x:v>
      </x:c>
      <x:c r="B56" s="58" t="str">
        <x:v>Restore purchases</x:v>
      </x:c>
      <x:c r="C56" s="58" t="str">
        <x:v>/settings/subscription &gt; Restore purchases</x:v>
      </x:c>
      <x:c r="D56" s="58" t="str">
        <x:v>As a signed-in mobile user, I want to restore the store account's Buff+ purchase to my Buff account across devices.</x:v>
      </x:c>
      <x:c r="E56" s="58" t="str">
        <x:v>Restore is available on supported mobile platforms, serialized with other busy actions, and calls RevenueCat restore. Native failure is displayed; completion always asks the server to refresh the signed-in Buff account. A future expiry reports restored/active; an inactive projection reports no active subscription found. Server identity remains the Buff RevenueCat UUID, so restore/account transfers are resolved by RevenueCat and then projected by the server.</x:v>
      </x:c>
      <x:c r="F56" s="58" t="str">
        <x:v>Both</x:v>
      </x:c>
      <x:c r="G56" s="58" t="str">
        <x:v>Purchased store account; different Buff account; no purchases; native/server failure</x:v>
      </x:c>
      <x:c r="H56" s="58" t="str">
        <x:v>Buy with one device, reinstall/sign in same Buff account and restore; try empty/different store account; simulate native and server errors.</x:v>
      </x:c>
      <x:c r="I56" s="58" t="str">
        <x:v>Repeat through Play Store tester accounts and Buff account switching.</x:v>
      </x:c>
      <x:c r="J56" s="58" t="str">
        <x:v>/Users/mason/Sites/Buff/tests/subscriptions.test.ts; /Users/mason/Sites/Buff/tests/Unit/SubscriptionsPluginTest.php; /Users/mason/Sites/buff-server/tests/Feature/SubscriptionTest.php</x:v>
      </x:c>
      <x:c r="K56" s="58" t="str">
        <x:v>/Users/mason/Sites/Buff/resources/js/Pages/Settings/Subscription.vue:80-92,130-135,162-177,276-285; /Users/mason/Sites/Buff/native-plugins/in-app-purchases/resources/ios/Sources/SubscriptionsFunctions.swift:180-205; /Users/mason/Sites/Buff/native-plugins/in-app-purchases/resources/android/src/com/buff/inapppurchases/SubscriptionsFunctions.kt</x:v>
      </x:c>
      <x:c r="L56" s="58" t="str">
        <x:v>Mapped</x:v>
      </x:c>
      <x:c r="M56" s="58" t="str">
        <x:v>Ready</x:v>
      </x:c>
      <x:c r="N56" s="58" t="str">
        <x:v>Not Run</x:v>
      </x:c>
      <x:c r="O56" s="58" t="str">
        <x:v>Blocked</x:v>
      </x:c>
      <x:c r="P56"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/Users/mason/.codex/visualizations/2026/09/01/01a05def-1c0d-76d1-abc6-07c63a443582/emulator-runs/initial/android/ACC-055-068-081-observations.json
/Users/mason/.codex/visualizations/2026/09/01/01a05def-1c0d-76d1-abc6-07c63a443582/emulator-runs/initial/android/ACC-051-052-NUT-058-080-buff-plus-blocked-observations.json — Subscription rendered 'Subscriptions are temporarily unavailable.' with no Restore purchases control. Purchase and restore were not tapped. Active, empty, cross-account, native-failure, and server-failure restore outcomes remain unexercised.</x:v>
      </x:c>
      <x:c r="Q56" s="58" t="str"/>
      <x:c r="R56" s="58" t="str">
        <x:v>Not Needed</x:v>
      </x:c>
      <x:c r="S56" s="58" t="str"/>
      <x:c r="T56" s="58" t="str">
        <x:v>Not Run</x:v>
      </x:c>
      <x:c r="U56" s="58" t="str">
        <x:v>Not Run</x:v>
      </x:c>
      <x:c r="V56" s="58" t="str"/>
      <x:c r="W56" s="58" t="str">
        <x:f>IF(AND(OR(N56="Passed",N56="Failed",N56="Not Applicable"),OR(O56="Passed",O56="Failed",O56="Not Applicable"),OR(N56="Passed",N56="Failed",O56="Passed",O56="Failed"),OR(T56="Passed",T56="Not Applicable"),OR(U56="Passed",U56="Not Applicable"),OR(T56="Passed",U56="Passed"),Y56="Reconciled",Z56="Reconciled",IF(Q56&lt;&gt;"",R56="Fixed",TRUE)),"Verified",IF(OR(T56="Failed",U56="Failed"),"Retest Failed",IF(OR(N56="Failed",O56="Failed",Q56&lt;&gt;""),"Defect Found",IF(AND(OR(N56="Passed",N56="Not Applicable"),OR(O56="Passed",O56="Not Applicable"),OR(N56="Passed",O56="Passed")),"Initial Pass","Not Complete"))))</x:f>
        <x:v>Not Complete</x:v>
      </x:c>
      <x:c r="X56" s="58" t="str">
        <x:v>Account-transfer behavior depends on the configured RevenueCat restore/alias policy, which is not expressed in this app code and must be verified in sandbox configuration.</x:v>
      </x:c>
      <x:c r="Y56" s="58" t="str">
        <x:f>IF(OR(N56="Not Run",O56="Not Run"),"Pending",IF(AND(OR(N56="Not Applicable",COUNTIFS('Test Runs'!$B$5:$B$2004,A56,'Test Runs'!$C$5:$C$2004,"Initial",'Test Runs'!$D$5:$D$2004,"iOS",'Test Runs'!$I$5:$I$2004,N56)&gt;0),OR(O56="Not Applicable",COUNTIFS('Test Runs'!$B$5:$B$2004,A56,'Test Runs'!$C$5:$C$2004,"Initial",'Test Runs'!$D$5:$D$2004,"Android",'Test Runs'!$I$5:$I$2004,O56)&gt;0)),"Reconciled","Mismatch"))</x:f>
        <x:v>Pending</x:v>
      </x:c>
      <x:c r="Z56" s="58" t="str">
        <x:f>IF(OR(T56="Not Run",U56="Not Run"),"Pending",IF(AND(OR(T56="Not Applicable",COUNTIFS('Test Runs'!$B$5:$B$2004,A56,'Test Runs'!$C$5:$C$2004,"Retest",'Test Runs'!$D$5:$D$2004,"iOS",'Test Runs'!$I$5:$I$2004,T56)&gt;0),OR(U56="Not Applicable",COUNTIFS('Test Runs'!$B$5:$B$2004,A56,'Test Runs'!$C$5:$C$2004,"Retest",'Test Runs'!$D$5:$D$2004,"Android",'Test Runs'!$I$5:$I$2004,U56)&gt;0)),"Reconciled","Mismatch"))</x:f>
        <x:v>Pending</x:v>
      </x:c>
    </x:row>
    <x:row r="57" ht="120" customHeight="1">
      <x:c r="A57" s="58" t="str">
        <x:v>ACC-053</x:v>
      </x:c>
      <x:c r="B57" s="58" t="str">
        <x:v>Authoritative subscription refresh</x:v>
      </x:c>
      <x:c r="C57" s="58" t="str">
        <x:v>/settings/subscription &gt; Refresh status and POST /subscription/refresh</x:v>
      </x:c>
      <x:c r="D57" s="58" t="str">
        <x:v>As a user, I want Refresh status to reconcile Buff+ from RevenueCat without letting local input forge entitlement or erasing valid access during an outage.</x:v>
      </x:c>
      <x:c r="E57" s="58" t="str">
        <x:v>Client POSTs an empty refresh request; Buff forwards no client entitlement fields. Server queries RevenueCat for the authenticated user's protected app-user ID and returns normalized UserResource. Mobile caches only successful responses. Manual failures show the server message; silent mount failure preserves cached state. Refresh errors are separate from store setup errors, so Refresh status does not erase an unresolved store failure. Provider/malformed failure returns 503 and preserves the last server projection/check time. Refresh is limited to 10 per user per minute.</x:v>
      </x:c>
      <x:c r="F57" s="58" t="str">
        <x:v>Both</x:v>
      </x:c>
      <x:c r="G57" s="58" t="str">
        <x:v>Forged request fields; RevenueCat 5xx/timeout/malformed; rate limit; stale cached active/inactive state</x:v>
      </x:c>
      <x:c r="H57" s="58" t="str">
        <x:v>Refresh under each provider/network/malformed failure, inspect alert and cached status, exceed rate limit and verify forged fields are ignored. First create a store setup failure, then refresh successfully and verify the store error remains.</x:v>
      </x:c>
      <x:c r="I57" s="58" t="str">
        <x:v>Repeat Android, including offline mount/reconnect and successful Refresh status while a Google Play setup error remains.</x:v>
      </x:c>
      <x:c r="J57" s="58" t="str">
        <x:v>/Users/mason/Sites/Buff/tests/Feature/SubscriptionTest.php:27-67; /Users/mason/Sites/buff-server/tests/Feature/SubscriptionTest.php:82-113,189-219</x:v>
      </x:c>
      <x:c r="K57" s="58" t="str">
        <x:v>/Users/mason/Sites/Buff/app/Http/Controllers/SubscriptionController.php:11-20; /Users/mason/Sites/Buff/resources/js/Pages/Settings/Subscription.vue:51-78,284; /Users/mason/Sites/buff-server/app/Http/Controllers/Api/V1/SubscriptionController.php:10-20; /Users/mason/Sites/buff-server/app/Services/RevenueCatService.php:16-41; /Users/mason/Sites/buff-server/app/Providers/AppServiceProvider.php:44</x:v>
      </x:c>
      <x:c r="L57" s="58" t="str">
        <x:v>Mapped</x:v>
      </x:c>
      <x:c r="M57" s="58" t="str">
        <x:v>Ready</x:v>
      </x:c>
      <x:c r="N57" s="58" t="str">
        <x:v>Not Run</x:v>
      </x:c>
      <x:c r="O57" s="58" t="str">
        <x:v>Passed</x:v>
      </x:c>
      <x:c r="P57" s="58" t="str">
        <x:v>Android: /Users/mason/.codex/visualizations/2026/09/01/01a05def-1c0d-76d1-abc6-07c63a443582/emulator-runs/initial/android-guest/dom-observations-batch-015.json — Mount and manual empty-body /subscription/refresh requests completed, the manual button disabled while checking, and the server projection remained non-entitled without accepting client entitlement fields.</x:v>
      </x:c>
      <x:c r="Q57" s="58" t="str"/>
      <x:c r="R57" s="58" t="str">
        <x:v>Not Needed</x:v>
      </x:c>
      <x:c r="S57" s="58" t="str"/>
      <x:c r="T57" s="58" t="str">
        <x:v>Not Run</x:v>
      </x:c>
      <x:c r="U57" s="58" t="str">
        <x:v>Not Run</x:v>
      </x:c>
      <x:c r="V57" s="58" t="str"/>
      <x:c r="W57" s="58" t="str">
        <x:f>IF(AND(OR(N57="Passed",N57="Failed",N57="Not Applicable"),OR(O57="Passed",O57="Failed",O57="Not Applicable"),OR(N57="Passed",N57="Failed",O57="Passed",O57="Failed"),OR(T57="Passed",T57="Not Applicable"),OR(U57="Passed",U57="Not Applicable"),OR(T57="Passed",U57="Passed"),Y57="Reconciled",Z57="Reconciled",IF(Q57&lt;&gt;"",R57="Fixed",TRUE)),"Verified",IF(OR(T57="Failed",U57="Failed"),"Retest Failed",IF(OR(N57="Failed",O57="Failed",Q57&lt;&gt;""),"Defect Found",IF(AND(OR(N57="Passed",N57="Not Applicable"),OR(O57="Passed",O57="Not Applicable"),OR(N57="Passed",O57="Passed")),"Initial Pass","Not Complete"))))</x:f>
        <x:v>Not Complete</x:v>
      </x:c>
      <x:c r="X57" s="58" t="str">
        <x:v>Silent mount refresh deliberately hides outages, so users may briefly see stale cached access state until another gated server action or manual refresh clarifies it.</x:v>
      </x:c>
      <x:c r="Y57" s="58" t="str">
        <x:f>IF(OR(N57="Not Run",O57="Not Run"),"Pending",IF(AND(OR(N57="Not Applicable",COUNTIFS('Test Runs'!$B$5:$B$2004,A57,'Test Runs'!$C$5:$C$2004,"Initial",'Test Runs'!$D$5:$D$2004,"iOS",'Test Runs'!$I$5:$I$2004,N57)&gt;0),OR(O57="Not Applicable",COUNTIFS('Test Runs'!$B$5:$B$2004,A57,'Test Runs'!$C$5:$C$2004,"Initial",'Test Runs'!$D$5:$D$2004,"Android",'Test Runs'!$I$5:$I$2004,O57)&gt;0)),"Reconciled","Mismatch"))</x:f>
        <x:v>Pending</x:v>
      </x:c>
      <x:c r="Z57" s="58" t="str">
        <x:f>IF(OR(T57="Not Run",U57="Not Run"),"Pending",IF(AND(OR(T57="Not Applicable",COUNTIFS('Test Runs'!$B$5:$B$2004,A57,'Test Runs'!$C$5:$C$2004,"Retest",'Test Runs'!$D$5:$D$2004,"iOS",'Test Runs'!$I$5:$I$2004,T57)&gt;0),OR(U57="Not Applicable",COUNTIFS('Test Runs'!$B$5:$B$2004,A57,'Test Runs'!$C$5:$C$2004,"Retest",'Test Runs'!$D$5:$D$2004,"Android",'Test Runs'!$I$5:$I$2004,U57)&gt;0)),"Reconciled","Mismatch"))</x:f>
        <x:v>Pending</x:v>
      </x:c>
    </x:row>
    <x:row r="58" ht="120" customHeight="1">
      <x:c r="A58" s="58" t="str">
        <x:v>ACC-054</x:v>
      </x:c>
      <x:c r="B58" s="58" t="str">
        <x:v>RevenueCat entitlement lifecycle</x:v>
      </x:c>
      <x:c r="C58" s="58" t="str">
        <x:v>RevenueCat webhook and subsequent account refresh</x:v>
      </x:c>
      <x:c r="D58" s="58" t="str">
        <x:v>As a subscriber, I want renewals, billing grace, refunds, expiry, transfers, and webhooks reflected consistently in Buff+ access.</x:v>
      </x:c>
      <x:c r="E58" s="58" t="str">
        <x:v>Server recognizes only configured buff_plus entitlement, validates associated subscription/product metadata, extends access to a later grace-period expiry, clears inactive/missing/refunded entitlements and production-disallowed sandbox purchases, and stores product/store/HTTPS management URL. RevenueCat webhooks require configured authorization plus timestamped HMAC signature within tolerance, validate current/alias/transferred identities, acknowledge quickly, and queue a unique refresh for every matching Buff user. Job failures are logged/retried without trusting webhook entitlement fields.</x:v>
      </x:c>
      <x:c r="F58" s="58" t="str">
        <x:v>Server-driven for both</x:v>
      </x:c>
      <x:c r="G58" s="58" t="str">
        <x:v>Active/expired/grace/refunded/sandbox subscriber; aliases/transfers; valid/stale/future/bad signature; queue retry</x:v>
      </x:c>
      <x:c r="H58" s="58" t="str">
        <x:v>Use StoreKit sandbox to renew/refund/expire and inspect Buff after webhook/refresh; test grace and transfer/alias identity; verify stale signatures rejected.</x:v>
      </x:c>
      <x:c r="I58" s="58" t="str">
        <x:v>Repeat Google Play sandbox renewal, grace, refund, expiry, and transfer.</x:v>
      </x:c>
      <x:c r="J58" s="58" t="str">
        <x:v>/Users/mason/Sites/buff-server/tests/Feature/SubscriptionTest.php:82-213; /Users/mason/Sites/buff-server/tests/Feature/RevenueCatWebhookTest.php</x:v>
      </x:c>
      <x:c r="K58" s="58" t="str">
        <x:v>/Users/mason/Sites/buff-server/app/Services/RevenueCatService.php:44-151; /Users/mason/Sites/buff-server/app/Http/Controllers/Api/V1/RevenueCatWebhookController.php:12-91; /Users/mason/Sites/buff-server/app/Jobs/RefreshRevenueCatEntitlement.php:16-76; /Users/mason/Sites/buff-server/config/buff.php:17-21</x:v>
      </x:c>
      <x:c r="L58" s="58" t="str">
        <x:v>Mapped</x:v>
      </x:c>
      <x:c r="M58" s="58" t="str">
        <x:v>Ready</x:v>
      </x:c>
      <x:c r="N58" s="58" t="str">
        <x:v>Not Run</x:v>
      </x:c>
      <x:c r="O58" s="58" t="str">
        <x:v>Blocked</x:v>
      </x:c>
      <x:c r="P58" s="58" t="str">
        <x:v>Android: /Users/mason/.codex/visualizations/2026/09/01/01a05def-1c0d-76d1-abc6-07c63a443582/emulator-runs/initial/android/ACC-051-052-NUT-058-080-buff-plus-blocked-observations.json
/Users/mason/.codex/visualizations/2026/09/01/01a05def-1c0d-76d1-abc6-07c63a443582/emulator-runs/initial/android/ACC-054-063-076-HLT-013-047-NUT-109-111-blocker-observations.json — The account remained Inactive and Subscription reported 'Subscriptions are temporarily unavailable.' The free photo entry point routed to that screen.</x:v>
      </x:c>
      <x:c r="Q58" s="58" t="str"/>
      <x:c r="R58" s="58" t="str">
        <x:v>Not Needed</x:v>
      </x:c>
      <x:c r="S58" s="58" t="str"/>
      <x:c r="T58" s="58" t="str">
        <x:v>Not Run</x:v>
      </x:c>
      <x:c r="U58" s="58" t="str">
        <x:v>Not Run</x:v>
      </x:c>
      <x:c r="V58" s="58" t="str"/>
      <x:c r="W58" s="58" t="str">
        <x:f>IF(AND(OR(N58="Passed",N58="Failed",N58="Not Applicable"),OR(O58="Passed",O58="Failed",O58="Not Applicable"),OR(N58="Passed",N58="Failed",O58="Passed",O58="Failed"),OR(T58="Passed",T58="Not Applicable"),OR(U58="Passed",U58="Not Applicable"),OR(T58="Passed",U58="Passed"),Y58="Reconciled",Z58="Reconciled",IF(Q58&lt;&gt;"",R58="Fixed",TRUE)),"Verified",IF(OR(T58="Failed",U58="Failed"),"Retest Failed",IF(OR(N58="Failed",O58="Failed",Q58&lt;&gt;""),"Defect Found",IF(AND(OR(N58="Passed",N58="Not Applicable"),OR(O58="Passed",O58="Not Applicable"),OR(N58="Passed",O58="Passed")),"Initial Pass","Not Complete"))))</x:f>
        <x:v>Not Complete</x:v>
      </x:c>
      <x:c r="X58" s="58" t="str">
        <x:v>Operational risk: timely automatic status depends on webhook delivery and queue workers; the app's manual refresh is the recovery path and should be included in incident testing.</x:v>
      </x:c>
      <x:c r="Y58" s="58" t="str">
        <x:f>IF(OR(N58="Not Run",O58="Not Run"),"Pending",IF(AND(OR(N58="Not Applicable",COUNTIFS('Test Runs'!$B$5:$B$2004,A58,'Test Runs'!$C$5:$C$2004,"Initial",'Test Runs'!$D$5:$D$2004,"iOS",'Test Runs'!$I$5:$I$2004,N58)&gt;0),OR(O58="Not Applicable",COUNTIFS('Test Runs'!$B$5:$B$2004,A58,'Test Runs'!$C$5:$C$2004,"Initial",'Test Runs'!$D$5:$D$2004,"Android",'Test Runs'!$I$5:$I$2004,O58)&gt;0)),"Reconciled","Mismatch"))</x:f>
        <x:v>Pending</x:v>
      </x:c>
      <x:c r="Z58" s="58" t="str">
        <x:f>IF(OR(T58="Not Run",U58="Not Run"),"Pending",IF(AND(OR(T58="Not Applicable",COUNTIFS('Test Runs'!$B$5:$B$2004,A58,'Test Runs'!$C$5:$C$2004,"Retest",'Test Runs'!$D$5:$D$2004,"iOS",'Test Runs'!$I$5:$I$2004,T58)&gt;0),OR(U58="Not Applicable",COUNTIFS('Test Runs'!$B$5:$B$2004,A58,'Test Runs'!$C$5:$C$2004,"Retest",'Test Runs'!$D$5:$D$2004,"Android",'Test Runs'!$I$5:$I$2004,U58)&gt;0)),"Reconciled","Mismatch"))</x:f>
        <x:v>Pending</x:v>
      </x:c>
    </x:row>
    <x:row r="59" ht="120" customHeight="1">
      <x:c r="A59" s="58" t="str">
        <x:v>ACC-055</x:v>
      </x:c>
      <x:c r="B59" s="58" t="str">
        <x:v>Subscription management and disclosures</x:v>
      </x:c>
      <x:c r="C59" s="58" t="str">
        <x:v>/settings/subscription &gt; Manage subscription / legal links</x:v>
      </x:c>
      <x:c r="D59" s="58" t="str">
        <x:v>As a subscriber, I want a safe link to manage/cancel in my store and clear auto-renewal, trial, legal, privacy, and support disclosures.</x:v>
      </x:c>
      <x:c r="E59" s="58" t="str">
        <x:v>Manage uses RevenueCat's nonblank management URL when present, otherwise platform-specific Apple/Google subscription settings; unsupported web has no link. It attempts the native system browser then falls back to window navigation. Each package states localized renewal period/price, store billing and cancellation instructions; annual free trial copy is conditional on isFreeTrial. Terms/EULA, Privacy Policy, and Support open external HTTPS pages.</x:v>
      </x:c>
      <x:c r="F59" s="58" t="str">
        <x:v>Both</x:v>
      </x:c>
      <x:c r="G59" s="58" t="str">
        <x:v>Provider URL valid/blank; supported/unsupported platform; free trial/nontrial; Browser.open success/failure</x:v>
      </x:c>
      <x:c r="H59" s="58" t="str">
        <x:v>Verify provider/store fallback opens externally, back returns to Buff, correct Apple copy and all legal/support pages resolve.</x:v>
      </x:c>
      <x:c r="I59" s="58" t="str">
        <x:v>Repeat for Google Play URL/copy and Browser fallback.</x:v>
      </x:c>
      <x:c r="J59" s="58" t="str">
        <x:v>/Users/mason/Sites/Buff/tests/subscriptions.test.ts:23-250; server validates management URL shape</x:v>
      </x:c>
      <x:c r="K59" s="58" t="str">
        <x:v>/Users/mason/Sites/Buff/resources/js/Pages/Settings/Subscription.vue:39-49,179-197,239-289; /Users/mason/Sites/Buff/resources/js/subscriptions.ts:55-58,80-86; /Users/mason/Sites/buff-server/app/Services/RevenueCatService.php:126-139</x:v>
      </x:c>
      <x:c r="L59" s="58" t="str">
        <x:v>Mapped</x:v>
      </x:c>
      <x:c r="M59" s="58" t="str">
        <x:v>Ready</x:v>
      </x:c>
      <x:c r="N59" s="58" t="str">
        <x:v>Not Run</x:v>
      </x:c>
      <x:c r="O59" s="58" t="str">
        <x:v>Blocked</x:v>
      </x:c>
      <x:c r="P59" s="58" t="str">
        <x:v>Android: /Users/mason/.codex/visualizations/2026/09/01/01a05def-1c0d-76d1-abc6-07c63a443582/emulator-runs/initial/android/ACC-055-inactive-disclosures.png
/Users/mason/.codex/visualizations/2026/09/01/01a05def-1c0d-76d1-abc6-07c63a443582/emulator-runs/initial/android/ACC-055-068-081-observations.json — The inactive subscription page showed Buff+ benefits, 'Subscriptions are temporarily unavailable.', Refresh status, and the legal disclosure. Terms, Privacy, and Support were HTTPS anchors to https://usebuff.app/terms/, https://usebuff.app/privacy/, and https://usebuff.app/support/, each with target=_blank and rel='noopener noreferrer'.</x:v>
      </x:c>
      <x:c r="Q59" s="58" t="str"/>
      <x:c r="R59" s="58" t="str">
        <x:v>Not Needed</x:v>
      </x:c>
      <x:c r="S59" s="58" t="str"/>
      <x:c r="T59" s="58" t="str">
        <x:v>Not Run</x:v>
      </x:c>
      <x:c r="U59" s="58" t="str">
        <x:v>Not Run</x:v>
      </x:c>
      <x:c r="V59" s="58" t="str"/>
      <x:c r="W59" s="58" t="str">
        <x:f>IF(AND(OR(N59="Passed",N59="Failed",N59="Not Applicable"),OR(O59="Passed",O59="Failed",O59="Not Applicable"),OR(N59="Passed",N59="Failed",O59="Passed",O59="Failed"),OR(T59="Passed",T59="Not Applicable"),OR(U59="Passed",U59="Not Applicable"),OR(T59="Passed",U59="Passed"),Y59="Reconciled",Z59="Reconciled",IF(Q59&lt;&gt;"",R59="Fixed",TRUE)),"Verified",IF(OR(T59="Failed",U59="Failed"),"Retest Failed",IF(OR(N59="Failed",O59="Failed",Q59&lt;&gt;""),"Defect Found",IF(AND(OR(N59="Passed",N59="Not Applicable"),OR(O59="Passed",O59="Not Applicable"),OR(N59="Passed",O59="Passed")),"Initial Pass","Not Complete"))))</x:f>
        <x:v>Not Complete</x:v>
      </x:c>
      <x:c r="X59" s="58" t="str">
        <x:v>No material defect evident; external legal URLs and store-management deep links remain live-service dependencies needing release checks.</x:v>
      </x:c>
      <x:c r="Y59" s="58" t="str">
        <x:f>IF(OR(N59="Not Run",O59="Not Run"),"Pending",IF(AND(OR(N59="Not Applicable",COUNTIFS('Test Runs'!$B$5:$B$2004,A59,'Test Runs'!$C$5:$C$2004,"Initial",'Test Runs'!$D$5:$D$2004,"iOS",'Test Runs'!$I$5:$I$2004,N59)&gt;0),OR(O59="Not Applicable",COUNTIFS('Test Runs'!$B$5:$B$2004,A59,'Test Runs'!$C$5:$C$2004,"Initial",'Test Runs'!$D$5:$D$2004,"Android",'Test Runs'!$I$5:$I$2004,O59)&gt;0)),"Reconciled","Mismatch"))</x:f>
        <x:v>Pending</x:v>
      </x:c>
      <x:c r="Z59" s="58" t="str">
        <x:f>IF(OR(T59="Not Run",U59="Not Run"),"Pending",IF(AND(OR(T59="Not Applicable",COUNTIFS('Test Runs'!$B$5:$B$2004,A59,'Test Runs'!$C$5:$C$2004,"Retest",'Test Runs'!$D$5:$D$2004,"iOS",'Test Runs'!$I$5:$I$2004,T59)&gt;0),OR(U59="Not Applicable",COUNTIFS('Test Runs'!$B$5:$B$2004,A59,'Test Runs'!$C$5:$C$2004,"Retest",'Test Runs'!$D$5:$D$2004,"Android",'Test Runs'!$I$5:$I$2004,U59)&gt;0)),"Reconciled","Mismatch"))</x:f>
        <x:v>Pending</x:v>
      </x:c>
    </x:row>
    <x:row r="60" ht="120" customHeight="1">
      <x:c r="A60" s="58" t="str">
        <x:v>ACC-056</x:v>
      </x:c>
      <x:c r="B60" s="58" t="str">
        <x:v>Ad route and entitlement eligibility</x:v>
      </x:c>
      <x:c r="C60" s="58" t="str">
        <x:v>AppShell on /, /goals, /progress</x:v>
      </x:c>
      <x:c r="D60" s="58" t="str">
        <x:v>As a signed-in free user, I want ads limited to expected main screens, while Buff+ and uncertain status remain ad-free.</x:v>
      </x:c>
      <x:c r="E60" s="58" t="str">
        <x:v>Banner eligibility is restricted to the exact top-level paths /, /goals, and /progress, a nonempty signed-in account, and a native iOS/Android shell. Reconciliation hides first, refreshes authoritative server subscription with a 10-second timeout, and proceeds only when the response explicitly says subscription.entitled=false. Active, malformed, unknown, failed, signed-out, unsupported-web, nested, auth, onboarding, settings, and add states hide without loading an ad. Auth screens proactively hide a stale native banner.</x:v>
      </x:c>
      <x:c r="F60" s="58" t="str">
        <x:v>Both</x:v>
      </x:c>
      <x:c r="G60" s="58" t="str">
        <x:v>Signed-in explicitly free/subscribed/unknown account; all routes including query strings/nested paths; refresh timeout/503</x:v>
      </x:c>
      <x:c r="H60" s="58" t="str">
        <x:v>Traverse every route and add drawer with free, subscribed, and failed-refresh accounts; verify native overlay only on the three exact free-user pages and stale banner disappears before transition.</x:v>
      </x:c>
      <x:c r="I60" s="58" t="str">
        <x:v>Repeat Android including app resume and account switch.</x:v>
      </x:c>
      <x:c r="J60" s="58" t="str">
        <x:v>/Users/mason/Sites/Buff/tests/ads.test.ts:126-253,305-319; /Users/mason/Sites/Buff/tests/appShell.test.ts</x:v>
      </x:c>
      <x:c r="K60" s="58" t="str">
        <x:v>/Users/mason/Sites/Buff/resources/js/ads.ts:21-38,46-87,213-315; /Users/mason/Sites/Buff/resources/js/Layouts/AppShell.vue:187-200,278-295; /Users/mason/Sites/Buff/resources/js/Pages/Account.vue; /Users/mason/Sites/Buff/resources/js/Pages/Onboarding.vue; /Users/mason/Sites/buff-server/app/Services/RevenueCatService.php</x:v>
      </x:c>
      <x:c r="L60" s="58" t="str">
        <x:v>Mapped</x:v>
      </x:c>
      <x:c r="M60" s="58" t="str">
        <x:v>Ready</x:v>
      </x:c>
      <x:c r="N60" s="58" t="str">
        <x:v>Not Run</x:v>
      </x:c>
      <x:c r="O60" s="58" t="str">
        <x:v>Failed</x:v>
      </x:c>
      <x:c r="P60" s="58" t="str">
        <x:v>Android: /Users/mason/.codex/visualizations/2026/09/01/01a05def-1c0d-76d1-abc6-07c63a443582/emulator-runs/initial/android/NUT-033-manual-button-obscured-by-ad.png — The explicitly free signed-in account displayed a native banner on /add?mode=food&amp;scan=1 even though Add is outside the three eligible paths.</x:v>
      </x:c>
      <x:c r="Q60" s="58" t="str">
        <x:v>DEF-021</x:v>
      </x:c>
      <x:c r="R60" s="58" t="str">
        <x:v>Fixed</x:v>
      </x:c>
      <x:c r="S60" s="58" t="str"/>
      <x:c r="T60" s="58" t="str">
        <x:v>Not Run</x:v>
      </x:c>
      <x:c r="U60" s="58" t="str">
        <x:v>Not Run</x:v>
      </x:c>
      <x:c r="V60" s="58" t="str"/>
      <x:c r="W60" s="58" t="str">
        <x:f>IF(AND(OR(N60="Passed",N60="Failed",N60="Not Applicable"),OR(O60="Passed",O60="Failed",O60="Not Applicable"),OR(N60="Passed",N60="Failed",O60="Passed",O60="Failed"),OR(T60="Passed",T60="Not Applicable"),OR(U60="Passed",U60="Not Applicable"),OR(T60="Passed",U60="Passed"),Y60="Reconciled",Z60="Reconciled",IF(Q60&lt;&gt;"",R60="Fixed",TRUE)),"Verified",IF(OR(T60="Failed",U60="Failed"),"Retest Failed",IF(OR(N60="Failed",O60="Failed",Q60&lt;&gt;""),"Defect Found",IF(AND(OR(N60="Passed",N60="Not Applicable"),OR(O60="Passed",O60="Not Applicable"),OR(N60="Passed",O60="Passed")),"Initial Pass","Not Complete"))))</x:f>
        <x:v>Defect Found</x:v>
      </x:c>
      <x:c r="X60" s="58" t="str">
        <x:v>Fail-closed design is safe; operationally, a RevenueCat outage suppresses ad revenue until a later reconciliation rather than showing based on stale free status.</x:v>
      </x:c>
      <x:c r="Y60" s="58" t="str">
        <x:f>IF(OR(N60="Not Run",O60="Not Run"),"Pending",IF(AND(OR(N60="Not Applicable",COUNTIFS('Test Runs'!$B$5:$B$2004,A60,'Test Runs'!$C$5:$C$2004,"Initial",'Test Runs'!$D$5:$D$2004,"iOS",'Test Runs'!$I$5:$I$2004,N60)&gt;0),OR(O60="Not Applicable",COUNTIFS('Test Runs'!$B$5:$B$2004,A60,'Test Runs'!$C$5:$C$2004,"Initial",'Test Runs'!$D$5:$D$2004,"Android",'Test Runs'!$I$5:$I$2004,O60)&gt;0)),"Reconciled","Mismatch"))</x:f>
        <x:v>Pending</x:v>
      </x:c>
      <x:c r="Z60" s="58" t="str">
        <x:f>IF(OR(T60="Not Run",U60="Not Run"),"Pending",IF(AND(OR(T60="Not Applicable",COUNTIFS('Test Runs'!$B$5:$B$2004,A60,'Test Runs'!$C$5:$C$2004,"Retest",'Test Runs'!$D$5:$D$2004,"iOS",'Test Runs'!$I$5:$I$2004,T60)&gt;0),OR(U60="Not Applicable",COUNTIFS('Test Runs'!$B$5:$B$2004,A60,'Test Runs'!$C$5:$C$2004,"Retest",'Test Runs'!$D$5:$D$2004,"Android",'Test Runs'!$I$5:$I$2004,U60)&gt;0)),"Reconciled","Mismatch"))</x:f>
        <x:v>Pending</x:v>
      </x:c>
    </x:row>
    <x:row r="61" ht="120" customHeight="1">
      <x:c r="A61" s="58" t="str">
        <x:v>ACC-057</x:v>
      </x:c>
      <x:c r="B61" s="58" t="str">
        <x:v>Teen-safe advertising</x:v>
      </x:c>
      <x:c r="C61" s="58" t="str">
        <x:v>Eligible ad page with missing age or age 13-18</x:v>
      </x:c>
      <x:c r="D61" s="58" t="str">
        <x:v>As a user under 18 or without a recorded age, I want only age-appropriate, non-personalized advertising without tracking prompts.</x:v>
      </x:c>
      <x:c r="E61" s="58" t="str">
        <x:v>Shared Inertia data exposes only ad_audience, never exact age: adult only for recorded age above 18, otherwise teen. Teen reconciliation configures underAgeOfConsent=true, nonPersonalized=true, and maximum content rating T before consent/SDK work. It never invokes iOS ATT. Audience changes invalidate in-flight work and reapply policy before showing.</x:v>
      </x:c>
      <x:c r="F61" s="58" t="str">
        <x:v>Both</x:v>
      </x:c>
      <x:c r="G61" s="58" t="str">
        <x:v>Missing age; ages 13/17/18/19; audience change during consent; ATT reset</x:v>
      </x:c>
      <x:c r="H61" s="58" t="str">
        <x:v>With missing age and ages 17/18, verify no ATT prompt and teen ad policy. Change age to 19 during pending consent and verify stale work cannot show with the wrong policy.</x:v>
      </x:c>
      <x:c r="I61" s="58" t="str">
        <x:v>Repeat Android and inspect under-age/NPA/T request configuration; change age boundary.</x:v>
      </x:c>
      <x:c r="J61" s="58" t="str">
        <x:v>/Users/mason/Sites/Buff/tests/Feature/AdAudienceTest.php; /Users/mason/Sites/Buff/tests/ads.test.ts:285-293,382-408; /Users/mason/Sites/Buff/tests/Unit/AdmobPluginTest.php</x:v>
      </x:c>
      <x:c r="K61" s="58" t="str">
        <x:v>/Users/mason/Sites/Buff/app/Http/Middleware/HandleInertiaRequests.php:16-40; /Users/mason/Sites/Buff/resources/js/ads.ts:109-179,266-285; /Users/mason/Sites/Buff/native-plugins/admob/resources/ios/Sources/AdmobInit.swift; /Users/mason/Sites/Buff/native-plugins/admob/resources/android/src/AdmobInit.kt</x:v>
      </x:c>
      <x:c r="L61" s="58" t="str">
        <x:v>Mapped</x:v>
      </x:c>
      <x:c r="M61" s="58" t="str">
        <x:v>Ready</x:v>
      </x:c>
      <x:c r="N61" s="58" t="str">
        <x:v>Not Run</x:v>
      </x:c>
      <x:c r="O61" s="58" t="str">
        <x:v>Blocked</x:v>
      </x:c>
      <x:c r="P61" s="58" t="str">
        <x:v>Android: /Users/mason/.codex/visualizations/2026/09/01/01a05def-1c0d-76d1-abc6-07c63a443582/emulator-runs/initial/android/ACC-057-teen-age17.png
/Users/mason/.codex/visualizations/2026/09/01/01a05def-1c0d-76d1-abc6-07c63a443582/emulator-runs/initial/android/ACC-057-adult-boundary-age18.png
/Users/mason/.codex/visualizations/2026/09/01/01a05def-1c0d-76d1-abc6-07c63a443582/emulator-runs/initial/android/ACC-057-teen-safe-advertising-observations.json — The QA profile began at age 30. After age was saved as 17 through /settings/body-profile, cold launch PID 11774 logged two Admob.ConfigurePolicy calls with under_age_of_consent=true, non_personalized=true, and max_content_rating='T', then invoked UmpRequestInfo. After restoring age 30, cold launch PID 12074 logged false/false/'T' and invoked UmpRequestInfo and UmpShowForm. At the exact age-18 boundary, cold launch PID 12268 again logged false/false/'T' and invoked UmpRequestInfo and UmpShowForm. Age 30 was finally restored through the UI, the input value was verified as 30, and navigator online was true.</x:v>
      </x:c>
      <x:c r="Q61" s="58" t="str"/>
      <x:c r="R61" s="58" t="str">
        <x:v>Not Needed</x:v>
      </x:c>
      <x:c r="S61" s="58" t="str"/>
      <x:c r="T61" s="58" t="str">
        <x:v>Not Run</x:v>
      </x:c>
      <x:c r="U61" s="58" t="str">
        <x:v>Not Run</x:v>
      </x:c>
      <x:c r="V61" s="58" t="str"/>
      <x:c r="W61" s="58" t="str">
        <x:f>IF(AND(OR(N61="Passed",N61="Failed",N61="Not Applicable"),OR(O61="Passed",O61="Failed",O61="Not Applicable"),OR(N61="Passed",N61="Failed",O61="Passed",O61="Failed"),OR(T61="Passed",T61="Not Applicable"),OR(U61="Passed",U61="Not Applicable"),OR(T61="Passed",U61="Passed"),Y61="Reconciled",Z61="Reconciled",IF(Q61&lt;&gt;"",R61="Fixed",TRUE)),"Verified",IF(OR(T61="Failed",U61="Failed"),"Retest Failed",IF(OR(N61="Failed",O61="Failed",Q61&lt;&gt;""),"Defect Found",IF(AND(OR(N61="Passed",N61="Not Applicable"),OR(O61="Passed",O61="Not Applicable"),OR(N61="Passed",O61="Passed")),"Initial Pass","Not Complete"))))</x:f>
        <x:v>Not Complete</x:v>
      </x:c>
      <x:c r="X61" s="58" t="str">
        <x:v>None evident; teen-safe fallback deliberately applies even to adults who skip age, which trades personalization/revenue for privacy safety.</x:v>
      </x:c>
      <x:c r="Y61" s="58" t="str">
        <x:f>IF(OR(N61="Not Run",O61="Not Run"),"Pending",IF(AND(OR(N61="Not Applicable",COUNTIFS('Test Runs'!$B$5:$B$2004,A61,'Test Runs'!$C$5:$C$2004,"Initial",'Test Runs'!$D$5:$D$2004,"iOS",'Test Runs'!$I$5:$I$2004,N61)&gt;0),OR(O61="Not Applicable",COUNTIFS('Test Runs'!$B$5:$B$2004,A61,'Test Runs'!$C$5:$C$2004,"Initial",'Test Runs'!$D$5:$D$2004,"Android",'Test Runs'!$I$5:$I$2004,O61)&gt;0)),"Reconciled","Mismatch"))</x:f>
        <x:v>Pending</x:v>
      </x:c>
      <x:c r="Z61" s="58" t="str">
        <x:f>IF(OR(T61="Not Run",U61="Not Run"),"Pending",IF(AND(OR(T61="Not Applicable",COUNTIFS('Test Runs'!$B$5:$B$2004,A61,'Test Runs'!$C$5:$C$2004,"Retest",'Test Runs'!$D$5:$D$2004,"iOS",'Test Runs'!$I$5:$I$2004,T61)&gt;0),OR(U61="Not Applicable",COUNTIFS('Test Runs'!$B$5:$B$2004,A61,'Test Runs'!$C$5:$C$2004,"Retest",'Test Runs'!$D$5:$D$2004,"Android",'Test Runs'!$I$5:$I$2004,U61)&gt;0)),"Reconciled","Mismatch"))</x:f>
        <x:v>Pending</x:v>
      </x:c>
    </x:row>
    <x:row r="62" ht="120" customHeight="1">
      <x:c r="A62" s="58" t="str">
        <x:v>ACC-058</x:v>
      </x:c>
      <x:c r="B62" s="58" t="str">
        <x:v>Adult advertising and iOS tracking consent</x:v>
      </x:c>
      <x:c r="C62" s="58" t="str">
        <x:v>Eligible ad page for age 19+</x:v>
      </x:c>
      <x:c r="D62" s="58" t="str">
        <x:v>As an adult free user, I want iOS tracking permission respected and Android ads configured without an irrelevant ATT prompt.</x:v>
      </x:c>
      <x:c r="E62" s="58" t="str">
        <x:v>Adult policy starts underAge=false/nonPersonalized=false/max T. After UMP allows ads, iOS checks ATT and requests it only when notDetermined; authorized keeps personalized eligibility, while denied/restricted/unsupported/error reapplies nonPersonalized=true before SDK initialization. Android has no ATT branch and retains the adult policy subject to UMP. Tracking denial does not block a non-personalized banner.</x:v>
      </x:c>
      <x:c r="F62" s="58" t="str">
        <x:v>Both with iOS-only ATT</x:v>
      </x:c>
      <x:c r="G62" s="58" t="str">
        <x:v>Recorded age 19+ free account; ATT notDetermined/authorized/denied/restricted/unavailable; UMP allow</x:v>
      </x:c>
      <x:c r="H62" s="58" t="str">
        <x:v>Reset ATT, test allow/deny/restricted, verify prompt occurs after UMP and request NPA changes; confirm denial still permits NPA banner.</x:v>
      </x:c>
      <x:c r="I62" s="58" t="str">
        <x:v>Verify no tracking prompt/API call and adult ad policy remains personalized when consent permits.</x:v>
      </x:c>
      <x:c r="J62" s="58" t="str">
        <x:v>/Users/mason/Sites/Buff/tests/ads.test.ts:255-303; /Users/mason/Sites/Buff/tests/Unit/AdmobPluginTest.php</x:v>
      </x:c>
      <x:c r="K62" s="58" t="str">
        <x:v>/Users/mason/Sites/Buff/resources/js/ads.ts:131-190; /Users/mason/Sites/Buff/native-plugins/admob/resources/ios/Sources/AdmobFunctions.swift:635-673; /Users/mason/Sites/Buff/config/admob.php:7-11</x:v>
      </x:c>
      <x:c r="L62" s="58" t="str">
        <x:v>Mapped</x:v>
      </x:c>
      <x:c r="M62" s="58" t="str">
        <x:v>Ready</x:v>
      </x:c>
      <x:c r="N62" s="58" t="str">
        <x:v>Not Run</x:v>
      </x:c>
      <x:c r="O62" s="58" t="str">
        <x:v>Failed</x:v>
      </x:c>
      <x:c r="P62" s="58" t="str">
        <x:v>Android: /Users/mason/.codex/visualizations/2026/09/01/01a05def-1c0d-76d1-abc6-07c63a443582/emulator-runs/initial/android-guest/ACC-050-058-platform-mode-mismatch.log
/Users/mason/.codex/visualizations/2026/09/01/01a05def-1c0d-76d1-abc6-07c63a443582/emulator-runs/initial/android-guest/ACC-056-060-android-ios-mode-banner.png — Adult policy and the banner worked, but Android's frontend identified itself as iOS, selected the iOS subscription key and reapplied iOS-only non-personalized tracking logic before native initialization.</x:v>
      </x:c>
      <x:c r="Q62" s="58" t="str">
        <x:v>DEF-048</x:v>
      </x:c>
      <x:c r="R62" s="58" t="str">
        <x:v>Fixed</x:v>
      </x:c>
      <x:c r="S62" s="58" t="str"/>
      <x:c r="T62" s="58" t="str">
        <x:v>Not Run</x:v>
      </x:c>
      <x:c r="U62" s="58" t="str">
        <x:v>Not Run</x:v>
      </x:c>
      <x:c r="V62" s="58" t="str"/>
      <x:c r="W62" s="58" t="str">
        <x:f>IF(AND(OR(N62="Passed",N62="Failed",N62="Not Applicable"),OR(O62="Passed",O62="Failed",O62="Not Applicable"),OR(N62="Passed",N62="Failed",O62="Passed",O62="Failed"),OR(T62="Passed",T62="Not Applicable"),OR(U62="Passed",U62="Not Applicable"),OR(T62="Passed",U62="Passed"),Y62="Reconciled",Z62="Reconciled",IF(Q62&lt;&gt;"",R62="Fixed",TRUE)),"Verified",IF(OR(T62="Failed",U62="Failed"),"Retest Failed",IF(OR(N62="Failed",O62="Failed",Q62&lt;&gt;""),"Defect Found",IF(AND(OR(N62="Passed",N62="Not Applicable"),OR(O62="Passed",O62="Not Applicable"),OR(N62="Passed",O62="Passed")),"Initial Pass","Not Complete"))))</x:f>
        <x:v>Defect Found</x:v>
      </x:c>
      <x:c r="X62" s="58" t="str">
        <x:v>Risk: ATT is only requested on an eligible free-user ad route after a successful subscription refresh/UMP flow, so release testers may miss it if testing Settings or a subscribed account.</x:v>
      </x:c>
      <x:c r="Y62" s="58" t="str">
        <x:f>IF(OR(N62="Not Run",O62="Not Run"),"Pending",IF(AND(OR(N62="Not Applicable",COUNTIFS('Test Runs'!$B$5:$B$2004,A62,'Test Runs'!$C$5:$C$2004,"Initial",'Test Runs'!$D$5:$D$2004,"iOS",'Test Runs'!$I$5:$I$2004,N62)&gt;0),OR(O62="Not Applicable",COUNTIFS('Test Runs'!$B$5:$B$2004,A62,'Test Runs'!$C$5:$C$2004,"Initial",'Test Runs'!$D$5:$D$2004,"Android",'Test Runs'!$I$5:$I$2004,O62)&gt;0)),"Reconciled","Mismatch"))</x:f>
        <x:v>Pending</x:v>
      </x:c>
      <x:c r="Z62" s="58" t="str">
        <x:f>IF(OR(T62="Not Run",U62="Not Run"),"Pending",IF(AND(OR(T62="Not Applicable",COUNTIFS('Test Runs'!$B$5:$B$2004,A62,'Test Runs'!$C$5:$C$2004,"Retest",'Test Runs'!$D$5:$D$2004,"iOS",'Test Runs'!$I$5:$I$2004,T62)&gt;0),OR(U62="Not Applicable",COUNTIFS('Test Runs'!$B$5:$B$2004,A62,'Test Runs'!$C$5:$C$2004,"Retest",'Test Runs'!$D$5:$D$2004,"Android",'Test Runs'!$I$5:$I$2004,U62)&gt;0)),"Reconciled","Mismatch"))</x:f>
        <x:v>Pending</x:v>
      </x:c>
    </x:row>
    <x:row r="63" ht="120" customHeight="1">
      <x:c r="A63" s="58" t="str">
        <x:v>ACC-059</x:v>
      </x:c>
      <x:c r="B63" s="58" t="str">
        <x:v>UMP consent gating</x:v>
      </x:c>
      <x:c r="C63" s="58" t="str">
        <x:v>First eligible ad reconciliation / UMP form</x:v>
      </x:c>
      <x:c r="D63" s="58" t="str">
        <x:v>As a user in a consent-regulated region, I want the Google consent form completed before the Mobile Ads SDK requests an ad.</x:v>
      </x:c>
      <x:c r="E63" s="58" t="str">
        <x:v>After age policy succeeds, Buff requests fresh UMP info. If consent is required it shows the form, then continues only when the native result is ok, canRequestAds=true, and status is obtained or not_required. A user's refusal can still produce an obtained state with limited consent signals and canRequestAds=true; Buff then relies on UMP/native policy to constrain the request. Unknown, required-but-unresolved, error, canRequestAds=false, or stale generations hide and never initialize. Policy and consent operations are globally serialized across coordinator instances.</x:v>
      </x:c>
      <x:c r="F63" s="58" t="str">
        <x:v>Both</x:v>
      </x:c>
      <x:c r="G63" s="58" t="str">
        <x:v>UMP test geography required/not required; form accept/withdraw/error; concurrent account/audience reconciliation</x:v>
      </x:c>
      <x:c r="H63" s="58" t="str">
        <x:v>Force EEA test geography, accept/decline/dismiss/error, background during form, and switch accounts; verify no SDK init before valid resolution.</x:v>
      </x:c>
      <x:c r="I63" s="58" t="str">
        <x:v>Repeat Android with UMP debug geography and concurrent navigation/account change.</x:v>
      </x:c>
      <x:c r="J63" s="58" t="str">
        <x:v>/Users/mason/Sites/Buff/tests/ads.test.ts:255-284,335-439; /Users/mason/Sites/Buff/tests/Unit/AdmobPluginTest.php</x:v>
      </x:c>
      <x:c r="K63" s="58" t="str">
        <x:v>/Users/mason/Sites/Buff/resources/js/ads.ts:22-30,126-158,176-190,228-235; /Users/mason/Sites/Buff/native-plugins/admob/resources/ios/Sources/AdmobFunctions.swift:529-633; /Users/mason/Sites/Buff/native-plugins/admob/resources/android/src/ConsentManager.kt</x:v>
      </x:c>
      <x:c r="L63" s="58" t="str">
        <x:v>Mapped</x:v>
      </x:c>
      <x:c r="M63" s="58" t="str">
        <x:v>Ready</x:v>
      </x:c>
      <x:c r="N63" s="58" t="str">
        <x:v>Not Run</x:v>
      </x:c>
      <x:c r="O63" s="58" t="str">
        <x:v>Passed</x:v>
      </x:c>
      <x:c r="P63" s="58" t="str">
        <x:v>Android: /Users/mason/.codex/visualizations/2026/09/01/01a05def-1c0d-76d1-abc6-07c63a443582/emulator-runs/initial/android-guest/ACC-059-ump-refusal-result.png
/Users/mason/.codex/visualizations/2026/09/01/01a05def-1c0d-76d1-abc6-07c63a443582/emulator-runs/initial/android-guest/ACC-050-058-platform-mode-mismatch.log — A required UMP form appeared before initialization. Choosing Do not consent completed to an obtained/can-request state, policy was constrained natively, and only then did initialize/load/show run; unresolved/error gating remains covered by coordinator tests.</x:v>
      </x:c>
      <x:c r="Q63" s="58" t="str"/>
      <x:c r="R63" s="58" t="str">
        <x:v>Not Needed</x:v>
      </x:c>
      <x:c r="S63" s="58" t="str"/>
      <x:c r="T63" s="58" t="str">
        <x:v>Not Run</x:v>
      </x:c>
      <x:c r="U63" s="58" t="str">
        <x:v>Not Run</x:v>
      </x:c>
      <x:c r="V63" s="58" t="str"/>
      <x:c r="W63" s="58" t="str">
        <x:f>IF(AND(OR(N63="Passed",N63="Failed",N63="Not Applicable"),OR(O63="Passed",O63="Failed",O63="Not Applicable"),OR(N63="Passed",N63="Failed",O63="Passed",O63="Failed"),OR(T63="Passed",T63="Not Applicable"),OR(U63="Passed",U63="Not Applicable"),OR(T63="Passed",U63="Passed"),Y63="Reconciled",Z63="Reconciled",IF(Q63&lt;&gt;"",R63="Fixed",TRUE)),"Verified",IF(OR(T63="Failed",U63="Failed"),"Retest Failed",IF(OR(N63="Failed",O63="Failed",Q63&lt;&gt;""),"Defect Found",IF(AND(OR(N63="Passed",N63="Not Applicable"),OR(O63="Passed",O63="Not Applicable"),OR(N63="Passed",O63="Passed")),"Initial Pass","Not Complete"))))</x:f>
        <x:v>Not Complete</x:v>
      </x:c>
      <x:c r="X63" s="58" t="str">
        <x:v>No material code defect evident; consent correctness depends on native UMP SDK configuration and should be verified with debug geography on both stores.</x:v>
      </x:c>
      <x:c r="Y63" s="58" t="str">
        <x:f>IF(OR(N63="Not Run",O63="Not Run"),"Pending",IF(AND(OR(N63="Not Applicable",COUNTIFS('Test Runs'!$B$5:$B$2004,A63,'Test Runs'!$C$5:$C$2004,"Initial",'Test Runs'!$D$5:$D$2004,"iOS",'Test Runs'!$I$5:$I$2004,N63)&gt;0),OR(O63="Not Applicable",COUNTIFS('Test Runs'!$B$5:$B$2004,A63,'Test Runs'!$C$5:$C$2004,"Initial",'Test Runs'!$D$5:$D$2004,"Android",'Test Runs'!$I$5:$I$2004,O63)&gt;0)),"Reconciled","Mismatch"))</x:f>
        <x:v>Pending</x:v>
      </x:c>
      <x:c r="Z63" s="58" t="str">
        <x:f>IF(OR(T63="Not Run",U63="Not Run"),"Pending",IF(AND(OR(T63="Not Applicable",COUNTIFS('Test Runs'!$B$5:$B$2004,A63,'Test Runs'!$C$5:$C$2004,"Retest",'Test Runs'!$D$5:$D$2004,"iOS",'Test Runs'!$I$5:$I$2004,T63)&gt;0),OR(U63="Not Applicable",COUNTIFS('Test Runs'!$B$5:$B$2004,A63,'Test Runs'!$C$5:$C$2004,"Retest",'Test Runs'!$D$5:$D$2004,"Android",'Test Runs'!$I$5:$I$2004,U63)&gt;0)),"Reconciled","Mismatch"))</x:f>
        <x:v>Pending</x:v>
      </x:c>
    </x:row>
    <x:row r="64" ht="120" customHeight="1">
      <x:c r="A64" s="58" t="str">
        <x:v>ACC-060</x:v>
      </x:c>
      <x:c r="B64" s="58" t="str">
        <x:v>Banner lifecycle and layout</x:v>
      </x:c>
      <x:c r="C64" s="58" t="str">
        <x:v>Eligible AppShell banner overlay and navigation</x:v>
      </x:c>
      <x:c r="D64" s="58" t="str">
        <x:v>As an eligible free user, I want the banner positioned above navigation without covering content and removed immediately when no longer relevant.</x:v>
      </x:c>
      <x:c r="E64" s="58" t="str">
        <x:v>AdMob initializes at most once per coordinator after policy/consent. Banner load must return ok with finite positive height; AppShell reserves ceil(height) through --ad-banner-height and shows bottom with measured mobile-nav offset. Resize/ResizeObserver recomputes offset. Excluded routes, Add, sheets/dialogs/native overlays, logout, account/subscription/audience changes, failures, unmount or stale work clear height and hide. A fresh coordinator explicitly loads the native bridge to hide a banner left by a prior excluded-route transition. Closing overlays reconciles eligibility again.</x:v>
      </x:c>
      <x:c r="F64" s="58" t="str">
        <x:v>Both</x:v>
      </x:c>
      <x:c r="G64" s="58" t="str">
        <x:v>Phone/tablet widths; orientation/resize; valid/zero/NaN height; load/show fail; rapid navigation/account switch</x:v>
      </x:c>
      <x:c r="H64" s="58" t="str">
        <x:v>Load ads on eligible pages, then open Add, meal sheets, dialogs and the full-screen progress camera. Verify ads hide throughout and return only after closure when eligible. Test excluded-route cold/warm navigation, resize, account/subscription changes and height cleanup.</x:v>
      </x:c>
      <x:c r="I64" s="58" t="str">
        <x:v>Repeat Android across gesture/three-button navigation, display scaling, rapid Back/navigation and full-screen camera/permission recovery.</x:v>
      </x:c>
      <x:c r="J64" s="58" t="str">
        <x:v>/Users/mason/Sites/Buff/tests/ads.test.ts:305-439; /Users/mason/Sites/Buff/tests/appShell.test.ts</x:v>
      </x:c>
      <x:c r="K64" s="58" t="str">
        <x:v>/Users/mason/Sites/Buff/resources/js/ads.ts:89-129,181-211,241-315; /Users/mason/Sites/Buff/resources/js/Layouts/AppShell.vue:24-40,62-105,179-210,260-329,332-380</x:v>
      </x:c>
      <x:c r="L64" s="58" t="str">
        <x:v>Mapped</x:v>
      </x:c>
      <x:c r="M64" s="58" t="str">
        <x:v>Ready</x:v>
      </x:c>
      <x:c r="N64" s="58" t="str">
        <x:v>Not Run</x:v>
      </x:c>
      <x:c r="O64" s="58" t="str">
        <x:v>Failed</x:v>
      </x:c>
      <x:c r="P64" s="58" t="str">
        <x:v>Android: /Users/mason/.codex/visualizations/2026/09/01/01a05def-1c0d-76d1-abc6-07c63a443582/emulator-runs/initial/android/NUT-033-manual-button-obscured-by-ad.png — The native overlay banner covered the scanner's manual-entry control. The WebView's elementFromPoint still reported the button because native overlay geometry is invisible to DOM layout, confirming why emulator visual verification was required.</x:v>
      </x:c>
      <x:c r="Q64" s="58" t="str">
        <x:v>DEF-021</x:v>
      </x:c>
      <x:c r="R64" s="58" t="str">
        <x:v>Fixed</x:v>
      </x:c>
      <x:c r="S64" s="58" t="str"/>
      <x:c r="T64" s="58" t="str">
        <x:v>Not Run</x:v>
      </x:c>
      <x:c r="U64" s="58" t="str">
        <x:v>Not Run</x:v>
      </x:c>
      <x:c r="V64" s="58" t="str"/>
      <x:c r="W64" s="58" t="str">
        <x:f>IF(AND(OR(N64="Passed",N64="Failed",N64="Not Applicable"),OR(O64="Passed",O64="Failed",O64="Not Applicable"),OR(N64="Passed",N64="Failed",O64="Passed",O64="Failed"),OR(T64="Passed",T64="Not Applicable"),OR(U64="Passed",U64="Not Applicable"),OR(T64="Passed",U64="Passed"),Y64="Reconciled",Z64="Reconciled",IF(Q64&lt;&gt;"",R64="Fixed",TRUE)),"Verified",IF(OR(T64="Failed",U64="Failed"),"Retest Failed",IF(OR(N64="Failed",O64="Failed",Q64&lt;&gt;""),"Defect Found",IF(AND(OR(N64="Passed",N64="Not Applicable"),OR(O64="Passed",O64="Not Applicable"),OR(N64="Passed",O64="Passed")),"Initial Pass","Not Complete"))))</x:f>
        <x:v>Defect Found</x:v>
      </x:c>
      <x:c r="X64" s="58" t="str">
        <x:v>Native overlays can escape WebView stacking/layout semantics; emulator visual checks are essential despite strong coordinator unit coverage.</x:v>
      </x:c>
      <x:c r="Y64" s="58" t="str">
        <x:f>IF(OR(N64="Not Run",O64="Not Run"),"Pending",IF(AND(OR(N64="Not Applicable",COUNTIFS('Test Runs'!$B$5:$B$2004,A64,'Test Runs'!$C$5:$C$2004,"Initial",'Test Runs'!$D$5:$D$2004,"iOS",'Test Runs'!$I$5:$I$2004,N64)&gt;0),OR(O64="Not Applicable",COUNTIFS('Test Runs'!$B$5:$B$2004,A64,'Test Runs'!$C$5:$C$2004,"Initial",'Test Runs'!$D$5:$D$2004,"Android",'Test Runs'!$I$5:$I$2004,O64)&gt;0)),"Reconciled","Mismatch"))</x:f>
        <x:v>Pending</x:v>
      </x:c>
      <x:c r="Z64" s="58" t="str">
        <x:f>IF(OR(T64="Not Run",U64="Not Run"),"Pending",IF(AND(OR(T64="Not Applicable",COUNTIFS('Test Runs'!$B$5:$B$2004,A64,'Test Runs'!$C$5:$C$2004,"Retest",'Test Runs'!$D$5:$D$2004,"iOS",'Test Runs'!$I$5:$I$2004,T64)&gt;0),OR(U64="Not Applicable",COUNTIFS('Test Runs'!$B$5:$B$2004,A64,'Test Runs'!$C$5:$C$2004,"Retest",'Test Runs'!$D$5:$D$2004,"Android",'Test Runs'!$I$5:$I$2004,U64)&gt;0)),"Reconciled","Mismatch"))</x:f>
        <x:v>Pending</x:v>
      </x:c>
    </x:row>
    <x:row r="65" ht="120" customHeight="1">
      <x:c r="A65" s="58" t="str">
        <x:v>ACC-061</x:v>
      </x:c>
      <x:c r="B65" s="58" t="str">
        <x:v>Ad privacy choices</x:v>
      </x:c>
      <x:c r="C65" s="58" t="str">
        <x:v>/settings &gt; Ad privacy choices</x:v>
      </x:c>
      <x:c r="D65" s="58" t="str">
        <x:v>As a user for whom UMP requires privacy options, I want a Settings control to review or change ad consent.</x:v>
      </x:c>
      <x:c r="E65" s="58" t="str">
        <x:v>On Settings mount, Buff configures teen-safe/adult policy, refreshes UMP info, and shows the Privacy group only when the native result is ok and privacyOptionsRequired=true. Tapping serializes and opens UMP's privacy-options form, shows Opening…, then refreshes whether the row remains required. Unsupported platform, ads disabled, policy/bridge/error, or not-required hides the row. The control does not depend on current ad-route eligibility.</x:v>
      </x:c>
      <x:c r="F65" s="58" t="str">
        <x:v>Both</x:v>
      </x:c>
      <x:c r="G65" s="58" t="str">
        <x:v>UMP privacy required/not required; teen/adult; disabled ads; bridge/form error; repeated taps</x:v>
      </x:c>
      <x:c r="H65" s="58" t="str">
        <x:v>Force required status, open and change choices, verify spinner/debouncing and row refresh; test errors/disabled build and missing-age teen policy.</x:v>
      </x:c>
      <x:c r="I65" s="58" t="str">
        <x:v>Repeat Android with UMP debug geography and app resume.</x:v>
      </x:c>
      <x:c r="J65" s="58" t="str">
        <x:v>/Users/mason/Sites/Buff/tests/appShell.test.ts:57-62; /Users/mason/Sites/Buff/tests/ads.test.ts privacy cases; /Users/mason/Sites/Buff/tests/Unit/AdmobPluginTest.php</x:v>
      </x:c>
      <x:c r="K65" s="58" t="str">
        <x:v>/Users/mason/Sites/Buff/resources/js/ads.ts:317-379; /Users/mason/Sites/Buff/resources/js/Pages/Settings.vue:52-65,135-162,195-199</x:v>
      </x:c>
      <x:c r="L65" s="58" t="str">
        <x:v>Mapped</x:v>
      </x:c>
      <x:c r="M65" s="58" t="str">
        <x:v>Ready</x:v>
      </x:c>
      <x:c r="N65" s="58" t="str">
        <x:v>Not Run</x:v>
      </x:c>
      <x:c r="O65" s="58" t="str">
        <x:v>Passed</x:v>
      </x:c>
      <x:c r="P65" s="58" t="str">
        <x:v>Android: /Users/mason/.codex/visualizations/2026/09/01/01a05def-1c0d-76d1-abc6-07c63a443582/emulator-runs/initial/android-guest/ACC-061-privacy-options-open.png
/Users/mason/.codex/visualizations/2026/09/01/01a05def-1c0d-76d1-abc6-07c63a443582/emulator-runs/initial/android-guest/dom-observations-batch-015.json — Settings showed Ad privacy choices only when required; tapping exposed Opening…, opened the native privacy form, and refreshed the row after the choice completed.</x:v>
      </x:c>
      <x:c r="Q65" s="58" t="str"/>
      <x:c r="R65" s="58" t="str">
        <x:v>Not Needed</x:v>
      </x:c>
      <x:c r="S65" s="58" t="str"/>
      <x:c r="T65" s="58" t="str">
        <x:v>Blocked</x:v>
      </x:c>
      <x:c r="U65" s="58" t="str">
        <x:v>Not Run</x:v>
      </x:c>
      <x:c r="V65" s="58" t="str">
        <x:v>iOS: /Users/mason/.codex/visualizations/2026/09/01/01a05def-1c0d-76d1-abc6-07c63a443582/emulator-runs/retest/ios/ACC-061-privacy-entry-no-submission.png
/Users/mason/.codex/visualizations/2026/09/01/01a05def-1c0d-76d1-abc6-07c63a443582/emulator-runs/retest/ios/ACC-032-068-NUT-085-observations.json — Ad privacy choices is visible in Settings; tapping opens native UMP form and underlying button shows Opening…. No close/cancel action is visible or exposed in AX. Closed Buff through app switcher and reopened to Today without selecting Consent, Do not consent or Manage options.</x:v>
      </x:c>
      <x:c r="W65" s="58" t="str">
        <x:f>IF(AND(OR(N65="Passed",N65="Failed",N65="Not Applicable"),OR(O65="Passed",O65="Failed",O65="Not Applicable"),OR(N65="Passed",N65="Failed",O65="Passed",O65="Failed"),OR(T65="Passed",T65="Not Applicable"),OR(U65="Passed",U65="Not Applicable"),OR(T65="Passed",U65="Passed"),Y65="Reconciled",Z65="Reconciled",IF(Q65&lt;&gt;"",R65="Fixed",TRUE)),"Verified",IF(OR(T65="Failed",U65="Failed"),"Retest Failed",IF(OR(N65="Failed",O65="Failed",Q65&lt;&gt;""),"Defect Found",IF(AND(OR(N65="Passed",N65="Not Applicable"),OR(O65="Passed",O65="Not Applicable"),OR(N65="Passed",O65="Passed")),"Initial Pass","Not Complete"))))</x:f>
        <x:v>Not Complete</x:v>
      </x:c>
      <x:c r="X65" s="58" t="str">
        <x:v>UX risk: showAdPrivacyOptions returns false silently; Settings provides no error feedback if the privacy form cannot open.</x:v>
      </x:c>
      <x:c r="Y65" s="58" t="str">
        <x:f>IF(OR(N65="Not Run",O65="Not Run"),"Pending",IF(AND(OR(N65="Not Applicable",COUNTIFS('Test Runs'!$B$5:$B$2004,A65,'Test Runs'!$C$5:$C$2004,"Initial",'Test Runs'!$D$5:$D$2004,"iOS",'Test Runs'!$I$5:$I$2004,N65)&gt;0),OR(O65="Not Applicable",COUNTIFS('Test Runs'!$B$5:$B$2004,A65,'Test Runs'!$C$5:$C$2004,"Initial",'Test Runs'!$D$5:$D$2004,"Android",'Test Runs'!$I$5:$I$2004,O65)&gt;0)),"Reconciled","Mismatch"))</x:f>
        <x:v>Pending</x:v>
      </x:c>
      <x:c r="Z65" s="58" t="str">
        <x:f>IF(OR(T65="Not Run",U65="Not Run"),"Pending",IF(AND(OR(T65="Not Applicable",COUNTIFS('Test Runs'!$B$5:$B$2004,A65,'Test Runs'!$C$5:$C$2004,"Retest",'Test Runs'!$D$5:$D$2004,"iOS",'Test Runs'!$I$5:$I$2004,T65)&gt;0),OR(U65="Not Applicable",COUNTIFS('Test Runs'!$B$5:$B$2004,A65,'Test Runs'!$C$5:$C$2004,"Retest",'Test Runs'!$D$5:$D$2004,"Android",'Test Runs'!$I$5:$I$2004,U65)&gt;0)),"Reconciled","Mismatch"))</x:f>
        <x:v>Pending</x:v>
      </x:c>
    </x:row>
    <x:row r="66" ht="120" customHeight="1">
      <x:c r="A66" s="58" t="str">
        <x:v>ACC-062</x:v>
      </x:c>
      <x:c r="B66" s="58" t="str">
        <x:v>Ads master switch and fail-closed recovery</x:v>
      </x:c>
      <x:c r="C66" s="58" t="str">
        <x:v>App startup/resume/online and eligible page</x:v>
      </x:c>
      <x:c r="D66" s="58" t="str">
        <x:v>As a user, I want advertising failures, offline state, and disabled builds to leave the app usable and free of broken ad space.</x:v>
      </x:c>
      <x:c r="E66" s="58" t="str">
        <x:v>AdMob defaults disabled and test_mode=true until deployment config explicitly enables it with platform unit IDs. Every bridge, policy, consent, ATT, initialize, load, show, subscription-refresh, platform, and privacy error is caught and hides/returns false; banner height resets to zero. When offline, subscription refresh fails so ads remain hidden. A later mount/focus/online/successful Inertia visit reconciles again; no ad error is surfaced to the user.</x:v>
      </x:c>
      <x:c r="F66" s="58" t="str">
        <x:v>Both</x:v>
      </x:c>
      <x:c r="G66" s="58" t="str">
        <x:v>Disabled/test/prod configuration; offline then online; every native failure stage; missing unit ID</x:v>
      </x:c>
      <x:c r="H66" s="58" t="str">
        <x:v>Launch offline on eligible free page, reconnect/focus, inject each bridge failure, and verify no crash/blank reserved space and recovery on next reconciliation; confirm test vs production ad IDs.</x:v>
      </x:c>
      <x:c r="I66" s="58" t="str">
        <x:v>Repeat Android, including process restart and provider initialization failure.</x:v>
      </x:c>
      <x:c r="J66" s="58" t="str">
        <x:v>/Users/mason/Sites/Buff/tests/Feature/AdmobEndpointTest.php; /Users/mason/Sites/Buff/tests/ads.test.ts:136-239,255-439; /Users/mason/Sites/Buff/tests/Unit/AdmobPluginTest.php</x:v>
      </x:c>
      <x:c r="K66" s="58" t="str">
        <x:v>/Users/mason/Sites/Buff/config/admob.php:3-27; /Users/mason/Sites/Buff/resources/js/ads.ts:40-63,89-107,213-239,241-315,317-379; /Users/mason/Sites/Buff/resources/js/Layouts/AppShell.vue:213-230,241-295</x:v>
      </x:c>
      <x:c r="L66" s="58" t="str">
        <x:v>Mapped</x:v>
      </x:c>
      <x:c r="M66" s="58" t="str">
        <x:v>Ready</x:v>
      </x:c>
      <x:c r="N66" s="58" t="str">
        <x:v>Not Run</x:v>
      </x:c>
      <x:c r="O66" s="58" t="str">
        <x:v>Passed</x:v>
      </x:c>
      <x:c r="P66" s="58" t="str">
        <x:v>Android: /Users/mason/.codex/visualizations/2026/09/01/01a05def-1c0d-76d1-abc6-07c63a443582/emulator-runs/initial/android-guest/ACC-062-offline-fail-closed.png
/Users/mason/.codex/visualizations/2026/09/01/01a05def-1c0d-76d1-abc6-07c63a443582/emulator-runs/initial/android-guest/ACC-062-online-recovered-banner.png — Navigating to an eligible route offline left banner height at zero with no ad error or blank reserve. Reconnection triggered automatic sync/subscription refresh and restored the 64px banner without user intervention.</x:v>
      </x:c>
      <x:c r="Q66" s="58" t="str"/>
      <x:c r="R66" s="58" t="str">
        <x:v>Not Needed</x:v>
      </x:c>
      <x:c r="S66" s="58" t="str"/>
      <x:c r="T66" s="58" t="str">
        <x:v>Not Run</x:v>
      </x:c>
      <x:c r="U66" s="58" t="str">
        <x:v>Not Run</x:v>
      </x:c>
      <x:c r="V66" s="58" t="str"/>
      <x:c r="W66" s="58" t="str">
        <x:f>IF(AND(OR(N66="Passed",N66="Failed",N66="Not Applicable"),OR(O66="Passed",O66="Failed",O66="Not Applicable"),OR(N66="Passed",N66="Failed",O66="Passed",O66="Failed"),OR(T66="Passed",T66="Not Applicable"),OR(U66="Passed",U66="Not Applicable"),OR(T66="Passed",U66="Passed"),Y66="Reconciled",Z66="Reconciled",IF(Q66&lt;&gt;"",R66="Fixed",TRUE)),"Verified",IF(OR(T66="Failed",U66="Failed"),"Retest Failed",IF(OR(N66="Failed",O66="Failed",Q66&lt;&gt;""),"Defect Found",IF(AND(OR(N66="Passed",N66="Not Applicable"),OR(O66="Passed",O66="Not Applicable"),OR(N66="Passed",O66="Passed")),"Initial Pass","Not Complete"))))</x:f>
        <x:v>Not Complete</x:v>
      </x:c>
      <x:c r="X66" s="58" t="str">
        <x:v>UX/observability risk: all ad failures are intentionally silent, so configuration or consent regressions can eliminate ads without any in-app diagnostic; external telemetry/release checklist is needed.</x:v>
      </x:c>
      <x:c r="Y66" s="58" t="str">
        <x:f>IF(OR(N66="Not Run",O66="Not Run"),"Pending",IF(AND(OR(N66="Not Applicable",COUNTIFS('Test Runs'!$B$5:$B$2004,A66,'Test Runs'!$C$5:$C$2004,"Initial",'Test Runs'!$D$5:$D$2004,"iOS",'Test Runs'!$I$5:$I$2004,N66)&gt;0),OR(O66="Not Applicable",COUNTIFS('Test Runs'!$B$5:$B$2004,A66,'Test Runs'!$C$5:$C$2004,"Initial",'Test Runs'!$D$5:$D$2004,"Android",'Test Runs'!$I$5:$I$2004,O66)&gt;0)),"Reconciled","Mismatch"))</x:f>
        <x:v>Pending</x:v>
      </x:c>
      <x:c r="Z66" s="58" t="str">
        <x:f>IF(OR(T66="Not Run",U66="Not Run"),"Pending",IF(AND(OR(T66="Not Applicable",COUNTIFS('Test Runs'!$B$5:$B$2004,A66,'Test Runs'!$C$5:$C$2004,"Retest",'Test Runs'!$D$5:$D$2004,"iOS",'Test Runs'!$I$5:$I$2004,T66)&gt;0),OR(U66="Not Applicable",COUNTIFS('Test Runs'!$B$5:$B$2004,A66,'Test Runs'!$C$5:$C$2004,"Retest",'Test Runs'!$D$5:$D$2004,"Android",'Test Runs'!$I$5:$I$2004,U66)&gt;0)),"Reconciled","Mismatch"))</x:f>
        <x:v>Pending</x:v>
      </x:c>
    </x:row>
    <x:row r="67" ht="120" customHeight="1">
      <x:c r="A67" s="58" t="str">
        <x:v>ACC-063</x:v>
      </x:c>
      <x:c r="B67" s="58" t="str">
        <x:v>App-first MCP approval launch</x:v>
      </x:c>
      <x:c r="C67" s="58" t="str">
        <x:v>buff://mcp-approve?token=… and /mcp-approve</x:v>
      </x:c>
      <x:c r="D67" s="58" t="str">
        <x:v>As a user connecting an AI assistant, I want its OAuth browser flow to open Buff at a short-lived approval request and return me to the same authorization safely after sign-in.</x:v>
      </x:c>
      <x:c r="E67" s="58" t="str">
        <x:v>Server begins only from a valid intended Passport authorization request, creates a random 64-character token with a 5-minute default TTL, stores encrypted session/client/exact redirect URL/status context in cache, and returns a buff://mcp-approve deep link. Buff accepts only exactly 64 alphanumeric token values. If the Buff API session is absent/expired, it clears only the access token, redirects to account login as a guest, and preserves the full approval URL as intended so successful sign-in returns to it.</x:v>
      </x:c>
      <x:c r="F67" s="58" t="str">
        <x:v>Both plus server/browser OAuth</x:v>
      </x:c>
      <x:c r="G67" s="58" t="str">
        <x:v>Valid OAuth browser session; signed out/expired/signed in Buff app; malformed/expired token; two clients/sessions</x:v>
      </x:c>
      <x:c r="H67" s="58" t="str">
        <x:v>Start Codex/assistant OAuth, open deep link in Buff, sign in when prompted, verify intended approval resumes; mutate token length/chars/expiry/session/client/redirect and expect safe rejection.</x:v>
      </x:c>
      <x:c r="I67" s="58" t="str">
        <x:v>Repeat deep-link cold/warm launch and login return on Android.</x:v>
      </x:c>
      <x:c r="J67" s="58" t="str">
        <x:v>/Users/mason/Sites/Buff/tests/Feature/McpApprovalTest.php:25-233; /Users/mason/Sites/buff-server/tests/Feature/McpOAuthTest.php:224-636</x:v>
      </x:c>
      <x:c r="K67" s="58" t="str">
        <x:v>/Users/mason/Sites/buff-server/app/Http/Controllers/McpLoginController.php:18-32,109-153; /Users/mason/Sites/buff-server/app/Services/McpConnectionService.php:162-186,395-474; /Users/mason/Sites/buff-server/config/buff.php:23-30; /Users/mason/Sites/Buff/routes/web.php:35-39; /Users/mason/Sites/Buff/app/Http/Controllers/McpApprovalController.php:22-44</x:v>
      </x:c>
      <x:c r="L67" s="58" t="str">
        <x:v>Mapped</x:v>
      </x:c>
      <x:c r="M67" s="58" t="str">
        <x:v>Ready</x:v>
      </x:c>
      <x:c r="N67" s="58" t="str">
        <x:v>Not Run</x:v>
      </x:c>
      <x:c r="O67" s="58" t="str">
        <x:v>Blocked</x:v>
      </x:c>
      <x:c r="P67" s="58" t="str">
        <x:v>Android: /Users/mason/.codex/visualizations/2026/09/01/01a05def-1c0d-76d1-abc6-07c63a443582/emulator-runs/initial/android/ACC-063-067-no-connected-assistants.png
/Users/mason/.codex/visualizations/2026/09/01/01a05def-1c0d-76d1-abc6-07c63a443582/emulator-runs/initial/android/ACC-055-068-081-observations.json
/Users/mason/.codex/visualizations/2026/09/01/01a05def-1c0d-76d1-abc6-07c63a443582/emulator-runs/initial/android/ACC-054-063-076-HLT-013-047-NUT-109-111-blocker-observations.json — Connected AI assistants showed no active connections. Cold and warm malformed or short MCP routes failed safely rather than exposing an approval screen.</x:v>
      </x:c>
      <x:c r="Q67" s="58" t="str"/>
      <x:c r="R67" s="58" t="str">
        <x:v>Not Needed</x:v>
      </x:c>
      <x:c r="S67" s="58" t="str"/>
      <x:c r="T67" s="58" t="str">
        <x:v>Not Run</x:v>
      </x:c>
      <x:c r="U67" s="58" t="str">
        <x:v>Not Run</x:v>
      </x:c>
      <x:c r="V67" s="58" t="str"/>
      <x:c r="W67" s="58" t="str">
        <x:f>IF(AND(OR(N67="Passed",N67="Failed",N67="Not Applicable"),OR(O67="Passed",O67="Failed",O67="Not Applicable"),OR(N67="Passed",N67="Failed",O67="Passed",O67="Failed"),OR(T67="Passed",T67="Not Applicable"),OR(U67="Passed",U67="Not Applicable"),OR(T67="Passed",U67="Passed"),Y67="Reconciled",Z67="Reconciled",IF(Q67&lt;&gt;"",R67="Fixed",TRUE)),"Verified",IF(OR(T67="Failed",U67="Failed"),"Retest Failed",IF(OR(N67="Failed",O67="Failed",Q67&lt;&gt;""),"Defect Found",IF(AND(OR(N67="Passed",N67="Not Applicable"),OR(O67="Passed",O67="Not Applicable"),OR(N67="Passed",O67="Passed")),"Initial Pass","Not Complete"))))</x:f>
        <x:v>Not Complete</x:v>
      </x:c>
      <x:c r="X67" s="58" t="str">
        <x:v>No material defect evident; delivery depends on OS buff-scheme association and the initiating browser continuing to poll within five minutes.</x:v>
      </x:c>
      <x:c r="Y67" s="58" t="str">
        <x:f>IF(OR(N67="Not Run",O67="Not Run"),"Pending",IF(AND(OR(N67="Not Applicable",COUNTIFS('Test Runs'!$B$5:$B$2004,A67,'Test Runs'!$C$5:$C$2004,"Initial",'Test Runs'!$D$5:$D$2004,"iOS",'Test Runs'!$I$5:$I$2004,N67)&gt;0),OR(O67="Not Applicable",COUNTIFS('Test Runs'!$B$5:$B$2004,A67,'Test Runs'!$C$5:$C$2004,"Initial",'Test Runs'!$D$5:$D$2004,"Android",'Test Runs'!$I$5:$I$2004,O67)&gt;0)),"Reconciled","Mismatch"))</x:f>
        <x:v>Pending</x:v>
      </x:c>
      <x:c r="Z67" s="58" t="str">
        <x:f>IF(OR(T67="Not Run",U67="Not Run"),"Pending",IF(AND(OR(T67="Not Applicable",COUNTIFS('Test Runs'!$B$5:$B$2004,A67,'Test Runs'!$C$5:$C$2004,"Retest",'Test Runs'!$D$5:$D$2004,"iOS",'Test Runs'!$I$5:$I$2004,T67)&gt;0),OR(U67="Not Applicable",COUNTIFS('Test Runs'!$B$5:$B$2004,A67,'Test Runs'!$C$5:$C$2004,"Retest",'Test Runs'!$D$5:$D$2004,"Android",'Test Runs'!$I$5:$I$2004,U67)&gt;0)),"Reconciled","Mismatch"))</x:f>
        <x:v>Pending</x:v>
      </x:c>
    </x:row>
    <x:row r="68" ht="120" customHeight="1">
      <x:c r="A68" s="58" t="str">
        <x:v>ACC-064</x:v>
      </x:c>
      <x:c r="B68" s="58" t="str">
        <x:v>MCP approval disclosure and eligibility</x:v>
      </x:c>
      <x:c r="C68" s="58" t="str">
        <x:v>MCP approval screen</x:v>
      </x:c>
      <x:c r="D68" s="58" t="str">
        <x:v>As a user, I want to see who is requesting access, where OAuth will return, what broad Buff data it can use, and when the request expires before deciding.</x:v>
      </x:c>
      <x:c r="E68" s="58" t="str">
        <x:v>For a valid request, server revalidates the nonrevoked OAuth client and exact registered redirect, then returns status pending/approved, requester-provided client name, normalized redirect origin, and expiry only to the owning/eligible user. Both API approval endpoints require a verified email. Buff sanitizes the response shape and renders client name, exact origin, localized expiry, and explicit read/update scope covering nutrition, workouts, goals, body profile, and progress. Invalid/unverified/foreign/expired requests show a safe error rather than controls.</x:v>
      </x:c>
      <x:c r="F68" s="58" t="str">
        <x:v>Both</x:v>
      </x:c>
      <x:c r="G68" s="58" t="str">
        <x:v>Verified/unverified user; hostile client name; registered/unregistered/custom redirect; malformed expiry/response</x:v>
      </x:c>
      <x:c r="H68" s="58" t="str">
        <x:v>Inspect escaped hostile client metadata, every allowed origin type, unverified/foreign user, and expiry display; compare disclosed scope to actual MCP capabilities.</x:v>
      </x:c>
      <x:c r="I68" s="58" t="str">
        <x:v>Repeat Android rendering, wrapping, accessibility, and unverified flow.</x:v>
      </x:c>
      <x:c r="J68" s="58" t="str">
        <x:v>/Users/mason/Sites/Buff/tests/Feature/McpApprovalTest.php:107-218; /Users/mason/Sites/buff-server/tests/Feature/McpOAuthTest.php:176-223,530-603</x:v>
      </x:c>
      <x:c r="K68" s="58" t="str">
        <x:v>/Users/mason/Sites/buff-server/app/Http/Controllers/Api/V1/McpBrowserApprovalController.php:12-47; /Users/mason/Sites/buff-server/app/Services/McpConnectionService.php:248-274,476-505; /Users/mason/Sites/Buff/app/Http/Controllers/McpApprovalController.php:94-123; /Users/mason/Sites/Buff/resources/js/Pages/McpApproval.vue:79-103</x:v>
      </x:c>
      <x:c r="L68" s="58" t="str">
        <x:v>Mapped</x:v>
      </x:c>
      <x:c r="M68" s="58" t="str">
        <x:v>Ready</x:v>
      </x:c>
      <x:c r="N68" s="58" t="str">
        <x:v>Not Run</x:v>
      </x:c>
      <x:c r="O68" s="58" t="str">
        <x:v>Blocked</x:v>
      </x:c>
      <x:c r="P68" s="58" t="str">
        <x:v>Android: /Users/mason/.codex/visualizations/2026/09/01/01a05def-1c0d-76d1-abc6-07c63a443582/emulator-runs/initial/android/ACC-063-067-no-connected-assistants.png
/Users/mason/.codex/visualizations/2026/09/01/01a05def-1c0d-76d1-abc6-07c63a443582/emulator-runs/initial/android/ACC-054-063-076-HLT-013-047-NUT-109-111-blocker-observations.json — The settings screen exposed broad setup instructions, but no live assistant request existed and malformed requests were rejected before rendering disclosure details.</x:v>
      </x:c>
      <x:c r="Q68" s="58" t="str"/>
      <x:c r="R68" s="58" t="str">
        <x:v>Not Needed</x:v>
      </x:c>
      <x:c r="S68" s="58" t="str"/>
      <x:c r="T68" s="58" t="str">
        <x:v>Not Run</x:v>
      </x:c>
      <x:c r="U68" s="58" t="str">
        <x:v>Not Run</x:v>
      </x:c>
      <x:c r="V68" s="58" t="str"/>
      <x:c r="W68" s="58" t="str">
        <x:f>IF(AND(OR(N68="Passed",N68="Failed",N68="Not Applicable"),OR(O68="Passed",O68="Failed",O68="Not Applicable"),OR(N68="Passed",N68="Failed",O68="Passed",O68="Failed"),OR(T68="Passed",T68="Not Applicable"),OR(U68="Passed",U68="Not Applicable"),OR(T68="Passed",U68="Passed"),Y68="Reconciled",Z68="Reconciled",IF(Q68&lt;&gt;"",R68="Fixed",TRUE)),"Verified",IF(OR(T68="Failed",U68="Failed"),"Retest Failed",IF(OR(N68="Failed",O68="Failed",Q68&lt;&gt;""),"Defect Found",IF(AND(OR(N68="Passed",N68="Not Applicable"),OR(O68="Passed",O68="Not Applicable"),OR(N68="Passed",O68="Passed")),"Initial Pass","Not Complete"))))</x:f>
        <x:v>Not Complete</x:v>
      </x:c>
      <x:c r="X68" s="58" t="str">
        <x:v>UX/security-review risk: approval is a single broad grant with no per-category scope controls; disclosure is present but users cannot limit access.</x:v>
      </x:c>
      <x:c r="Y68" s="58" t="str">
        <x:f>IF(OR(N68="Not Run",O68="Not Run"),"Pending",IF(AND(OR(N68="Not Applicable",COUNTIFS('Test Runs'!$B$5:$B$2004,A68,'Test Runs'!$C$5:$C$2004,"Initial",'Test Runs'!$D$5:$D$2004,"iOS",'Test Runs'!$I$5:$I$2004,N68)&gt;0),OR(O68="Not Applicable",COUNTIFS('Test Runs'!$B$5:$B$2004,A68,'Test Runs'!$C$5:$C$2004,"Initial",'Test Runs'!$D$5:$D$2004,"Android",'Test Runs'!$I$5:$I$2004,O68)&gt;0)),"Reconciled","Mismatch"))</x:f>
        <x:v>Pending</x:v>
      </x:c>
      <x:c r="Z68" s="58" t="str">
        <x:f>IF(OR(T68="Not Run",U68="Not Run"),"Pending",IF(AND(OR(T68="Not Applicable",COUNTIFS('Test Runs'!$B$5:$B$2004,A68,'Test Runs'!$C$5:$C$2004,"Retest",'Test Runs'!$D$5:$D$2004,"iOS",'Test Runs'!$I$5:$I$2004,T68)&gt;0),OR(U68="Not Applicable",COUNTIFS('Test Runs'!$B$5:$B$2004,A68,'Test Runs'!$C$5:$C$2004,"Retest",'Test Runs'!$D$5:$D$2004,"Android",'Test Runs'!$I$5:$I$2004,U68)&gt;0)),"Reconciled","Mismatch"))</x:f>
        <x:v>Pending</x:v>
      </x:c>
    </x:row>
    <x:row r="69" ht="120" customHeight="1">
      <x:c r="A69" s="58" t="str">
        <x:v>ACC-065</x:v>
      </x:c>
      <x:c r="B69" s="58" t="str">
        <x:v>Approve, deny, complete, and approval errors</x:v>
      </x:c>
      <x:c r="C69" s="58" t="str">
        <x:v>/mcp-approve &gt; Approve or Don't connect</x:v>
      </x:c>
      <x:c r="D69" s="58" t="str">
        <x:v>As a user, I want Approve and Don't connect to be mutually exclusive, idempotent, and confirmed by the server before Buff reports success.</x:v>
      </x:c>
      <x:c r="E69" s="58" t="str">
        <x:v>Buttons operate only while pending and disable the other form during processing. Server locks the token, accepts an already identical decision only for the same user, makes denial terminal, and binds approval to a verified user/session/client/redirect. Buff validates the returned status exactly matches the requested decision; denial returns home with a toast, approval enters a one-time session-guarded completion screen telling the user to return to the browser. API 404, offline, expired session, forbidden, rate-limit, malformed, or mismatched status becomes a specific inline/unavailable error; direct completion URL is 404.</x:v>
      </x:c>
      <x:c r="F69" s="58" t="str">
        <x:v>Both</x:v>
      </x:c>
      <x:c r="G69" s="58" t="str">
        <x:v>Double tap; approve/deny race; lost poll response; expiry; offline/401/403/404/429; mismatched server status</x:v>
      </x:c>
      <x:c r="H69" s="58" t="str">
        <x:v>Approve/deny in separate sessions, double tap/race, revisit token and completion URL, interrupt network after server decision, and verify safe idempotent recovery/browser redirect.</x:v>
      </x:c>
      <x:c r="I69" s="58" t="str">
        <x:v>Repeat Android with app background/kill during decision and return.</x:v>
      </x:c>
      <x:c r="J69" s="58" t="str">
        <x:v>/Users/mason/Sites/Buff/tests/Feature/McpApprovalTest.php:53-236; /Users/mason/Sites/buff-server/tests/Feature/McpOAuthTest.php:224-520</x:v>
      </x:c>
      <x:c r="K69" s="58" t="str">
        <x:v>/Users/mason/Sites/Buff/resources/js/Pages/McpApproval.vue:21-46,64-150; /Users/mason/Sites/Buff/app/Http/Controllers/McpApprovalController.php:46-92,113-123; /Users/mason/Sites/buff-server/app/Services/McpConnectionService.php:188-246,276-343</x:v>
      </x:c>
      <x:c r="L69" s="58" t="str">
        <x:v>Mapped</x:v>
      </x:c>
      <x:c r="M69" s="58" t="str">
        <x:v>Ready</x:v>
      </x:c>
      <x:c r="N69" s="58" t="str">
        <x:v>Not Run</x:v>
      </x:c>
      <x:c r="O69" s="58" t="str">
        <x:v>Blocked</x:v>
      </x:c>
      <x:c r="P69" s="58" t="str">
        <x:v>Android: /Users/mason/.codex/visualizations/2026/09/01/01a05def-1c0d-76d1-abc6-07c63a443582/emulator-runs/initial/android/ACC-063-067-no-connected-assistants.png
/Users/mason/.codex/visualizations/2026/09/01/01a05def-1c0d-76d1-abc6-07c63a443582/emulator-runs/initial/android/ACC-054-063-076-HLT-013-047-NUT-109-111-blocker-observations.json — No valid approval request was available, so the account stayed on the empty Connected AI assistants state and no approve or deny mutation occurred.</x:v>
      </x:c>
      <x:c r="Q69" s="58" t="str"/>
      <x:c r="R69" s="58" t="str">
        <x:v>Not Needed</x:v>
      </x:c>
      <x:c r="S69" s="58" t="str"/>
      <x:c r="T69" s="58" t="str">
        <x:v>Not Run</x:v>
      </x:c>
      <x:c r="U69" s="58" t="str">
        <x:v>Not Run</x:v>
      </x:c>
      <x:c r="V69" s="58" t="str"/>
      <x:c r="W69" s="58" t="str">
        <x:f>IF(AND(OR(N69="Passed",N69="Failed",N69="Not Applicable"),OR(O69="Passed",O69="Failed",O69="Not Applicable"),OR(N69="Passed",N69="Failed",O69="Passed",O69="Failed"),OR(T69="Passed",T69="Not Applicable"),OR(U69="Passed",U69="Not Applicable"),OR(T69="Passed",U69="Passed"),Y69="Reconciled",Z69="Reconciled",IF(Q69&lt;&gt;"",R69="Fixed",TRUE)),"Verified",IF(OR(T69="Failed",U69="Failed"),"Retest Failed",IF(OR(N69="Failed",O69="Failed",Q69&lt;&gt;""),"Defect Found",IF(AND(OR(N69="Passed",N69="Not Applicable"),OR(O69="Passed",O69="Not Applicable"),OR(N69="Passed",O69="Passed")),"Initial Pass","Not Complete"))))</x:f>
        <x:v>Not Complete</x:v>
      </x:c>
      <x:c r="X69" s="58" t="str">
        <x:v>No material defect evident; an approval completed server-side just as the app loses the response may display an error until the user reopens the still-valid request, so recovery messaging merits emulator observation.</x:v>
      </x:c>
      <x:c r="Y69" s="58" t="str">
        <x:f>IF(OR(N69="Not Run",O69="Not Run"),"Pending",IF(AND(OR(N69="Not Applicable",COUNTIFS('Test Runs'!$B$5:$B$2004,A69,'Test Runs'!$C$5:$C$2004,"Initial",'Test Runs'!$D$5:$D$2004,"iOS",'Test Runs'!$I$5:$I$2004,N69)&gt;0),OR(O69="Not Applicable",COUNTIFS('Test Runs'!$B$5:$B$2004,A69,'Test Runs'!$C$5:$C$2004,"Initial",'Test Runs'!$D$5:$D$2004,"Android",'Test Runs'!$I$5:$I$2004,O69)&gt;0)),"Reconciled","Mismatch"))</x:f>
        <x:v>Pending</x:v>
      </x:c>
      <x:c r="Z69" s="58" t="str">
        <x:f>IF(OR(T69="Not Run",U69="Not Run"),"Pending",IF(AND(OR(T69="Not Applicable",COUNTIFS('Test Runs'!$B$5:$B$2004,A69,'Test Runs'!$C$5:$C$2004,"Retest",'Test Runs'!$D$5:$D$2004,"iOS",'Test Runs'!$I$5:$I$2004,T69)&gt;0),OR(U69="Not Applicable",COUNTIFS('Test Runs'!$B$5:$B$2004,A69,'Test Runs'!$C$5:$C$2004,"Retest",'Test Runs'!$D$5:$D$2004,"Android",'Test Runs'!$I$5:$I$2004,U69)&gt;0)),"Reconciled","Mismatch"))</x:f>
        <x:v>Pending</x:v>
      </x:c>
    </x:row>
    <x:row r="70" ht="120" customHeight="1">
      <x:c r="A70" s="58" t="str">
        <x:v>ACC-066</x:v>
      </x:c>
      <x:c r="B70" s="58" t="str">
        <x:v>Connected assistant inventory</x:v>
      </x:c>
      <x:c r="C70" s="58" t="str">
        <x:v>/settings/connected-assistants</x:v>
      </x:c>
      <x:c r="D70" s="58" t="str">
        <x:v>As a signed-in user, I want Settings to list active, unused-authorized, and previously revoked assistants with meaningful timestamps.</x:v>
      </x:c>
      <x:c r="E70" s="58" t="str">
        <x:v>The server returns this user's connections newest first with UUID, stored display name, linked/last-used/revoked timestamps. Buff drops malformed/foreign-shaped rows, labels never-used grants Authorized and used grants Active, formats valid timestamps or Never/Unknown, shows an empty state, and places revoked items in expandable Connection history. Load connection/API failures show a safe alert; 401 clears the local access token and preserves Settings as intended for re-login. last_used_at advances only after a successful MCP response.</x:v>
      </x:c>
      <x:c r="F70" s="58" t="str">
        <x:v>Both</x:v>
      </x:c>
      <x:c r="G70" s="58" t="str">
        <x:v>No/unused/used/revoked connections; malformed timestamps/rows; offline/401/429/503</x:v>
      </x:c>
      <x:c r="H70" s="58" t="str">
        <x:v>Connect two assistants, successfully use one, fail one call, revoke another, and verify status/order/history; inject malformed list and session expiry.</x:v>
      </x:c>
      <x:c r="I70" s="58" t="str">
        <x:v>Repeat Android including narrow-screen truncation and offline resume.</x:v>
      </x:c>
      <x:c r="J70" s="58" t="str">
        <x:v>/Users/mason/Sites/Buff/tests/Feature/ConnectedAssistantsTest.php:23-141; /Users/mason/Sites/buff-server/tests/Feature/McpOAuthTest.php:706-877,1010-1027</x:v>
      </x:c>
      <x:c r="K70" s="58" t="str">
        <x:v>/Users/mason/Sites/Buff/app/Http/Controllers/SettingsController.php:99-113,216-258; /Users/mason/Sites/Buff/resources/js/Pages/Settings/ConnectedAssistants.vue:10-29,46-67,83-168,278-309; /Users/mason/Sites/buff-server/app/Http/Controllers/Api/V1/McpConnectionController.php:13-34; /Users/mason/Sites/buff-server/app/Http/Middleware/EnsureMcpAccess.php:22-45</x:v>
      </x:c>
      <x:c r="L70" s="58" t="str">
        <x:v>Mapped</x:v>
      </x:c>
      <x:c r="M70" s="58" t="str">
        <x:v>Ready</x:v>
      </x:c>
      <x:c r="N70" s="58" t="str">
        <x:v>Not Run</x:v>
      </x:c>
      <x:c r="O70" s="58" t="str">
        <x:v>Failed</x:v>
      </x:c>
      <x:c r="P70" s="58" t="str">
        <x:v>Android: /Users/mason/.codex/visualizations/2026/09/01/01a05def-1c0d-76d1-abc6-07c63a443582/emulator-runs/initial/android-guest/ACC-066-connected-assistants-empty.png
/Users/mason/.codex/visualizations/2026/09/01/01a05def-1c0d-76d1-abc6-07c63a443582/emulator-runs/initial/android-guest/dom-observations-batch-015.json — The empty inventory, readonly MCP endpoint, copy fallback, and assistant instructions worked, but the inventory region's aria-labelledby target did not exist.</x:v>
      </x:c>
      <x:c r="Q70" s="58" t="str">
        <x:v>DEF-051</x:v>
      </x:c>
      <x:c r="R70" s="58" t="str">
        <x:v>In Progress</x:v>
      </x:c>
      <x:c r="S70" s="58" t="str"/>
      <x:c r="T70" s="58" t="str">
        <x:v>Blocked</x:v>
      </x:c>
      <x:c r="U70" s="58" t="str">
        <x:v>Not Run</x:v>
      </x:c>
      <x:c r="V70" s="58" t="str">
        <x:v>iOS: /Users/mason/.codex/visualizations/2026/09/01/01a05def-1c0d-76d1-abc6-07c63a443582/emulator-runs/retest/ios/ACC-066-assistant-empty-inventory.png
/Users/mason/.codex/visualizations/2026/09/01/01a05def-1c0d-76d1-abc6-07c63a443582/emulator-runs/retest/ios/ACC-032-068-NUT-085-observations.json — Connected AI assistants displays No assistants have access and Add one below when you're ready, with no alert or connection rows.44px labelled Back restores hub/nav.</x:v>
      </x:c>
      <x:c r="W70" s="58" t="str">
        <x:f>IF(AND(OR(N70="Passed",N70="Failed",N70="Not Applicable"),OR(O70="Passed",O70="Failed",O70="Not Applicable"),OR(N70="Passed",N70="Failed",O70="Passed",O70="Failed"),OR(T70="Passed",T70="Not Applicable"),OR(U70="Passed",U70="Not Applicable"),OR(T70="Passed",U70="Passed"),Y70="Reconciled",Z70="Reconciled",IF(Q70&lt;&gt;"",R70="Fixed",TRUE)),"Verified",IF(OR(T70="Failed",U70="Failed"),"Retest Failed",IF(OR(N70="Failed",O70="Failed",Q70&lt;&gt;""),"Defect Found",IF(AND(OR(N70="Passed",N70="Not Applicable"),OR(O70="Passed",O70="Not Applicable"),OR(N70="Passed",O70="Passed")),"Initial Pass","Not Complete"))))</x:f>
        <x:v>Defect Found</x:v>
      </x:c>
      <x:c r="X70" s="58" t="str">
        <x:v>None evident; the server intentionally retains revoked connection history, which should match the user's privacy expectations/documentation.</x:v>
      </x:c>
      <x:c r="Y70" s="58" t="str">
        <x:f>IF(OR(N70="Not Run",O70="Not Run"),"Pending",IF(AND(OR(N70="Not Applicable",COUNTIFS('Test Runs'!$B$5:$B$2004,A70,'Test Runs'!$C$5:$C$2004,"Initial",'Test Runs'!$D$5:$D$2004,"iOS",'Test Runs'!$I$5:$I$2004,N70)&gt;0),OR(O70="Not Applicable",COUNTIFS('Test Runs'!$B$5:$B$2004,A70,'Test Runs'!$C$5:$C$2004,"Initial",'Test Runs'!$D$5:$D$2004,"Android",'Test Runs'!$I$5:$I$2004,O70)&gt;0)),"Reconciled","Mismatch"))</x:f>
        <x:v>Pending</x:v>
      </x:c>
      <x:c r="Z70" s="58" t="str">
        <x:f>IF(OR(T70="Not Run",U70="Not Run"),"Pending",IF(AND(OR(T70="Not Applicable",COUNTIFS('Test Runs'!$B$5:$B$2004,A70,'Test Runs'!$C$5:$C$2004,"Retest",'Test Runs'!$D$5:$D$2004,"iOS",'Test Runs'!$I$5:$I$2004,T70)&gt;0),OR(U70="Not Applicable",COUNTIFS('Test Runs'!$B$5:$B$2004,A70,'Test Runs'!$C$5:$C$2004,"Retest",'Test Runs'!$D$5:$D$2004,"Android",'Test Runs'!$I$5:$I$2004,U70)&gt;0)),"Reconciled","Mismatch"))</x:f>
        <x:v>Pending</x:v>
      </x:c>
    </x:row>
    <x:row r="71" ht="120" customHeight="1">
      <x:c r="A71" s="58" t="str">
        <x:v>ACC-067</x:v>
      </x:c>
      <x:c r="B71" s="58" t="str">
        <x:v>Revoke assistant access</x:v>
      </x:c>
      <x:c r="C71" s="58" t="str">
        <x:v>/settings/connected-assistants/{uuid} &gt; Revoke access</x:v>
      </x:c>
      <x:c r="D71" s="58" t="str">
        <x:v>As a user, I want revoking one assistant to immediately invalidate all of that assistant's OAuth credentials without logging me out of Buff or other assistants.</x:v>
      </x:c>
      <x:c r="E71" s="58" t="str">
        <x:v>Tapping Revoke issues DELETE for that UUID, disables all revoke buttons while pending, and on success shows Assistant access revoked then moves the row to history. Server verifies ownership under a transaction/lock; revokes that client/user's outstanding authorization codes, access tokens, and refresh tokens; stamps revoked_at, clears reauthorization_pending, and increments generation. Other assistant credentials and mobile Sanctum tokens remain valid. Reauthorization later requires fresh consent. Errors remain inline; 401 saves intended return.</x:v>
      </x:c>
      <x:c r="F71" s="58" t="str">
        <x:v>Both</x:v>
      </x:c>
      <x:c r="G71" s="58" t="str">
        <x:v>Two assistants plus mobile session; concurrent revoke/token exchange; foreign UUID; API failure/401</x:v>
      </x:c>
      <x:c r="H71" s="58" t="str">
        <x:v>Revoke one and immediately invoke/read/refresh through both assistants; verify only target fails, Buff remains signed in, history updates, and reconnect requires approval; race revoke with token exchange.</x:v>
      </x:c>
      <x:c r="I71" s="58" t="str">
        <x:v>Repeat Android with slow network/double tap.</x:v>
      </x:c>
      <x:c r="J71" s="58" t="str">
        <x:v>/Users/mason/Sites/Buff/tests/Feature/ConnectedAssistantsTest.php:77-141; /Users/mason/Sites/buff-server/tests/Feature/McpOAuthTest.php:706-934</x:v>
      </x:c>
      <x:c r="K71" s="58" t="str">
        <x:v>/Users/mason/Sites/Buff/resources/js/Pages/Settings/ConnectedAssistants.vue:24-29,68-80,127-166; /Users/mason/Sites/Buff/app/Http/Controllers/SettingsController.php:116-138; /Users/mason/Sites/buff-server/app/Http/Controllers/Api/V1/McpConnectionController.php:36-44; /Users/mason/Sites/buff-server/app/Services/McpConnectionService.php:345-389</x:v>
      </x:c>
      <x:c r="L71" s="58" t="str">
        <x:v>Mapped</x:v>
      </x:c>
      <x:c r="M71" s="58" t="str">
        <x:v>Ready</x:v>
      </x:c>
      <x:c r="N71" s="58" t="str">
        <x:v>Not Run</x:v>
      </x:c>
      <x:c r="O71" s="58" t="str">
        <x:v>Blocked</x:v>
      </x:c>
      <x:c r="P71" s="58" t="str">
        <x:v>Android: /Users/mason/.codex/visualizations/2026/09/01/01a05def-1c0d-76d1-abc6-07c63a443582/emulator-runs/initial/android/ACC-063-067-no-connected-assistants.png
/Users/mason/.codex/visualizations/2026/09/01/01a05def-1c0d-76d1-abc6-07c63a443582/emulator-runs/initial/android/ACC-054-063-076-HLT-013-047-NUT-109-111-blocker-observations.json — Connected AI assistants reported 'No assistants have access,' so no connection row or revoke action was present.</x:v>
      </x:c>
      <x:c r="Q71" s="58" t="str"/>
      <x:c r="R71" s="58" t="str">
        <x:v>Not Needed</x:v>
      </x:c>
      <x:c r="S71" s="58" t="str"/>
      <x:c r="T71" s="58" t="str">
        <x:v>Not Run</x:v>
      </x:c>
      <x:c r="U71" s="58" t="str">
        <x:v>Not Run</x:v>
      </x:c>
      <x:c r="V71" s="58" t="str"/>
      <x:c r="W71" s="58" t="str">
        <x:f>IF(AND(OR(N71="Passed",N71="Failed",N71="Not Applicable"),OR(O71="Passed",O71="Failed",O71="Not Applicable"),OR(N71="Passed",N71="Failed",O71="Passed",O71="Failed"),OR(T71="Passed",T71="Not Applicable"),OR(U71="Passed",U71="Not Applicable"),OR(T71="Passed",U71="Passed"),Y71="Reconciled",Z71="Reconciled",IF(Q71&lt;&gt;"",R71="Fixed",TRUE)),"Verified",IF(OR(T71="Failed",U71="Failed"),"Retest Failed",IF(OR(N71="Failed",O71="Failed",Q71&lt;&gt;""),"Defect Found",IF(AND(OR(N71="Passed",N71="Not Applicable"),OR(O71="Passed",O71="Not Applicable"),OR(N71="Passed",O71="Passed")),"Initial Pass","Not Complete"))))</x:f>
        <x:v>Not Complete</x:v>
      </x:c>
      <x:c r="X71" s="58" t="str">
        <x:v>CONFIRMED UX RISK: Revoke access executes immediately with no confirmation despite invalidating all current sessions for that assistant; accidental taps are irreversible without reconnecting.</x:v>
      </x:c>
      <x:c r="Y71" s="58" t="str">
        <x:f>IF(OR(N71="Not Run",O71="Not Run"),"Pending",IF(AND(OR(N71="Not Applicable",COUNTIFS('Test Runs'!$B$5:$B$2004,A71,'Test Runs'!$C$5:$C$2004,"Initial",'Test Runs'!$D$5:$D$2004,"iOS",'Test Runs'!$I$5:$I$2004,N71)&gt;0),OR(O71="Not Applicable",COUNTIFS('Test Runs'!$B$5:$B$2004,A71,'Test Runs'!$C$5:$C$2004,"Initial",'Test Runs'!$D$5:$D$2004,"Android",'Test Runs'!$I$5:$I$2004,O71)&gt;0)),"Reconciled","Mismatch"))</x:f>
        <x:v>Pending</x:v>
      </x:c>
      <x:c r="Z71" s="58" t="str">
        <x:f>IF(OR(T71="Not Run",U71="Not Run"),"Pending",IF(AND(OR(T71="Not Applicable",COUNTIFS('Test Runs'!$B$5:$B$2004,A71,'Test Runs'!$C$5:$C$2004,"Retest",'Test Runs'!$D$5:$D$2004,"iOS",'Test Runs'!$I$5:$I$2004,T71)&gt;0),OR(U71="Not Applicable",COUNTIFS('Test Runs'!$B$5:$B$2004,A71,'Test Runs'!$C$5:$C$2004,"Retest",'Test Runs'!$D$5:$D$2004,"Android",'Test Runs'!$I$5:$I$2004,U71)&gt;0)),"Reconciled","Mismatch"))</x:f>
        <x:v>Pending</x:v>
      </x:c>
    </x:row>
    <x:row r="72" ht="120" customHeight="1">
      <x:c r="A72" s="58" t="str">
        <x:v>ACC-068</x:v>
      </x:c>
      <x:c r="B72" s="58" t="str">
        <x:v>MCP endpoint copy and setup guidance</x:v>
      </x:c>
      <x:c r="C72" s="58" t="str">
        <x:v>/settings/connected-assistants &gt; Add an assistant</x:v>
      </x:c>
      <x:c r="D72" s="58" t="str">
        <x:v>As a user, I want to copy the correct Buff MCP endpoint and follow setup instructions for my assistant even when clipboard access is unavailable.</x:v>
      </x:c>
      <x:c r="E72" s="58" t="str">
        <x:v>When configured, Settings shows a readonly MCP URL and expandable instructions for Codex, ChatGPT, Claude, and Gemini. Copy writes to navigator.clipboard and emits a native/fallback toast; absent/denied clipboard tells the user to select and copy manually. If server config omits the endpoint, the entire Add an assistant card is hidden. Instructions describe each product's OAuth connection path and eligibility caveats.</x:v>
      </x:c>
      <x:c r="F72" s="58" t="str">
        <x:v>Both</x:v>
      </x:c>
      <x:c r="G72" s="58" t="str">
        <x:v>Configured/null endpoint; clipboard success/denied/unavailable; each assistant UI/account tier</x:v>
      </x:c>
      <x:c r="H72" s="58" t="str">
        <x:v>Copy and paste endpoint; deny clipboard and manually select; execute Codex and each browser-assistant setup, verify OAuth opens Buff and returns; test hidden config.</x:v>
      </x:c>
      <x:c r="I72" s="58" t="str">
        <x:v>Repeat Android WebView clipboard permission/selection and external assistant handoff.</x:v>
      </x:c>
      <x:c r="J72" s="58" t="str">
        <x:v>/Users/mason/Sites/Buff/tests/Feature/ConnectedAssistantsTest.php:23-75; component behavior indirectly covered</x:v>
      </x:c>
      <x:c r="K72" s="58" t="str">
        <x:v>/Users/mason/Sites/Buff/config/buff.php:13-16; /Users/mason/Sites/Buff/app/Http/Controllers/SettingsController.php:109-113; /Users/mason/Sites/Buff/resources/js/Pages/Settings/ConnectedAssistants.vue:18-44,170-276</x:v>
      </x:c>
      <x:c r="L72" s="58" t="str">
        <x:v>Mapped</x:v>
      </x:c>
      <x:c r="M72" s="58" t="str">
        <x:v>Ready</x:v>
      </x:c>
      <x:c r="N72" s="58" t="str">
        <x:v>Not Run</x:v>
      </x:c>
      <x:c r="O72" s="58" t="str">
        <x:v>Blocked</x:v>
      </x:c>
      <x:c r="P72" s="58" t="str">
        <x:v>Android: /Users/mason/.codex/visualizations/2026/09/01/01a05def-1c0d-76d1-abc6-07c63a443582/emulator-runs/initial/android/ACC-068-assistant-instructions.png
/Users/mason/.codex/visualizations/2026/09/01/01a05def-1c0d-76d1-abc6-07c63a443582/emulator-runs/initial/android/ACC-068-copy-mcp-address.png
/Users/mason/.codex/visualizations/2026/09/01/01a05def-1c0d-76d1-abc6-07c63a443582/emulator-runs/initial/android/ACC-068-copy-denied-fallback.png
/Users/mason/.codex/visualizations/2026/09/01/01a05def-1c0d-76d1-abc6-07c63a443582/emulator-runs/initial/android/ACC-055-068-081-observations.json — /settings/connected-assistants showed no connections, the readonly https://api.usebuff.app/mcp/buff endpoint, Add an assistant, Copy MCP address, and expandable Codex, ChatGPT, Claude, and Gemini guidance. Every instruction section opened with its full steps. Trusted-pointer copy dispatched buff:toast with 'MCP address copied.' A controlled clipboard denial showed role=status text 'Select the address above and copy it manually.'</x:v>
      </x:c>
      <x:c r="Q72" s="58" t="str"/>
      <x:c r="R72" s="58" t="str">
        <x:v>Not Needed</x:v>
      </x:c>
      <x:c r="S72" s="58" t="str"/>
      <x:c r="T72" s="58" t="str">
        <x:v>Blocked</x:v>
      </x:c>
      <x:c r="U72" s="58" t="str">
        <x:v>Not Run</x:v>
      </x:c>
      <x:c r="V72" s="58" t="str">
        <x:v>iOS: /Users/mason/.codex/visualizations/2026/09/01/01a05def-1c0d-76d1-abc6-07c63a443582/emulator-runs/retest/ios/ACC-066-assistant-empty-inventory.png
/Users/mason/.codex/visualizations/2026/09/01/01a05def-1c0d-76d1-abc6-07c63a443582/emulator-runs/retest/ios/ACC-032-068-NUT-085-observations.json — Add an assistant card exposes readonly configured MCP endpoint and Copy MCP address control. Codex, ChatGPT, Claude and Gemini disclosures each opened via UI, rendered their own instructions, and closed again.</x:v>
      </x:c>
      <x:c r="W72" s="58" t="str">
        <x:f>IF(AND(OR(N72="Passed",N72="Failed",N72="Not Applicable"),OR(O72="Passed",O72="Failed",O72="Not Applicable"),OR(N72="Passed",N72="Failed",O72="Passed",O72="Failed"),OR(T72="Passed",T72="Not Applicable"),OR(U72="Passed",U72="Not Applicable"),OR(T72="Passed",U72="Passed"),Y72="Reconciled",Z72="Reconciled",IF(Q72&lt;&gt;"",R72="Fixed",TRUE)),"Verified",IF(OR(T72="Failed",U72="Failed"),"Retest Failed",IF(OR(N72="Failed",O72="Failed",Q72&lt;&gt;""),"Defect Found",IF(AND(OR(N72="Passed",N72="Not Applicable"),OR(O72="Passed",O72="Not Applicable"),OR(N72="Passed",O72="Passed")),"Initial Pass","Not Complete"))))</x:f>
        <x:v>Not Complete</x:v>
      </x:c>
      <x:c r="X72" s="58" t="str">
        <x:v>Documentation risk: third-party product setup paths and plan/workspace eligibility change independently of Buff code and need periodic manual verification.</x:v>
      </x:c>
      <x:c r="Y72" s="58" t="str">
        <x:f>IF(OR(N72="Not Run",O72="Not Run"),"Pending",IF(AND(OR(N72="Not Applicable",COUNTIFS('Test Runs'!$B$5:$B$2004,A72,'Test Runs'!$C$5:$C$2004,"Initial",'Test Runs'!$D$5:$D$2004,"iOS",'Test Runs'!$I$5:$I$2004,N72)&gt;0),OR(O72="Not Applicable",COUNTIFS('Test Runs'!$B$5:$B$2004,A72,'Test Runs'!$C$5:$C$2004,"Initial",'Test Runs'!$D$5:$D$2004,"Android",'Test Runs'!$I$5:$I$2004,O72)&gt;0)),"Reconciled","Mismatch"))</x:f>
        <x:v>Pending</x:v>
      </x:c>
      <x:c r="Z72" s="58" t="str">
        <x:f>IF(OR(T72="Not Run",U72="Not Run"),"Pending",IF(AND(OR(T72="Not Applicable",COUNTIFS('Test Runs'!$B$5:$B$2004,A72,'Test Runs'!$C$5:$C$2004,"Retest",'Test Runs'!$D$5:$D$2004,"iOS",'Test Runs'!$I$5:$I$2004,T72)&gt;0),OR(U72="Not Applicable",COUNTIFS('Test Runs'!$B$5:$B$2004,A72,'Test Runs'!$C$5:$C$2004,"Retest",'Test Runs'!$D$5:$D$2004,"Android",'Test Runs'!$I$5:$I$2004,U72)&gt;0)),"Reconciled","Mismatch"))</x:f>
        <x:v>Pending</x:v>
      </x:c>
    </x:row>
    <x:row r="73" ht="120" customHeight="1">
      <x:c r="A73" s="58" t="str">
        <x:v>ACC-069</x:v>
      </x:c>
      <x:c r="B73" s="58" t="str">
        <x:v>MCP OAuth and connection security</x:v>
      </x:c>
      <x:c r="C73" s="58" t="str">
        <x:v>Assistant OAuth discovery/register/authorize/token and MCP endpoint</x:v>
      </x:c>
      <x:c r="D73" s="58" t="str">
        <x:v>As a user authorizing an assistant, I want OAuth credentials restricted to the requested MCP client, redirect, verified account, and current Buff MCP availability.</x:v>
      </x:c>
      <x:c r="E73" s="58" t="str">
        <x:v>Dynamic MCP clients receive only the MCP scope and registered redirects are constrained to configured HTTPS/local origins or allowlisted custom schemes. Authorization requires PKCE S256 and rechecks verified email before code issuance; app approval stores a fingerprint of the exact authorization URL and cannot cross client/redirect/session. Access/refresh tokens are Passport-managed (one-hour access expiry), connection-aware, and rejected without MCP scope, after revoke, or when the MCP kill switch is off. Kill switch returns 404 for authorization/MCP and no-store 503 for token grants without affecting unrelated Passport clients. Read/mutation/analysis rate limits are per user/client.</x:v>
      </x:c>
      <x:c r="F73" s="58" t="str">
        <x:v>Both plus server/assistant clients</x:v>
      </x:c>
      <x:c r="G73" s="58" t="str">
        <x:v>PKCE missing/plain/S256; allowed/disallowed redirects; unverified user; wrong/no scope; revoke/kill switch; unrelated client; rate limits</x:v>
      </x:c>
      <x:c r="H73" s="58" t="str">
        <x:v>Run complete OAuth via iOS Buff approval, then mutate client/redirect/code challenge/scope, revoke and disable MCP; confirm tokens fail appropriately and unrelated OAuth remains usable.</x:v>
      </x:c>
      <x:c r="I73" s="58" t="str">
        <x:v>Repeat approval handoff through Android; server protocol/security assertions are platform-independent.</x:v>
      </x:c>
      <x:c r="J73" s="58" t="str">
        <x:v>/Users/mason/Sites/buff-server/tests/Feature/McpOAuthTest.php:21-1100; /Users/mason/Sites/Buff/tests/Feature/McpApprovalTest.php</x:v>
      </x:c>
      <x:c r="K73" s="58" t="str">
        <x:v>/Users/mason/Sites/buff-server/app/Http/Controllers/McpOAuthRegisterController.php:9-16; /Users/mason/Sites/buff-server/config/mcp.php:18-37; /Users/mason/Sites/buff-server/app/Http/Middleware/EnsureMcpOAuthAuthorization.php:29-85,88-158; /Users/mason/Sites/buff-server/app/Services/McpConnectionService.php:1-160,376-389; /Users/mason/Sites/buff-server/app/Http/Middleware/EnsureMcpAccess.php:22-45; /Users/mason/Sites/buff-server/app/Providers/AppServiceProvider.php:56-88</x:v>
      </x:c>
      <x:c r="L73" s="58" t="str">
        <x:v>Mapped</x:v>
      </x:c>
      <x:c r="M73" s="58" t="str">
        <x:v>Ready</x:v>
      </x:c>
      <x:c r="N73" s="58" t="str">
        <x:v>Not Run</x:v>
      </x:c>
      <x:c r="O73" s="58" t="str">
        <x:v>Blocked</x:v>
      </x:c>
      <x:c r="P73" s="58" t="str">
        <x:v>Android: /Users/mason/.codex/visualizations/2026/09/01/01a05def-1c0d-76d1-abc6-07c63a443582/emulator-runs/initial/android/ACC-055-068-081-observations.json
/Users/mason/.codex/visualizations/2026/09/01/01a05def-1c0d-76d1-abc6-07c63a443582/emulator-runs/initial/android/ACC-054-063-076-HLT-013-047-NUT-109-111-blocker-observations.json — The Android custom-scheme handler preserved ordinary query data and rejected malformed MCP routes safely; no OAuth credential or token was issued.</x:v>
      </x:c>
      <x:c r="Q73" s="58" t="str"/>
      <x:c r="R73" s="58" t="str">
        <x:v>Not Needed</x:v>
      </x:c>
      <x:c r="S73" s="58" t="str"/>
      <x:c r="T73" s="58" t="str">
        <x:v>Not Run</x:v>
      </x:c>
      <x:c r="U73" s="58" t="str">
        <x:v>Not Run</x:v>
      </x:c>
      <x:c r="V73" s="58" t="str"/>
      <x:c r="W73" s="58" t="str">
        <x:f>IF(AND(OR(N73="Passed",N73="Failed",N73="Not Applicable"),OR(O73="Passed",O73="Failed",O73="Not Applicable"),OR(N73="Passed",N73="Failed",O73="Passed",O73="Failed"),OR(T73="Passed",T73="Not Applicable"),OR(U73="Passed",U73="Not Applicable"),OR(T73="Passed",U73="Passed"),Y73="Reconciled",Z73="Reconciled",IF(Q73&lt;&gt;"",R73="Fixed",TRUE)),"Verified",IF(OR(T73="Failed",U73="Failed"),"Retest Failed",IF(OR(N73="Failed",O73="Failed",Q73&lt;&gt;""),"Defect Found",IF(AND(OR(N73="Passed",N73="Not Applicable"),OR(O73="Passed",O73="Not Applicable"),OR(N73="Passed",O73="Passed")),"Initial Pass","Not Complete"))))</x:f>
        <x:v>Not Complete</x:v>
      </x:c>
      <x:c r="X73" s="58" t="str">
        <x:v>No material defect evident; security depends on production MCP redirect-domain/custom-scheme configuration not being broadened (for example wildcard) beyond reviewed clients.</x:v>
      </x:c>
      <x:c r="Y73" s="58" t="str">
        <x:f>IF(OR(N73="Not Run",O73="Not Run"),"Pending",IF(AND(OR(N73="Not Applicable",COUNTIFS('Test Runs'!$B$5:$B$2004,A73,'Test Runs'!$C$5:$C$2004,"Initial",'Test Runs'!$D$5:$D$2004,"iOS",'Test Runs'!$I$5:$I$2004,N73)&gt;0),OR(O73="Not Applicable",COUNTIFS('Test Runs'!$B$5:$B$2004,A73,'Test Runs'!$C$5:$C$2004,"Initial",'Test Runs'!$D$5:$D$2004,"Android",'Test Runs'!$I$5:$I$2004,O73)&gt;0)),"Reconciled","Mismatch"))</x:f>
        <x:v>Pending</x:v>
      </x:c>
      <x:c r="Z73" s="58" t="str">
        <x:f>IF(OR(T73="Not Run",U73="Not Run"),"Pending",IF(AND(OR(T73="Not Applicable",COUNTIFS('Test Runs'!$B$5:$B$2004,A73,'Test Runs'!$C$5:$C$2004,"Retest",'Test Runs'!$D$5:$D$2004,"iOS",'Test Runs'!$I$5:$I$2004,T73)&gt;0),OR(U73="Not Applicable",COUNTIFS('Test Runs'!$B$5:$B$2004,A73,'Test Runs'!$C$5:$C$2004,"Retest",'Test Runs'!$D$5:$D$2004,"Android",'Test Runs'!$I$5:$I$2004,U73)&gt;0)),"Reconciled","Mismatch"))</x:f>
        <x:v>Pending</x:v>
      </x:c>
    </x:row>
    <x:row r="74" ht="120" customHeight="1">
      <x:c r="A74" s="58" t="str">
        <x:v>ACC-070</x:v>
      </x:c>
      <x:c r="B74" s="58" t="str">
        <x:v>Local change outbox</x:v>
      </x:c>
      <x:c r="C74" s="58" t="str">
        <x:v>Any synced model save/delete; deferred /sync</x:v>
      </x:c>
      <x:c r="D74" s="58" t="str">
        <x:v>As a signed-in user editing Buff offline or online, I want every syncable save/delete captured durably and sent later without losing the latest edit.</x:v>
      </x:c>
      <x:c r="E74" s="58" t="str">
        <x:v>Observers on configured sync models serialize the complete allowlisted field snapshot after save, normalize date/time/enum values, and update one outbox row per type/ID. Delete writes a tombstone timestamp strictly newer than the model update. Each mutation defers a best-effort sync, while the durable outbox remains if unavailable. Existing records can be queued during account bootstrap. Sync sends oldest batches of at most 500 with stable device UUID/cursor.</x:v>
      </x:c>
      <x:c r="F74" s="58" t="str">
        <x:v>Both</x:v>
      </x:c>
      <x:c r="G74" s="58" t="str">
        <x:v>Signed-in local account; every record type; create/edit/delete offline; rapid same-record edits; clock precision</x:v>
      </x:c>
      <x:c r="H74" s="58" t="str">
        <x:v>Offline-create/edit/delete each entity, inspect a single latest outbox snapshot/tombstone, relaunch/reconnect, and verify cloud result.</x:v>
      </x:c>
      <x:c r="I74" s="58" t="str">
        <x:v>Repeat Android with process kill before deferred request and reconnect.</x:v>
      </x:c>
      <x:c r="J74" s="58" t="str">
        <x:v>/Users/mason/Sites/Buff/tests/Feature/BuffSyncTest.php:31-55; model feature tests exercise observer integration</x:v>
      </x:c>
      <x:c r="K74" s="58" t="str">
        <x:v>/Users/mason/Sites/Buff/app/Observers/SyncableObserver.php:11-89; /Users/mason/Sites/Buff/app/Services/BuffSyncService.php:61-112; /Users/mason/Sites/Buff/config/buff.php sync_models</x:v>
      </x:c>
      <x:c r="L74" s="58" t="str">
        <x:v>Mapped</x:v>
      </x:c>
      <x:c r="M74" s="58" t="str">
        <x:v>Ready</x:v>
      </x:c>
      <x:c r="N74" s="58" t="str">
        <x:v>Not Run</x:v>
      </x:c>
      <x:c r="O74" s="58" t="str">
        <x:v>Blocked</x:v>
      </x:c>
      <x:c r="P74" s="58" t="str">
        <x:v>Android: /Users/mason/.codex/visualizations/2026/09/01/01a05def-1c0d-76d1-abc6-07c63a443582/emulator-runs/initial/android/NUT-019-offline-custom-added.png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
/Users/mason/.codex/visualizations/2026/09/01/01a05def-1c0d-76d1-abc6-07c63a443582/emulator-runs/initial/android/ACC-009-070-071-075-HLT-049-observations.json — Offline custom-meal create, edit, repeat, and delete plus recipe create and log survived force-stop/relaunch. Reconnect retained surviving rows, flushed successfully, and cleanup completed with pending 0 and last_error null.</x:v>
      </x:c>
      <x:c r="Q74" s="58" t="str"/>
      <x:c r="R74" s="58" t="str">
        <x:v>Not Needed</x:v>
      </x:c>
      <x:c r="S74" s="58" t="str"/>
      <x:c r="T74" s="58" t="str">
        <x:v>Not Run</x:v>
      </x:c>
      <x:c r="U74" s="58" t="str">
        <x:v>Not Run</x:v>
      </x:c>
      <x:c r="V74" s="58" t="str"/>
      <x:c r="W74" s="58" t="str">
        <x:f>IF(AND(OR(N74="Passed",N74="Failed",N74="Not Applicable"),OR(O74="Passed",O74="Failed",O74="Not Applicable"),OR(N74="Passed",N74="Failed",O74="Passed",O74="Failed"),OR(T74="Passed",T74="Not Applicable"),OR(U74="Passed",U74="Not Applicable"),OR(T74="Passed",U74="Passed"),Y74="Reconciled",Z74="Reconciled",IF(Q74&lt;&gt;"",R74="Fixed",TRUE)),"Verified",IF(OR(T74="Failed",U74="Failed"),"Retest Failed",IF(OR(N74="Failed",O74="Failed",Q74&lt;&gt;""),"Defect Found",IF(AND(OR(N74="Passed",N74="Not Applicable"),OR(O74="Passed",O74="Not Applicable"),OR(N74="Passed",O74="Passed")),"Initial Pass","Not Complete"))))</x:f>
        <x:v>Not Complete</x:v>
      </x:c>
      <x:c r="X74" s="58" t="str">
        <x:v>No material defect evident; local clock quality participates in conflict resolution, though server bounds extreme future timestamps.</x:v>
      </x:c>
      <x:c r="Y74" s="58" t="str">
        <x:f>IF(OR(N74="Not Run",O74="Not Run"),"Pending",IF(AND(OR(N74="Not Applicable",COUNTIFS('Test Runs'!$B$5:$B$2004,A74,'Test Runs'!$C$5:$C$2004,"Initial",'Test Runs'!$D$5:$D$2004,"iOS",'Test Runs'!$I$5:$I$2004,N74)&gt;0),OR(O74="Not Applicable",COUNTIFS('Test Runs'!$B$5:$B$2004,A74,'Test Runs'!$C$5:$C$2004,"Initial",'Test Runs'!$D$5:$D$2004,"Android",'Test Runs'!$I$5:$I$2004,O74)&gt;0)),"Reconciled","Mismatch"))</x:f>
        <x:v>Pending</x:v>
      </x:c>
      <x:c r="Z74" s="58" t="str">
        <x:f>IF(OR(T74="Not Run",U74="Not Run"),"Pending",IF(AND(OR(T74="Not Applicable",COUNTIFS('Test Runs'!$B$5:$B$2004,A74,'Test Runs'!$C$5:$C$2004,"Retest",'Test Runs'!$D$5:$D$2004,"iOS",'Test Runs'!$I$5:$I$2004,T74)&gt;0),OR(U74="Not Applicable",COUNTIFS('Test Runs'!$B$5:$B$2004,A74,'Test Runs'!$C$5:$C$2004,"Retest",'Test Runs'!$D$5:$D$2004,"Android",'Test Runs'!$I$5:$I$2004,U74)&gt;0)),"Reconciled","Mismatch"))</x:f>
        <x:v>Pending</x:v>
      </x:c>
    </x:row>
    <x:row r="75" ht="120" customHeight="1">
      <x:c r="A75" s="58" t="str">
        <x:v>ACC-071</x:v>
      </x:c>
      <x:c r="B75" s="58" t="str">
        <x:v>Automatic resume sync and token rotation</x:v>
      </x:c>
      <x:c r="C75" s="58" t="str">
        <x:v>App mount/focus/online/visible and POST /sync/resume</x:v>
      </x:c>
      <x:c r="D75" s="58" t="str">
        <x:v>As a returning signed-in user, I want Buff to sync automatically after launch, foreground, visibility return, or reconnection without parallel requests.</x:v>
      </x:c>
      <x:c r="E75" s="58" t="str">
        <x:v>AppShell calls resume on mount, window focus, online, and document-visible. It skips when signed out, navigator reports offline, or a run is active. Resume attempts access-token rotation once daily before sync; successful rotation replaces token/account, unauthenticated rotation clears access and stops, while non-auth rotation failure still proceeds with the current token. Successful sync reconfigures subscription identity and reloads the page; failure reloads only shared buff state. Observer-triggered sync is additionally lock-serialized for 120 seconds.</x:v>
      </x:c>
      <x:c r="F75" s="58" t="str">
        <x:v>Both</x:v>
      </x:c>
      <x:c r="G75" s="58" t="str">
        <x:v>Signed-in account; due/not-due rotation; offline/online; rapid focus+visible; 401/5xx rotation; concurrent deferred sync</x:v>
      </x:c>
      <x:c r="H75" s="58" t="str">
        <x:v>Queue changes, trigger all resume events rapidly, verify one active sync, rotation cadence, page data refresh, 401 gate, and later recovery.</x:v>
      </x:c>
      <x:c r="I75" s="58" t="str">
        <x:v>Repeat Android across background/foreground, airplane mode, process death, and connectivity return.</x:v>
      </x:c>
      <x:c r="J75" s="58" t="str">
        <x:v>/Users/mason/Sites/Buff/tests/Feature/BuffAuthenticationTest.php rotation/resume cases; /Users/mason/Sites/Buff/tests/Feature/BuffSyncTest.php</x:v>
      </x:c>
      <x:c r="K75" s="58" t="str">
        <x:v>/Users/mason/Sites/Buff/resources/js/Layouts/AppShell.vue:35,213-245,260-267; /Users/mason/Sites/Buff/app/Services/BuffSyncService.php:34-79; /Users/mason/Sites/Buff/app/Services/BuffCredentialStore.php rotation methods</x:v>
      </x:c>
      <x:c r="L75" s="58" t="str">
        <x:v>Mapped</x:v>
      </x:c>
      <x:c r="M75" s="58" t="str">
        <x:v>Ready</x:v>
      </x:c>
      <x:c r="N75" s="58" t="str">
        <x:v>Not Run</x:v>
      </x:c>
      <x:c r="O75" s="58" t="str">
        <x:v>Blocked</x:v>
      </x:c>
      <x:c r="P75" s="58" t="str">
        <x:v>Android: /Users/mason/.codex/visualizations/2026/09/01/01a05def-1c0d-76d1-abc6-07c63a443582/emulator-runs/initial/android/NUT-019-offline-relaunch-persisted.png
/Users/mason/.codex/visualizations/2026/09/01/01a05def-1c0d-76d1-abc6-07c63a443582/emulator-runs/initial/android/NUT-019-reconnected-persisted.png
/Users/mason/.codex/visualizations/2026/09/01/01a05def-1c0d-76d1-abc6-07c63a443582/emulator-runs/initial/android/NUT-019-offline-local-first-observations.json
/Users/mason/.codex/visualizations/2026/09/01/01a05def-1c0d-76d1-abc6-07c63a443582/emulator-runs/initial/android/ACC-081-cold-workout-link.png
/Users/mason/.codex/visualizations/2026/09/01/01a05def-1c0d-76d1-abc6-07c63a443582/emulator-runs/initial/android/ACC-075-sync-failure-invisible.png
/Users/mason/.codex/visualizations/2026/09/01/01a05def-1c0d-76d1-abc6-07c63a443582/emulator-runs/initial/android/ACC-009-070-071-075-HLT-049-observations.json — Cold mount preserved the signed-in route, offline state survived process relaunch, reconnect recovered automatically, and the direct recovery POST /sync/resume succeeded.</x:v>
      </x:c>
      <x:c r="Q75" s="58" t="str"/>
      <x:c r="R75" s="58" t="str">
        <x:v>Not Needed</x:v>
      </x:c>
      <x:c r="S75" s="58" t="str"/>
      <x:c r="T75" s="58" t="str">
        <x:v>Not Run</x:v>
      </x:c>
      <x:c r="U75" s="58" t="str">
        <x:v>Not Run</x:v>
      </x:c>
      <x:c r="V75" s="58" t="str"/>
      <x:c r="W75" s="58" t="str">
        <x:f>IF(AND(OR(N75="Passed",N75="Failed",N75="Not Applicable"),OR(O75="Passed",O75="Failed",O75="Not Applicable"),OR(N75="Passed",N75="Failed",O75="Passed",O75="Failed"),OR(T75="Passed",T75="Not Applicable"),OR(U75="Passed",U75="Not Applicable"),OR(T75="Passed",U75="Passed"),Y75="Reconciled",Z75="Reconciled",IF(Q75&lt;&gt;"",R75="Fixed",TRUE)),"Verified",IF(OR(T75="Failed",U75="Failed"),"Retest Failed",IF(OR(N75="Failed",O75="Failed",Q75&lt;&gt;""),"Defect Found",IF(AND(OR(N75="Passed",N75="Not Applicable"),OR(O75="Passed",O75="Not Applicable"),OR(N75="Passed",O75="Passed")),"Initial Pass","Not Complete"))))</x:f>
        <x:v>Not Complete</x:v>
      </x:c>
      <x:c r="X75" s="58" t="str">
        <x:v>Risk: navigator.onLine is only a connectivity hint; captive/no-internet networks still attempt sync, with failure remaining silent in AppShell.</x:v>
      </x:c>
      <x:c r="Y75" s="58" t="str">
        <x:f>IF(OR(N75="Not Run",O75="Not Run"),"Pending",IF(AND(OR(N75="Not Applicable",COUNTIFS('Test Runs'!$B$5:$B$2004,A75,'Test Runs'!$C$5:$C$2004,"Initial",'Test Runs'!$D$5:$D$2004,"iOS",'Test Runs'!$I$5:$I$2004,N75)&gt;0),OR(O75="Not Applicable",COUNTIFS('Test Runs'!$B$5:$B$2004,A75,'Test Runs'!$C$5:$C$2004,"Initial",'Test Runs'!$D$5:$D$2004,"Android",'Test Runs'!$I$5:$I$2004,O75)&gt;0)),"Reconciled","Mismatch"))</x:f>
        <x:v>Pending</x:v>
      </x:c>
      <x:c r="Z75" s="58" t="str">
        <x:f>IF(OR(T75="Not Run",U75="Not Run"),"Pending",IF(AND(OR(T75="Not Applicable",COUNTIFS('Test Runs'!$B$5:$B$2004,A75,'Test Runs'!$C$5:$C$2004,"Retest",'Test Runs'!$D$5:$D$2004,"iOS",'Test Runs'!$I$5:$I$2004,T75)&gt;0),OR(U75="Not Applicable",COUNTIFS('Test Runs'!$B$5:$B$2004,A75,'Test Runs'!$C$5:$C$2004,"Retest",'Test Runs'!$D$5:$D$2004,"Android",'Test Runs'!$I$5:$I$2004,U75)&gt;0)),"Reconciled","Mismatch"))</x:f>
        <x:v>Pending</x:v>
      </x:c>
    </x:row>
    <x:row r="76" ht="120" customHeight="1">
      <x:c r="A76" s="58" t="str">
        <x:v>ACC-072</x:v>
      </x:c>
      <x:c r="B76" s="58" t="str">
        <x:v>Server sync validation and isolation</x:v>
      </x:c>
      <x:c r="C76" s="58" t="str">
        <x:v>Server POST /api/v1/sync</x:v>
      </x:c>
      <x:c r="D76" s="58" t="str">
        <x:v>As a user, I want only valid Buff records accepted into my cloud dataset and never mixed with another account.</x:v>
      </x:c>
      <x:c r="E76" s="58" t="str">
        <x:v>Authenticated sync requires UUID device_id, nonnegative cursor, present array of at most 500 changes, allowed type/UUID ID/boolean deleted, and bounded RFC3339 timestamps from Unix epoch through server now+300 seconds. Nondeleted payloads must contain only the exact configured fields and pass per-record bounds/enums; malformed/scalar/unknown fields return 422. Server reads/writes SyncRecord and events strictly whereBelongsTo the authenticated user and cleans associated meal analyses/body photos on accepted tombstones.</x:v>
      </x:c>
      <x:c r="F76" s="58" t="str">
        <x:v>Both plus server</x:v>
      </x:c>
      <x:c r="G76" s="58" t="str">
        <x:v>Valid boundaries; &gt;500; malformed/scalar; unsupported fields/types; past/future/non-RFC3339 timestamps; two users same IDs</x:v>
      </x:c>
      <x:c r="H76" s="58" t="str">
        <x:v>Through iOS edits and crafted API fixtures, test every record schema boundary and clock skew; verify same ID across two accounts remains isolated.</x:v>
      </x:c>
      <x:c r="I76" s="58" t="str">
        <x:v>Repeat Android-origin payloads including Health Connect/Apple Health source enum interoperability.</x:v>
      </x:c>
      <x:c r="J76" s="58" t="str">
        <x:v>/Users/mason/Sites/buff-server/tests/Feature/SyncTest.php:9-427; /Users/mason/Sites/Buff/tests/Feature/BuffSyncTest.php</x:v>
      </x:c>
      <x:c r="K76" s="58" t="str">
        <x:v>/Users/mason/Sites/buff-server/app/Http/Requests/Api/V1/PushSyncRequest.php:10-37; /Users/mason/Sites/buff-server/app/Services/SyncChangeValidator.php:10-92; /Users/mason/Sites/buff-server/app/Services/SyncService.php:20-158; /Users/mason/Sites/buff-server/config/buff.php:22,41-130</x:v>
      </x:c>
      <x:c r="L76" s="58" t="str">
        <x:v>Mapped</x:v>
      </x:c>
      <x:c r="M76" s="58" t="str">
        <x:v>Ready</x:v>
      </x:c>
      <x:c r="N76" s="58" t="str">
        <x:v>Not Run</x:v>
      </x:c>
      <x:c r="O76" s="58" t="str">
        <x:v>Blocked</x:v>
      </x:c>
      <x:c r="P76" s="58" t="str">
        <x:v>Android: /Users/mason/.codex/visualizations/2026/09/01/01a05def-1c0d-76d1-abc6-07c63a443582/emulator-runs/initial/android/ACC-009-070-071-075-HLT-049-observations.json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 — A normal Android recovery sync completed with cursor 121, pending 0, and last_error null after offline local changes were flushed.</x:v>
      </x:c>
      <x:c r="Q76" s="58" t="str"/>
      <x:c r="R76" s="58" t="str">
        <x:v>Not Needed</x:v>
      </x:c>
      <x:c r="S76" s="58" t="str"/>
      <x:c r="T76" s="58" t="str">
        <x:v>Not Run</x:v>
      </x:c>
      <x:c r="U76" s="58" t="str">
        <x:v>Not Run</x:v>
      </x:c>
      <x:c r="V76" s="58" t="str"/>
      <x:c r="W76" s="58" t="str">
        <x:f>IF(AND(OR(N76="Passed",N76="Failed",N76="Not Applicable"),OR(O76="Passed",O76="Failed",O76="Not Applicable"),OR(N76="Passed",N76="Failed",O76="Passed",O76="Failed"),OR(T76="Passed",T76="Not Applicable"),OR(U76="Passed",U76="Not Applicable"),OR(T76="Passed",U76="Passed"),Y76="Reconciled",Z76="Reconciled",IF(Q76&lt;&gt;"",R76="Fixed",TRUE)),"Verified",IF(OR(T76="Failed",U76="Failed"),"Retest Failed",IF(OR(N76="Failed",O76="Failed",Q76&lt;&gt;""),"Defect Found",IF(AND(OR(N76="Passed",N76="Not Applicable"),OR(O76="Passed",O76="Not Applicable"),OR(N76="Passed",O76="Passed")),"Initial Pass","Not Complete"))))</x:f>
        <x:v>Not Complete</x:v>
      </x:c>
      <x:c r="X76" s="58" t="str">
        <x:v>No material defect evident; a device clock more than five minutes fast causes all local writes to remain pending until corrected or aged into range, with no current UI guidance.</x:v>
      </x:c>
      <x:c r="Y76" s="58" t="str">
        <x:f>IF(OR(N76="Not Run",O76="Not Run"),"Pending",IF(AND(OR(N76="Not Applicable",COUNTIFS('Test Runs'!$B$5:$B$2004,A76,'Test Runs'!$C$5:$C$2004,"Initial",'Test Runs'!$D$5:$D$2004,"iOS",'Test Runs'!$I$5:$I$2004,N76)&gt;0),OR(O76="Not Applicable",COUNTIFS('Test Runs'!$B$5:$B$2004,A76,'Test Runs'!$C$5:$C$2004,"Initial",'Test Runs'!$D$5:$D$2004,"Android",'Test Runs'!$I$5:$I$2004,O76)&gt;0)),"Reconciled","Mismatch"))</x:f>
        <x:v>Pending</x:v>
      </x:c>
      <x:c r="Z76" s="58" t="str">
        <x:f>IF(OR(T76="Not Run",U76="Not Run"),"Pending",IF(AND(OR(T76="Not Applicable",COUNTIFS('Test Runs'!$B$5:$B$2004,A76,'Test Runs'!$C$5:$C$2004,"Retest",'Test Runs'!$D$5:$D$2004,"iOS",'Test Runs'!$I$5:$I$2004,T76)&gt;0),OR(U76="Not Applicable",COUNTIFS('Test Runs'!$B$5:$B$2004,A76,'Test Runs'!$C$5:$C$2004,"Retest",'Test Runs'!$D$5:$D$2004,"Android",'Test Runs'!$I$5:$I$2004,U76)&gt;0)),"Reconciled","Mismatch"))</x:f>
        <x:v>Pending</x:v>
      </x:c>
    </x:row>
    <x:row r="77" ht="120" customHeight="1">
      <x:c r="A77" s="58" t="str">
        <x:v>ACC-073</x:v>
      </x:c>
      <x:c r="B77" s="58" t="str">
        <x:v>Deterministic sync conflicts</x:v>
      </x:c>
      <x:c r="C77" s="58" t="str">
        <x:v>Concurrent multi-device /sync</x:v>
      </x:c>
      <x:c r="D77" s="58" t="str">
        <x:v>As a multi-device user, I want concurrent edits to resolve predictably and converge, including one body metric per calendar date.</x:v>
      </x:c>
      <x:c r="E77" s="58" t="str">
        <x:v>Server accepts a change only if its UTC client timestamp is newer than canonical, or equal with lexicographically larger device UUID; stale/equal-lower changes return accepted=false plus the canonical record. Duplicate accepted payload timestamps do not create a second event. Body metrics additionally conflict logically by date across different IDs so the winning canonical ID/data is returned. Client applies server winner only when it also beats any newer pending local outbox, using the same timestamp/device tie-break, and remaps pending photo references when metric IDs merge.</x:v>
      </x:c>
      <x:c r="F77" s="58" t="str">
        <x:v>Both</x:v>
      </x:c>
      <x:c r="G77" s="58" t="str">
        <x:v>Two devices with older/newer/equal timestamps and ordered UUIDs; duplicate push; two metric IDs same date; pending metric photos</x:v>
      </x:c>
      <x:c r="H77" s="58" t="str">
        <x:v>Edit same goal/meal/metric simultaneously, force equal timestamps/device ordering, repeat requests, and verify both devices converge with no duplicate events/photos.</x:v>
      </x:c>
      <x:c r="I77" s="58" t="str">
        <x:v>Repeat Android against iOS device in both winner orders.</x:v>
      </x:c>
      <x:c r="J77" s="58" t="str">
        <x:v>/Users/mason/Sites/buff-server/tests/Feature/SyncTest.php:38-74,175-208,404-467; /Users/mason/Sites/Buff/tests/Feature/BuffSyncTest.php:113-220</x:v>
      </x:c>
      <x:c r="K77" s="58" t="str">
        <x:v>/Users/mason/Sites/buff-server/app/Services/SyncService.php:31-118,160-180; /Users/mason/Sites/Buff/app/Services/BuffSyncService.php:171-200,220-234,282-399</x:v>
      </x:c>
      <x:c r="L77" s="58" t="str">
        <x:v>Mapped</x:v>
      </x:c>
      <x:c r="M77" s="58" t="str">
        <x:v>Ready</x:v>
      </x:c>
      <x:c r="N77" s="58" t="str">
        <x:v>Not Run</x:v>
      </x:c>
      <x:c r="O77" s="58" t="str">
        <x:v>Blocked</x:v>
      </x:c>
      <x:c r="P77" s="58" t="str">
        <x:v>Android: /Users/mason/.codex/visualizations/2026/09/01/01a05def-1c0d-76d1-abc6-07c63a443582/emulator-runs/initial/android/ACC-009-070-071-075-HLT-049-observations.json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 — The single Android device completed offline edits and a successful recovery sync without duplicates in the exercised local lifecycle.</x:v>
      </x:c>
      <x:c r="Q77" s="58" t="str"/>
      <x:c r="R77" s="58" t="str">
        <x:v>Not Needed</x:v>
      </x:c>
      <x:c r="S77" s="58" t="str"/>
      <x:c r="T77" s="58" t="str">
        <x:v>Not Run</x:v>
      </x:c>
      <x:c r="U77" s="58" t="str">
        <x:v>Not Run</x:v>
      </x:c>
      <x:c r="V77" s="58" t="str"/>
      <x:c r="W77" s="58" t="str">
        <x:f>IF(AND(OR(N77="Passed",N77="Failed",N77="Not Applicable"),OR(O77="Passed",O77="Failed",O77="Not Applicable"),OR(N77="Passed",N77="Failed",O77="Passed",O77="Failed"),OR(T77="Passed",T77="Not Applicable"),OR(U77="Passed",U77="Not Applicable"),OR(T77="Passed",U77="Passed"),Y77="Reconciled",Z77="Reconciled",IF(Q77&lt;&gt;"",R77="Fixed",TRUE)),"Verified",IF(OR(T77="Failed",U77="Failed"),"Retest Failed",IF(OR(N77="Failed",O77="Failed",Q77&lt;&gt;""),"Defect Found",IF(AND(OR(N77="Passed",N77="Not Applicable"),OR(O77="Passed",O77="Not Applicable"),OR(N77="Passed",O77="Passed")),"Initial Pass","Not Complete"))))</x:f>
        <x:v>Not Complete</x:v>
      </x:c>
      <x:c r="X77" s="58" t="str">
        <x:v>Last-write-wins is deterministic but not user-mergeable; a legitimate older offline edit can be silently replaced by newer cloud data with no conflict explanation.</x:v>
      </x:c>
      <x:c r="Y77" s="58" t="str">
        <x:f>IF(OR(N77="Not Run",O77="Not Run"),"Pending",IF(AND(OR(N77="Not Applicable",COUNTIFS('Test Runs'!$B$5:$B$2004,A77,'Test Runs'!$C$5:$C$2004,"Initial",'Test Runs'!$D$5:$D$2004,"iOS",'Test Runs'!$I$5:$I$2004,N77)&gt;0),OR(O77="Not Applicable",COUNTIFS('Test Runs'!$B$5:$B$2004,A77,'Test Runs'!$C$5:$C$2004,"Initial",'Test Runs'!$D$5:$D$2004,"Android",'Test Runs'!$I$5:$I$2004,O77)&gt;0)),"Reconciled","Mismatch"))</x:f>
        <x:v>Pending</x:v>
      </x:c>
      <x:c r="Z77" s="58" t="str">
        <x:f>IF(OR(T77="Not Run",U77="Not Run"),"Pending",IF(AND(OR(T77="Not Applicable",COUNTIFS('Test Runs'!$B$5:$B$2004,A77,'Test Runs'!$C$5:$C$2004,"Retest",'Test Runs'!$D$5:$D$2004,"iOS",'Test Runs'!$I$5:$I$2004,T77)&gt;0),OR(U77="Not Applicable",COUNTIFS('Test Runs'!$B$5:$B$2004,A77,'Test Runs'!$C$5:$C$2004,"Retest",'Test Runs'!$D$5:$D$2004,"Android",'Test Runs'!$I$5:$I$2004,U77)&gt;0)),"Reconciled","Mismatch"))</x:f>
        <x:v>Pending</x:v>
      </x:c>
    </x:row>
    <x:row r="78" ht="120" customHeight="1">
      <x:c r="A78" s="58" t="str">
        <x:v>ACC-074</x:v>
      </x:c>
      <x:c r="B78" s="58" t="str">
        <x:v>Paged pull and atomic local application</x:v>
      </x:c>
      <x:c r="C78" s="58" t="str">
        <x:v>Large-account /sync restore and in-flight edits</x:v>
      </x:c>
      <x:c r="D78" s="58" t="str">
        <x:v>As a user restoring a large account, I want all cloud pages applied atomically without acknowledging edits changed during the request or advancing past malformed data.</x:v>
      </x:c>
      <x:c r="E78" s="58" t="str">
        <x:v>Server pulls ordered per-user events after cursor, reads 501 to expose has_more, returns at most 500 unique current records and the page cursor. Client pushes only on the first loop then sends empty changes while has_more, strictly validates response/acknowledgement/change shapes, and applies each response without model observers inside a DB transaction locked to the current device SyncState. It advances cursor with changes, removes an outbox row only when its timestamp still equals the sent snapshot, preserves an edit made in flight, and drops the whole response if logout/account reset removed state. Malformed responses keep cursor/outbox intact.</x:v>
      </x:c>
      <x:c r="F78" s="58" t="str">
        <x:v>Both</x:v>
      </x:c>
      <x:c r="G78" s="58" t="str">
        <x:v>501+ events; duplicate current records; malformed response at each field; edit/logout during request; DB apply exception</x:v>
      </x:c>
      <x:c r="H78" s="58" t="str">
        <x:v>Restore 501+ events, edit a sent record before response, logout mid-flight, corrupt each response shape, and verify page completion, cursor/outbox preservation, atomic rollback, and later retry.</x:v>
      </x:c>
      <x:c r="I78" s="58" t="str">
        <x:v>Repeat Android with process/background pressure during paged restore.</x:v>
      </x:c>
      <x:c r="J78" s="58" t="str">
        <x:v>/Users/mason/Sites/buff-server/tests/Feature/SyncTest.php:468-500; /Users/mason/Sites/Buff/tests/Feature/BuffSyncTest.php:221-333</x:v>
      </x:c>
      <x:c r="K78" s="58" t="str">
        <x:v>/Users/mason/Sites/buff-server/app/Services/SyncService.php:124-139; /Users/mason/Sites/Buff/app/Services/BuffSyncService.php:90-148,154-280</x:v>
      </x:c>
      <x:c r="L78" s="58" t="str">
        <x:v>Mapped</x:v>
      </x:c>
      <x:c r="M78" s="58" t="str">
        <x:v>Ready</x:v>
      </x:c>
      <x:c r="N78" s="58" t="str">
        <x:v>Not Run</x:v>
      </x:c>
      <x:c r="O78" s="58" t="str">
        <x:v>Blocked</x:v>
      </x:c>
      <x:c r="P78" s="58" t="str">
        <x:v>Android: /Users/mason/.codex/visualizations/2026/09/01/01a05def-1c0d-76d1-abc6-07c63a443582/emulator-runs/initial/android/ACC-009-070-071-075-HLT-049-observations.json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 — A small recovery sync applied successfully and preserved the surviving local rows through force-stop and reconnect.</x:v>
      </x:c>
      <x:c r="Q78" s="58" t="str"/>
      <x:c r="R78" s="58" t="str">
        <x:v>Not Needed</x:v>
      </x:c>
      <x:c r="S78" s="58" t="str"/>
      <x:c r="T78" s="58" t="str">
        <x:v>Not Run</x:v>
      </x:c>
      <x:c r="U78" s="58" t="str">
        <x:v>Not Run</x:v>
      </x:c>
      <x:c r="V78" s="58" t="str"/>
      <x:c r="W78" s="58" t="str">
        <x:f>IF(AND(OR(N78="Passed",N78="Failed",N78="Not Applicable"),OR(O78="Passed",O78="Failed",O78="Not Applicable"),OR(N78="Passed",N78="Failed",O78="Passed",O78="Failed"),OR(T78="Passed",T78="Not Applicable"),OR(U78="Passed",U78="Not Applicable"),OR(T78="Passed",U78="Passed"),Y78="Reconciled",Z78="Reconciled",IF(Q78&lt;&gt;"",R78="Fixed",TRUE)),"Verified",IF(OR(T78="Failed",U78="Failed"),"Retest Failed",IF(OR(N78="Failed",O78="Failed",Q78&lt;&gt;""),"Defect Found",IF(AND(OR(N78="Passed",N78="Not Applicable"),OR(O78="Passed",O78="Not Applicable"),OR(N78="Passed",O78="Passed")),"Initial Pass","Not Complete"))))</x:f>
        <x:v>Not Complete</x:v>
      </x:c>
      <x:c r="X78" s="58" t="str">
        <x:v>No material defect evident; large restores trigger full Inertia reload only after all pages, so the UI has no progress indication during a long pull.</x:v>
      </x:c>
      <x:c r="Y78" s="58" t="str">
        <x:f>IF(OR(N78="Not Run",O78="Not Run"),"Pending",IF(AND(OR(N78="Not Applicable",COUNTIFS('Test Runs'!$B$5:$B$2004,A78,'Test Runs'!$C$5:$C$2004,"Initial",'Test Runs'!$D$5:$D$2004,"iOS",'Test Runs'!$I$5:$I$2004,N78)&gt;0),OR(O78="Not Applicable",COUNTIFS('Test Runs'!$B$5:$B$2004,A78,'Test Runs'!$C$5:$C$2004,"Initial",'Test Runs'!$D$5:$D$2004,"Android",'Test Runs'!$I$5:$I$2004,O78)&gt;0)),"Reconciled","Mismatch"))</x:f>
        <x:v>Pending</x:v>
      </x:c>
      <x:c r="Z78" s="58" t="str">
        <x:f>IF(OR(T78="Not Run",U78="Not Run"),"Pending",IF(AND(OR(T78="Not Applicable",COUNTIFS('Test Runs'!$B$5:$B$2004,A78,'Test Runs'!$C$5:$C$2004,"Retest",'Test Runs'!$D$5:$D$2004,"iOS",'Test Runs'!$I$5:$I$2004,T78)&gt;0),OR(U78="Not Applicable",COUNTIFS('Test Runs'!$B$5:$B$2004,A78,'Test Runs'!$C$5:$C$2004,"Retest",'Test Runs'!$D$5:$D$2004,"Android",'Test Runs'!$I$5:$I$2004,U78)&gt;0)),"Reconciled","Mismatch"))</x:f>
        <x:v>Pending</x:v>
      </x:c>
    </x:row>
    <x:row r="79" ht="120" customHeight="1">
      <x:c r="A79" s="58" t="str">
        <x:v>ACC-075</x:v>
      </x:c>
      <x:c r="B79" s="58" t="str">
        <x:v>Sync authentication and failure retention</x:v>
      </x:c>
      <x:c r="C79" s="58" t="str">
        <x:v>Failed POST /sync or /sync/resume</x:v>
      </x:c>
      <x:c r="D79" s="58" t="str">
        <x:v>As a user, I want failed syncs to preserve local work, record a diagnostic, and require sign-in again only when the server truly rejects the session.</x:v>
      </x:c>
      <x:c r="E79" s="58" t="str">
        <x:v>Network/API/validation/rate/local-apply failures leave unacknowledged outbox data and store concise SyncState.last_error; malformed responses become failure. An unauthenticated sync/rotation clears only access and returns 401, exposing can_resume when refresh remains. Account/device-state changes abort application. AppShell reloads shared buff state after failure and renders a failure alert with Retry sync when last_error exists and no sync is running.</x:v>
      </x:c>
      <x:c r="F79" s="58" t="str">
        <x:v>Both</x:v>
      </x:c>
      <x:c r="G79" s="58" t="str">
        <x:v>Offline/timeout/422/429/500/malformed/DB failure/401; refresh token present/absent; account switch</x:v>
      </x:c>
      <x:c r="H79" s="58" t="str">
        <x:v>Create local edits then inject every failure; verify records/outbox remain and retry succeeds; test 401 routes to resume/sign-in state without cross-account application.</x:v>
      </x:c>
      <x:c r="I79" s="58" t="str">
        <x:v>Repeat Android including airplane/captive mode and account switch during response.</x:v>
      </x:c>
      <x:c r="J79" s="58" t="str">
        <x:v>/Users/mason/Sites/Buff/tests/Feature/BuffSyncTest.php:280-333; /Users/mason/Sites/Buff/tests/Feature/BuffAuthenticationTest.php</x:v>
      </x:c>
      <x:c r="K79" s="58" t="str">
        <x:v>/Users/mason/Sites/Buff/app/Services/BuffSyncService.php:34-79,90-139; /Users/mason/Sites/Buff/app/Http/Controllers/SyncController.php:10-39; /Users/mason/Sites/Buff/app/Http/Middleware/HandleInertiaRequests.php:28-38; /Users/mason/Sites/Buff/resources/js/Layouts/AppShell.vue:213-230</x:v>
      </x:c>
      <x:c r="L79" s="58" t="str">
        <x:v>Mapped</x:v>
      </x:c>
      <x:c r="M79" s="58" t="str">
        <x:v>Ready</x:v>
      </x:c>
      <x:c r="N79" s="58" t="str">
        <x:v>Not Run</x:v>
      </x:c>
      <x:c r="O79" s="58" t="str">
        <x:v>Failed</x:v>
      </x:c>
      <x:c r="P79" s="58" t="str">
        <x:v>Android: /Users/mason/.codex/visualizations/2026/09/01/01a05def-1c0d-76d1-abc6-07c63a443582/emulator-runs/initial/android/ACC-075-sync-failure-invisible.png
/Users/mason/.codex/visualizations/2026/09/01/01a05def-1c0d-76d1-abc6-07c63a443582/emulator-runs/initial/android/ACC-009-070-071-075-HLT-049-observations.json — In airplane mode, local POST /sync/resume returned HTTP 503 with status ConnectionFailed and message 'Could not connect to Buff.' After reload, the UI showed only 'No internet connection'; it exposed neither that diagnostic nor an account-sync retry. After airplane mode was disabled, the same endpoint returned HTTP 200 Success with cursor 121 and last_succeeded_at 2026-09-02T14:54:40.869861Z.</x:v>
      </x:c>
      <x:c r="Q79" s="58" t="str">
        <x:v>DEF-052
DEF-079</x:v>
      </x:c>
      <x:c r="R79" s="58" t="str">
        <x:v>In Progress</x:v>
      </x:c>
      <x:c r="S79" s="58" t="str"/>
      <x:c r="T79" s="58" t="str">
        <x:v>Not Run</x:v>
      </x:c>
      <x:c r="U79" s="58" t="str">
        <x:v>Blocked</x:v>
      </x:c>
      <x:c r="V79" s="58" t="str">
        <x:v>Android: /Users/mason/.codex/visualizations/2026/09/06/01a07722-2d43-7910-aa74-f3a7d9489dc2/release-qa/fresh-account-sync-retry.json; /Users/mason/.codex/visualizations/2026/09/06/01a07722-2d43-7910-aa74-f3a7d9489dc2/release-qa/fresh-account-goal-received.json — Focused recovery check Passed: fresh QA account sync returns200 Success after reboot. Android independently receives iOS-saved3600kcal/P270/C360/F120 goal, pending0 and last_error null. Earlier ConnectionFailed is no longer reproducible.</x:v>
      </x:c>
      <x:c r="W79" s="58" t="str">
        <x:f>IF(AND(OR(N79="Passed",N79="Failed",N79="Not Applicable"),OR(O79="Passed",O79="Failed",O79="Not Applicable"),OR(N79="Passed",N79="Failed",O79="Passed",O79="Failed"),OR(T79="Passed",T79="Not Applicable"),OR(U79="Passed",U79="Not Applicable"),OR(T79="Passed",U79="Passed"),Y79="Reconciled",Z79="Reconciled",IF(Q79&lt;&gt;"",R79="Fixed",TRUE)),"Verified",IF(OR(T79="Failed",U79="Failed"),"Retest Failed",IF(OR(N79="Failed",O79="Failed",Q79&lt;&gt;""),"Defect Found",IF(AND(OR(N79="Passed",N79="Not Applicable"),OR(O79="Passed",O79="Not Applicable"),OR(N79="Passed",O79="Passed")),"Initial Pass","Not Complete"))))</x:f>
        <x:v>Defect Found</x:v>
      </x:c>
      <x:c r="X79" s="58" t="str">
        <x:v>CONFIRMED UX GAP: last_error and pending are shared with every page but rendered nowhere, so non-offline sync failure is invisible and the user cannot manually retry.</x:v>
      </x:c>
      <x:c r="Y79" s="58" t="str">
        <x:f>IF(OR(N79="Not Run",O79="Not Run"),"Pending",IF(AND(OR(N79="Not Applicable",COUNTIFS('Test Runs'!$B$5:$B$2004,A79,'Test Runs'!$C$5:$C$2004,"Initial",'Test Runs'!$D$5:$D$2004,"iOS",'Test Runs'!$I$5:$I$2004,N79)&gt;0),OR(O79="Not Applicable",COUNTIFS('Test Runs'!$B$5:$B$2004,A79,'Test Runs'!$C$5:$C$2004,"Initial",'Test Runs'!$D$5:$D$2004,"Android",'Test Runs'!$I$5:$I$2004,O79)&gt;0)),"Reconciled","Mismatch"))</x:f>
        <x:v>Pending</x:v>
      </x:c>
      <x:c r="Z79" s="58" t="str">
        <x:f>IF(OR(T79="Not Run",U79="Not Run"),"Pending",IF(AND(OR(T79="Not Applicable",COUNTIFS('Test Runs'!$B$5:$B$2004,A79,'Test Runs'!$C$5:$C$2004,"Retest",'Test Runs'!$D$5:$D$2004,"iOS",'Test Runs'!$I$5:$I$2004,T79)&gt;0),OR(U79="Not Applicable",COUNTIFS('Test Runs'!$B$5:$B$2004,A79,'Test Runs'!$C$5:$C$2004,"Retest",'Test Runs'!$D$5:$D$2004,"Android",'Test Runs'!$I$5:$I$2004,U79)&gt;0)),"Reconciled","Mismatch"))</x:f>
        <x:v>Pending</x:v>
      </x:c>
    </x:row>
    <x:row r="80" ht="120" customHeight="1">
      <x:c r="A80" s="58" t="str">
        <x:v>ACC-076</x:v>
      </x:c>
      <x:c r="B80" s="58" t="str">
        <x:v>Post-sync dependent upload retries</x:v>
      </x:c>
      <x:c r="C80" s="58" t="str">
        <x:v>Successful sync completion with pending confirmations/photos</x:v>
      </x:c>
      <x:c r="D80" s="58" t="str">
        <x:v>As a user who logged AI meals or progress photos while cloud records were pending, I want dependent confirmations/uploads retried after their parent record syncs.</x:v>
      </x:c>
      <x:c r="E80" s="58" t="str">
        <x:v>Only after all sync pages succeed, Buff scans pending meal-analysis confirmations oldest first and retries when the parent meal no longer has an outbox entry; success deletes pending, failure stores last_error. It then flushes staged body-metric photo uploads only after the metric ID is cloud-stable; remote metric-ID reconciliation updates pending references. Successful upload discards local staged files/row; failures increment attempts/store errors and remain retryable under service policy. Signed-out background health imports are separately ignored.</x:v>
      </x:c>
      <x:c r="F80" s="58" t="str">
        <x:v>Both</x:v>
      </x:c>
      <x:c r="G80" s="58" t="str">
        <x:v>Offline AI meal confirmation; staged multi-pose photos; server failure; canonical metric-ID change; missing/corrupt staged files</x:v>
      </x:c>
      <x:c r="H80" s="58" t="str">
        <x:v>Create pending confirmation/photo offline, reconnect, verify ordering, ID remap, upload/cleanup; inject repeated provider failure and inspect retained item/error then later recovery.</x:v>
      </x:c>
      <x:c r="I80" s="58" t="str">
        <x:v>Repeat Android with process kill and filesystem persistence.</x:v>
      </x:c>
      <x:c r="J80" s="58" t="str">
        <x:v>/Users/mason/Sites/Buff/tests/Feature/MealPhotoIntegrationTest.php; /Users/mason/Sites/Buff/tests/Feature/ProgressPhotoTest.php:83-300; /Users/mason/Sites/Buff/tests/Feature/BuffSyncTest.php</x:v>
      </x:c>
      <x:c r="K80" s="58" t="str">
        <x:v>/Users/mason/Sites/Buff/app/Services/BuffSyncService.php:141-147,369-380,413-433; /Users/mason/Sites/Buff/app/Services/BodyMetricPhotoUploader.php:18-64,139-179</x:v>
      </x:c>
      <x:c r="L80" s="58" t="str">
        <x:v>Mapped</x:v>
      </x:c>
      <x:c r="M80" s="58" t="str">
        <x:v>Ready</x:v>
      </x:c>
      <x:c r="N80" s="58" t="str">
        <x:v>Not Run</x:v>
      </x:c>
      <x:c r="O80" s="58" t="str">
        <x:v>Blocked</x:v>
      </x:c>
      <x:c r="P80" s="58" t="str">
        <x:v>Android: /Users/mason/.codex/visualizations/2026/09/01/01a05def-1c0d-76d1-abc6-07c63a443582/emulator-runs/initial/android/ACC-009-070-071-075-HLT-049-observations.json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 — The exercised sync completed with pending 0 and last_error null, so no pending analysis confirmation or photo-upload retry was available to observe.</x:v>
      </x:c>
      <x:c r="Q80" s="58" t="str"/>
      <x:c r="R80" s="58" t="str">
        <x:v>Not Needed</x:v>
      </x:c>
      <x:c r="S80" s="58" t="str"/>
      <x:c r="T80" s="58" t="str">
        <x:v>Not Run</x:v>
      </x:c>
      <x:c r="U80" s="58" t="str">
        <x:v>Not Run</x:v>
      </x:c>
      <x:c r="V80" s="58" t="str"/>
      <x:c r="W80" s="58" t="str">
        <x:f>IF(AND(OR(N80="Passed",N80="Failed",N80="Not Applicable"),OR(O80="Passed",O80="Failed",O80="Not Applicable"),OR(N80="Passed",N80="Failed",O80="Passed",O80="Failed"),OR(T80="Passed",T80="Not Applicable"),OR(U80="Passed",U80="Not Applicable"),OR(T80="Passed",U80="Passed"),Y80="Reconciled",Z80="Reconciled",IF(Q80&lt;&gt;"",R80="Fixed",TRUE)),"Verified",IF(OR(T80="Failed",U80="Failed"),"Retest Failed",IF(OR(N80="Failed",O80="Failed",Q80&lt;&gt;""),"Defect Found",IF(AND(OR(N80="Passed",N80="Not Applicable"),OR(O80="Passed",O80="Not Applicable"),OR(N80="Passed",O80="Passed")),"Initial Pass","Not Complete"))))</x:f>
        <x:v>Not Complete</x:v>
      </x:c>
      <x:c r="X80" s="58" t="str">
        <x:v>UX risk: pending confirmation/photo last_error and retry attempts are mostly internal; users may see pending media but lack a centralized retry/error explanation.</x:v>
      </x:c>
      <x:c r="Y80" s="58" t="str">
        <x:f>IF(OR(N80="Not Run",O80="Not Run"),"Pending",IF(AND(OR(N80="Not Applicable",COUNTIFS('Test Runs'!$B$5:$B$2004,A80,'Test Runs'!$C$5:$C$2004,"Initial",'Test Runs'!$D$5:$D$2004,"iOS",'Test Runs'!$I$5:$I$2004,N80)&gt;0),OR(O80="Not Applicable",COUNTIFS('Test Runs'!$B$5:$B$2004,A80,'Test Runs'!$C$5:$C$2004,"Initial",'Test Runs'!$D$5:$D$2004,"Android",'Test Runs'!$I$5:$I$2004,O80)&gt;0)),"Reconciled","Mismatch"))</x:f>
        <x:v>Pending</x:v>
      </x:c>
      <x:c r="Z80" s="58" t="str">
        <x:f>IF(OR(T80="Not Run",U80="Not Run"),"Pending",IF(AND(OR(T80="Not Applicable",COUNTIFS('Test Runs'!$B$5:$B$2004,A80,'Test Runs'!$C$5:$C$2004,"Retest",'Test Runs'!$D$5:$D$2004,"iOS",'Test Runs'!$I$5:$I$2004,T80)&gt;0),OR(U80="Not Applicable",COUNTIFS('Test Runs'!$B$5:$B$2004,A80,'Test Runs'!$C$5:$C$2004,"Retest",'Test Runs'!$D$5:$D$2004,"Android",'Test Runs'!$I$5:$I$2004,U80)&gt;0)),"Reconciled","Mismatch"))</x:f>
        <x:v>Pending</x:v>
      </x:c>
    </x:row>
    <x:row r="81" ht="120" customHeight="1">
      <x:c r="A81" s="58" t="str">
        <x:v>ACC-077</x:v>
      </x:c>
      <x:c r="B81" s="58" t="str">
        <x:v>Offline connectivity banner</x:v>
      </x:c>
      <x:c r="C81" s="58" t="str">
        <x:v>Any mobile page while connectivity changes</x:v>
      </x:c>
      <x:c r="D81" s="58" t="str">
        <x:v>As a mobile user, I want an immediate, accessible indication when the device reports no network and automatic removal on reconnection.</x:v>
      </x:c>
      <x:c r="E81" s="58" t="str">
        <x:v>OfflineBanner initializes from navigator.onLine, subscribes to browser online/offline and visible-state recheck, sets html[data-offline] for layout styling, and renders a top safe-area warning No internet connection with role=status/live=polite. It is mobile-only at below sm width, pointer-events none, respects reduced motion, appears on Account, Onboarding, and all AppShell pages, and disappears/cleans dataset on online/unmount. Online also triggers AppShell resume sync.</x:v>
      </x:c>
      <x:c r="F81" s="58" t="str">
        <x:v>Both</x:v>
      </x:c>
      <x:c r="G81" s="58" t="str">
        <x:v>Offline at launch; toggle airplane/network; visibility change; reduced motion; phone/tablet/desktop width</x:v>
      </x:c>
      <x:c r="H81" s="58" t="str">
        <x:v>Launch/toggle offline across login/onboarding/main/settings, inspect safe-area/status announcement/content offset, reconnect and confirm auto-sync.</x:v>
      </x:c>
      <x:c r="I81" s="58" t="str">
        <x:v>Repeat Android with airplane/Wi-Fi/no-internet captive states and TalkBack.</x:v>
      </x:c>
      <x:c r="J81" s="58" t="str">
        <x:v>/Users/mason/Sites/Buff/tests/networkStatus.test.ts; component/source assertions</x:v>
      </x:c>
      <x:c r="K81" s="58" t="str">
        <x:v>/Users/mason/Sites/Buff/resources/js/Components/OfflineBanner.vue:1-54; /Users/mason/Sites/Buff/resources/js/networkStatus.ts:1-35; /Users/mason/Sites/Buff/resources/js/Layouts/AppShell.vue:260-267,338; /Users/mason/Sites/Buff/resources/js/Pages/Account.vue; /Users/mason/Sites/Buff/resources/js/Pages/Onboarding.vue</x:v>
      </x:c>
      <x:c r="L81" s="58" t="str">
        <x:v>Mapped</x:v>
      </x:c>
      <x:c r="M81" s="58" t="str">
        <x:v>Ready</x:v>
      </x:c>
      <x:c r="N81" s="58" t="str">
        <x:v>Not Run</x:v>
      </x:c>
      <x:c r="O81" s="58" t="str">
        <x:v>Passed</x:v>
      </x:c>
      <x:c r="P81" s="58" t="str">
        <x:v>Android: /Users/mason/.codex/visualizations/2026/09/01/01a05def-1c0d-76d1-abc6-07c63a443582/emulator-runs/initial/android-guest/ACC-062-offline-fail-closed.png
/Users/mason/.codex/visualizations/2026/09/01/01a05def-1c0d-76d1-abc6-07c63a443582/emulator-runs/initial/android-guest/dom-observations-batch-015.json — Airplane mode immediately exposed the live No internet connection status, local routes and unit saves remained usable, and the banner disappeared after reconnection.</x:v>
      </x:c>
      <x:c r="Q81" s="58" t="str"/>
      <x:c r="R81" s="58" t="str">
        <x:v>Not Needed</x:v>
      </x:c>
      <x:c r="S81" s="58" t="str"/>
      <x:c r="T81" s="58" t="str">
        <x:v>Not Run</x:v>
      </x:c>
      <x:c r="U81" s="58" t="str">
        <x:v>Not Run</x:v>
      </x:c>
      <x:c r="V81" s="58" t="str"/>
      <x:c r="W81" s="58" t="str">
        <x:f>IF(AND(OR(N81="Passed",N81="Failed",N81="Not Applicable"),OR(O81="Passed",O81="Failed",O81="Not Applicable"),OR(N81="Passed",N81="Failed",O81="Passed",O81="Failed"),OR(T81="Passed",T81="Not Applicable"),OR(U81="Passed",U81="Not Applicable"),OR(T81="Passed",U81="Passed"),Y81="Reconciled",Z81="Reconciled",IF(Q81&lt;&gt;"",R81="Fixed",TRUE)),"Verified",IF(OR(T81="Failed",U81="Failed"),"Retest Failed",IF(OR(N81="Failed",O81="Failed",Q81&lt;&gt;""),"Defect Found",IF(AND(OR(N81="Passed",N81="Not Applicable"),OR(O81="Passed",O81="Not Applicable"),OR(N81="Passed",O81="Passed")),"Initial Pass","Not Complete"))))</x:f>
        <x:v>Not Complete</x:v>
      </x:c>
      <x:c r="X81" s="58" t="str">
        <x:v>UX gap: the banner is hidden at tablet/desktop breakpoint even inside an iPad-width native shell, so iPad-sized layouts would have no connectivity message if enabled later.</x:v>
      </x:c>
      <x:c r="Y81" s="58" t="str">
        <x:f>IF(OR(N81="Not Run",O81="Not Run"),"Pending",IF(AND(OR(N81="Not Applicable",COUNTIFS('Test Runs'!$B$5:$B$2004,A81,'Test Runs'!$C$5:$C$2004,"Initial",'Test Runs'!$D$5:$D$2004,"iOS",'Test Runs'!$I$5:$I$2004,N81)&gt;0),OR(O81="Not Applicable",COUNTIFS('Test Runs'!$B$5:$B$2004,A81,'Test Runs'!$C$5:$C$2004,"Initial",'Test Runs'!$D$5:$D$2004,"Android",'Test Runs'!$I$5:$I$2004,O81)&gt;0)),"Reconciled","Mismatch"))</x:f>
        <x:v>Pending</x:v>
      </x:c>
      <x:c r="Z81" s="58" t="str">
        <x:f>IF(OR(T81="Not Run",U81="Not Run"),"Pending",IF(AND(OR(T81="Not Applicable",COUNTIFS('Test Runs'!$B$5:$B$2004,A81,'Test Runs'!$C$5:$C$2004,"Retest",'Test Runs'!$D$5:$D$2004,"iOS",'Test Runs'!$I$5:$I$2004,T81)&gt;0),OR(U81="Not Applicable",COUNTIFS('Test Runs'!$B$5:$B$2004,A81,'Test Runs'!$C$5:$C$2004,"Retest",'Test Runs'!$D$5:$D$2004,"Android",'Test Runs'!$I$5:$I$2004,U81)&gt;0)),"Reconciled","Mismatch"))</x:f>
        <x:v>Pending</x:v>
      </x:c>
    </x:row>
    <x:row r="82" ht="120" customHeight="1">
      <x:c r="A82" s="58" t="str">
        <x:v>ACC-078</x:v>
      </x:c>
      <x:c r="B82" s="58" t="str">
        <x:v>Sync status and manual retry</x:v>
      </x:c>
      <x:c r="C82" s="58" t="str">
        <x:v>AppShell/shared buff.sync state</x:v>
      </x:c>
      <x:c r="D82" s="58" t="str">
        <x:v>As a user, I want to know when changes are pending/saving/synced/failed and tap Retry when automatic sync does not recover.</x:v>
      </x:c>
      <x:c r="E82" s="58" t="str">
        <x:v>The backend shares last success, last error and pending count, and AppShell automatically retries on mount/focus/online/visible. The current template renders only failed status, showing Sync failed detail and Retry sync. It hides the banner while a sync is running and does not render pending-count or last-success indicators, although the formatter supplies those states. Offline connectivity has its separate banner.</x:v>
      </x:c>
      <x:c r="F82" s="58" t="str">
        <x:v>Both</x:v>
      </x:c>
      <x:c r="G82" s="58" t="str">
        <x:v>Pending outbox; successful/failed sync online; last success; offline then online; manual recovery need</x:v>
      </x:c>
      <x:c r="H82" s="58" t="str">
        <x:v>Create an online sync error and verify the failure alert and Retry sync. Start Retry and verify no duplicate request, then inspect success/pending/long-running states without assuming those indicators exist. Confirm automatic resume/online recovery and screen-reader announcement.</x:v>
      </x:c>
      <x:c r="I82" s="58" t="str">
        <x:v>Repeat Android and compare failure alert/manual retry, pending/success visibility and automatic recovery with iOS; retain DEF-052 until the required visibility scope is resolved.</x:v>
      </x:c>
      <x:c r="J82" s="58" t="str">
        <x:v>State production covered by /Users/mason/Sites/Buff/tests/Feature/BuffSyncTest.php; no UI coverage because UI is absent</x:v>
      </x:c>
      <x:c r="K82" s="58" t="str">
        <x:v>/Users/mason/Sites/Buff/app/Http/Middleware/HandleInertiaRequests.php:18-38; /Users/mason/Sites/Buff/resources/js/Layouts/AppShell.vue:213-230; /Users/mason/Sites/Buff/resources/js/Components/OfflineBanner.vue:33-53; repository search: buff.sync has no rendering consumer</x:v>
      </x:c>
      <x:c r="L82" s="58" t="str">
        <x:v>Mapped</x:v>
      </x:c>
      <x:c r="M82" s="58" t="str">
        <x:v>Ready</x:v>
      </x:c>
      <x:c r="N82" s="58" t="str">
        <x:v>Not Run</x:v>
      </x:c>
      <x:c r="O82" s="58" t="str">
        <x:v>Failed</x:v>
      </x:c>
      <x:c r="P82" s="58" t="str">
        <x:v>Android: /Users/mason/.codex/visualizations/2026/09/01/01a05def-1c0d-76d1-abc6-07c63a443582/emulator-runs/initial/android-guest/dom-observations-batch-015.json — Automatic resume synchronized offline unit changes after reconnect, but pending count, progress, last success/error, and manual Retry were absent from the rendered UI.</x:v>
      </x:c>
      <x:c r="Q82" s="58" t="str">
        <x:v>DEF-052
DEF-079
DEF-089</x:v>
      </x:c>
      <x:c r="R82" s="58" t="str">
        <x:v>In Progress</x:v>
      </x:c>
      <x:c r="S82" s="58" t="str"/>
      <x:c r="T82" s="58" t="str">
        <x:v>Not Run</x:v>
      </x:c>
      <x:c r="U82" s="58" t="str">
        <x:v>Failed</x:v>
      </x:c>
      <x:c r="V82" s="58" t="str">
        <x:v>Android: /Users/mason/.codex/visualizations/2026/09/01/01a05def-1c0d-76d1-abc6-07c63a443582/emulator-runs/retest/android/NUT-053-cancel-preserved-both.json
/Users/mason/.codex/visualizations/2026/09/01/01a05def-1c0d-76d1-abc6-07c63a443582/emulator-runs/retest/android/ACC-020-history-back-sync-state.json
/Users/mason/.codex/visualizations/2026/09/01/01a05def-1c0d-76d1-abc6-07c63a443582/emulator-runs/retest/android/ACC-020-fresh-home-sync-state.json — An offline recipe was retained and automatic reconnect recovery succeeded. Back restored a cached Home failure with pending 1 and an older success time, while a fresh Home visit immediately showed pending 0/no error with the newer success time. No retry was needed to remove the warning.</x:v>
      </x:c>
      <x:c r="W82" s="58" t="str">
        <x:f>IF(AND(OR(N82="Passed",N82="Failed",N82="Not Applicable"),OR(O82="Passed",O82="Failed",O82="Not Applicable"),OR(N82="Passed",N82="Failed",O82="Passed",O82="Failed"),OR(T82="Passed",T82="Not Applicable"),OR(U82="Passed",U82="Not Applicable"),OR(T82="Passed",U82="Passed"),Y82="Reconciled",Z82="Reconciled",IF(Q82&lt;&gt;"",R82="Fixed",TRUE)),"Verified",IF(OR(T82="Failed",U82="Failed"),"Retest Failed",IF(OR(N82="Failed",O82="Failed",Q82&lt;&gt;""),"Defect Found",IF(AND(OR(N82="Passed",N82="Not Applicable"),OR(O82="Passed",O82="Not Applicable"),OR(N82="Passed",O82="Passed")),"Initial Pass","Not Complete"))))</x:f>
        <x:v>Retest Failed</x:v>
      </x:c>
      <x:c r="X82" s="58" t="str">
        <x:v>CONFIRMED REQUESTED-FEATURE DEFECT: sync/offline/online banners and retry are incomplete—offline exists, but online sync progress/success/error/pending status and manual retry do not.</x:v>
      </x:c>
      <x:c r="Y82" s="58" t="str">
        <x:f>IF(OR(N82="Not Run",O82="Not Run"),"Pending",IF(AND(OR(N82="Not Applicable",COUNTIFS('Test Runs'!$B$5:$B$2004,A82,'Test Runs'!$C$5:$C$2004,"Initial",'Test Runs'!$D$5:$D$2004,"iOS",'Test Runs'!$I$5:$I$2004,N82)&gt;0),OR(O82="Not Applicable",COUNTIFS('Test Runs'!$B$5:$B$2004,A82,'Test Runs'!$C$5:$C$2004,"Initial",'Test Runs'!$D$5:$D$2004,"Android",'Test Runs'!$I$5:$I$2004,O82)&gt;0)),"Reconciled","Mismatch"))</x:f>
        <x:v>Pending</x:v>
      </x:c>
      <x:c r="Z82" s="58" t="str">
        <x:f>IF(OR(T82="Not Run",U82="Not Run"),"Pending",IF(AND(OR(T82="Not Applicable",COUNTIFS('Test Runs'!$B$5:$B$2004,A82,'Test Runs'!$C$5:$C$2004,"Retest",'Test Runs'!$D$5:$D$2004,"iOS",'Test Runs'!$I$5:$I$2004,T82)&gt;0),OR(U82="Not Applicable",COUNTIFS('Test Runs'!$B$5:$B$2004,A82,'Test Runs'!$C$5:$C$2004,"Retest",'Test Runs'!$D$5:$D$2004,"Android",'Test Runs'!$I$5:$I$2004,U82)&gt;0)),"Reconciled","Mismatch"))</x:f>
        <x:v>Pending</x:v>
      </x:c>
    </x:row>
    <x:row r="83" ht="120" customHeight="1">
      <x:c r="A83" s="58" t="str">
        <x:v>ACC-079</x:v>
      </x:c>
      <x:c r="B83" s="58" t="str">
        <x:v>App shell primary navigation and Add drawer</x:v>
      </x:c>
      <x:c r="C83" s="58" t="str">
        <x:v>AppShell navigation and Add button</x:v>
      </x:c>
      <x:c r="D83" s="58" t="str">
        <x:v>As a user, I want consistent Home, Goals, Add, Progress, and Settings navigation, with Add preserving the day and gating premium photo analysis.</x:v>
      </x:c>
      <x:c r="E83" s="58" t="str">
        <x:v>Desktop/tablet shows a sidebar; phones show a five-position bottom nav with central Add. Exact/prefix route matching marks the current destination, while the bottom nav is hidden on /settings/* subpages so their own back header is primary. Add opens a history-backed accessible drawer, triggers haptics, temporarily hides ads, and offers Search, Scan, Photo, Custom, Recipe, and Workout. Selection closes the drawer and routes to /add with mode/extra plus the currently viewed summary date. Photo routes inactive users to Subscription; other modes remain available. Popstate/back closes the drawer and restores ad reconciliation.</x:v>
      </x:c>
      <x:c r="F83" s="58" t="str">
        <x:v>Both</x:v>
      </x:c>
      <x:c r="G83" s="58" t="str">
        <x:v>Every top/subroute; selected historical date; Buff+ active/inactive; drawer open/closed; phone/tablet widths</x:v>
      </x:c>
      <x:c r="H83" s="58" t="str">
        <x:v>Navigate every item, open/close Add by button/scrim/swipe/back, select all modes from current and historical dates, verify Photo gate and VoiceOver labels/focus.</x:v>
      </x:c>
      <x:c r="I83" s="58" t="str">
        <x:v>Repeat Android with TalkBack, system back, font/display scaling, and phone/tablet viewport.</x:v>
      </x:c>
      <x:c r="J83" s="58" t="str">
        <x:v>/Users/mason/Sites/Buff/tests/appShell.test.ts:5-55; /Users/mason/Sites/Buff/tests/Feature/DashboardTest.php; feature tests for Add routes</x:v>
      </x:c>
      <x:c r="K83" s="58" t="str">
        <x:v>/Users/mason/Sites/Buff/resources/js/Layouts/AppShell.vue:42-154,332-469; /Users/mason/Sites/Buff/resources/js/Components/Add/AddChooser.vue:1-135; /Users/mason/Sites/Buff/routes/web.php:49-103</x:v>
      </x:c>
      <x:c r="L83" s="58" t="str">
        <x:v>Mapped</x:v>
      </x:c>
      <x:c r="M83" s="58" t="str">
        <x:v>Ready</x:v>
      </x:c>
      <x:c r="N83" s="58" t="str">
        <x:v>Not Run</x:v>
      </x:c>
      <x:c r="O83" s="58" t="str">
        <x:v>Failed</x:v>
      </x:c>
      <x:c r="P83" s="58" t="str">
        <x:v>Android: /Users/mason/.codex/visualizations/2026/09/01/01a05def-1c0d-76d1-abc6-07c63a443582/emulator-runs/initial/android-guest/dom-observations-batch-014.json
/Users/mason/.codex/visualizations/2026/09/01/01a05def-1c0d-76d1-abc6-07c63a443582/emulator-runs/initial/android-guest/ACC-031-onboarding-complete-home.png — Home, Goals, Progress, and Settings navigation worked and the current destination was visibly highlighted, but the active link had no programmatic current state.</x:v>
      </x:c>
      <x:c r="Q83" s="58" t="str">
        <x:v>DEF-046</x:v>
      </x:c>
      <x:c r="R83" s="58" t="str">
        <x:v>In Progress</x:v>
      </x:c>
      <x:c r="S83" s="58" t="str"/>
      <x:c r="T83" s="58" t="str">
        <x:v>Not Run</x:v>
      </x:c>
      <x:c r="U83" s="58" t="str">
        <x:v>Not Run</x:v>
      </x:c>
      <x:c r="V83" s="58" t="str"/>
      <x:c r="W83" s="58" t="str">
        <x:f>IF(AND(OR(N83="Passed",N83="Failed",N83="Not Applicable"),OR(O83="Passed",O83="Failed",O83="Not Applicable"),OR(N83="Passed",N83="Failed",O83="Passed",O83="Failed"),OR(T83="Passed",T83="Not Applicable"),OR(U83="Passed",U83="Not Applicable"),OR(T83="Passed",U83="Passed"),Y83="Reconciled",Z83="Reconciled",IF(Q83&lt;&gt;"",R83="Fixed",TRUE)),"Verified",IF(OR(T83="Failed",U83="Failed"),"Retest Failed",IF(OR(N83="Failed",O83="Failed",Q83&lt;&gt;""),"Defect Found",IF(AND(OR(N83="Passed",N83="Not Applicable"),OR(O83="Passed",O83="Not Applicable"),OR(N83="Passed",O83="Passed")),"Initial Pass","Not Complete"))))</x:f>
        <x:v>Defect Found</x:v>
      </x:c>
      <x:c r="X83" s="58" t="str">
        <x:v>Potential UX issue: bottom navigation disappears on every Settings subpage, so switching directly to Home/Goals/Progress requires backing out to Settings first on phones.</x:v>
      </x:c>
      <x:c r="Y83" s="58" t="str">
        <x:f>IF(OR(N83="Not Run",O83="Not Run"),"Pending",IF(AND(OR(N83="Not Applicable",COUNTIFS('Test Runs'!$B$5:$B$2004,A83,'Test Runs'!$C$5:$C$2004,"Initial",'Test Runs'!$D$5:$D$2004,"iOS",'Test Runs'!$I$5:$I$2004,N83)&gt;0),OR(O83="Not Applicable",COUNTIFS('Test Runs'!$B$5:$B$2004,A83,'Test Runs'!$C$5:$C$2004,"Initial",'Test Runs'!$D$5:$D$2004,"Android",'Test Runs'!$I$5:$I$2004,O83)&gt;0)),"Reconciled","Mismatch"))</x:f>
        <x:v>Pending</x:v>
      </x:c>
      <x:c r="Z83" s="58" t="str">
        <x:f>IF(OR(T83="Not Run",U83="Not Run"),"Pending",IF(AND(OR(T83="Not Applicable",COUNTIFS('Test Runs'!$B$5:$B$2004,A83,'Test Runs'!$C$5:$C$2004,"Retest",'Test Runs'!$D$5:$D$2004,"iOS",'Test Runs'!$I$5:$I$2004,T83)&gt;0),OR(U83="Not Applicable",COUNTIFS('Test Runs'!$B$5:$B$2004,A83,'Test Runs'!$C$5:$C$2004,"Retest",'Test Runs'!$D$5:$D$2004,"Android",'Test Runs'!$I$5:$I$2004,U83)&gt;0)),"Reconciled","Mismatch"))</x:f>
        <x:v>Pending</x:v>
      </x:c>
    </x:row>
    <x:row r="84" ht="120" customHeight="1">
      <x:c r="A84" s="58" t="str">
        <x:v>ACC-080</x:v>
      </x:c>
      <x:c r="B84" s="58" t="str">
        <x:v>Android system Back handling</x:v>
      </x:c>
      <x:c r="C84" s="58" t="str">
        <x:v>Android gesture/button Back</x:v>
      </x:c>
      <x:c r="D84" s="58" t="str">
        <x:v>As an Android user, I want system Back to dismiss the most local UI first, navigate Settings predictably, and exit only at the root.</x:v>
      </x:c>
      <x:c r="E84" s="58" t="str">
        <x:v>Native MainActivity asks window.__buffHandleAndroidBack through JavaScript. AppShell first dispatches a cancelable buff:android-back event so open child sheets/pages can consume it, then closes the history-backed Add drawer, replaces any /settings/* subpage with /settings, otherwise calls WebView/browser history when available. It returns false only when unhandled, letting native WebView goBack or Activity finish. The hook is installed on mount and removed only if still owned by this shell.</x:v>
      </x:c>
      <x:c r="F84" s="58" t="str">
        <x:v>Android only</x:v>
      </x:c>
      <x:c r="G84" s="58" t="str">
        <x:v>Nested child modal handling; Add drawer; Settings subpage; regular history; cold root; rapid back</x:v>
      </x:c>
      <x:c r="H84" s="58" t="str">
        <x:v>N/A—iOS uses WebView/gesture navigation rather than this Android callback.</x:v>
      </x:c>
      <x:c r="I84" s="58" t="str">
        <x:v>For each state press gesture and hardware Back; verify one layer closes, Settings subpage replaces, normal history works, root exits, and rapid presses do not double-pop.</x:v>
      </x:c>
      <x:c r="J84" s="58" t="str">
        <x:v>/Users/mason/Sites/Buff/tests/Feature/NativePluginHooksTest.php:5-77; source-level AppShell coverage</x:v>
      </x:c>
      <x:c r="K84" s="58" t="str">
        <x:v>/Users/mason/Sites/Buff/resources/js/Layouts/AppShell.vue:98-134,260-267,298-316; /Users/mason/Sites/Buff/native-plugins/native-refresh/src/Commands/InstallNativeShellIntegrationsCommand.php:327-368</x:v>
      </x:c>
      <x:c r="L84" s="58" t="str">
        <x:v>Mapped</x:v>
      </x:c>
      <x:c r="M84" s="58" t="str">
        <x:v>Ready</x:v>
      </x:c>
      <x:c r="N84" s="58" t="str">
        <x:v>Not Applicable</x:v>
      </x:c>
      <x:c r="O84" s="58" t="str">
        <x:v>Failed</x:v>
      </x:c>
      <x:c r="P84" s="58" t="str">
        <x:v>Android: /Users/mason/.codex/visualizations/2026/09/01/01a05def-1c0d-76d1-abc6-07c63a443582/emulator-runs/initial/android/ACC-080-normal-history-back-to-goals.png — Android Back closed the Add drawer, replaced every Settings subpage with /settings, navigated Progress back to Goals, exited to the launcher from a cold history-length-one root, and two rapid Back presses closed Add then returned Progress to Goals without over-pop. With the Settings delete sheet open, one Back navigated to Appearance instead of dismissing locally.</x:v>
      </x:c>
      <x:c r="Q84" s="58" t="str">
        <x:v>DEF-018</x:v>
      </x:c>
      <x:c r="R84" s="58" t="str">
        <x:v>In Progress</x:v>
      </x:c>
      <x:c r="S84" s="58" t="str"/>
      <x:c r="T84" s="58" t="str">
        <x:v>Not Applicable</x:v>
      </x:c>
      <x:c r="U84" s="58" t="str">
        <x:v>Not Run</x:v>
      </x:c>
      <x:c r="V84" s="58" t="str"/>
      <x:c r="W84" s="58" t="str">
        <x:f>IF(AND(OR(N84="Passed",N84="Failed",N84="Not Applicable"),OR(O84="Passed",O84="Failed",O84="Not Applicable"),OR(N84="Passed",N84="Failed",O84="Passed",O84="Failed"),OR(T84="Passed",T84="Not Applicable"),OR(U84="Passed",U84="Not Applicable"),OR(T84="Passed",U84="Passed"),Y84="Reconciled",Z84="Reconciled",IF(Q84&lt;&gt;"",R84="Fixed",TRUE)),"Verified",IF(OR(T84="Failed",U84="Failed"),"Retest Failed",IF(OR(N84="Failed",O84="Failed",Q84&lt;&gt;""),"Defect Found",IF(AND(OR(N84="Passed",N84="Not Applicable"),OR(O84="Passed",O84="Not Applicable"),OR(N84="Passed",O84="Passed")),"Initial Pass","Not Complete"))))</x:f>
        <x:v>Defect Found</x:v>
      </x:c>
      <x:c r="X84" s="58" t="str">
        <x:v>Risk: the native-to-JavaScript callback is asynchronous; rapid repeated Back gestures need emulator testing for races before the first evaluateJavascript result returns.</x:v>
      </x:c>
      <x:c r="Y84" s="58" t="str">
        <x:f>IF(OR(N84="Not Run",O84="Not Run"),"Pending",IF(AND(OR(N84="Not Applicable",COUNTIFS('Test Runs'!$B$5:$B$2004,A84,'Test Runs'!$C$5:$C$2004,"Initial",'Test Runs'!$D$5:$D$2004,"iOS",'Test Runs'!$I$5:$I$2004,N84)&gt;0),OR(O84="Not Applicable",COUNTIFS('Test Runs'!$B$5:$B$2004,A84,'Test Runs'!$C$5:$C$2004,"Initial",'Test Runs'!$D$5:$D$2004,"Android",'Test Runs'!$I$5:$I$2004,O84)&gt;0)),"Reconciled","Mismatch"))</x:f>
        <x:v>Reconciled</x:v>
      </x:c>
      <x:c r="Z84" s="58" t="str">
        <x:f>IF(OR(T84="Not Run",U84="Not Run"),"Pending",IF(AND(OR(T84="Not Applicable",COUNTIFS('Test Runs'!$B$5:$B$2004,A84,'Test Runs'!$C$5:$C$2004,"Retest",'Test Runs'!$D$5:$D$2004,"iOS",'Test Runs'!$I$5:$I$2004,T84)&gt;0),OR(U84="Not Applicable",COUNTIFS('Test Runs'!$B$5:$B$2004,A84,'Test Runs'!$C$5:$C$2004,"Retest",'Test Runs'!$D$5:$D$2004,"Android",'Test Runs'!$I$5:$I$2004,U84)&gt;0)),"Reconciled","Mismatch"))</x:f>
        <x:v>Pending</x:v>
      </x:c>
    </x:row>
    <x:row r="85" ht="120" customHeight="1">
      <x:c r="A85" s="58" t="str">
        <x:v>ACC-081</x:v>
      </x:c>
      <x:c r="B85" s="58" t="str">
        <x:v>Native shortcuts and deep links</x:v>
      </x:c>
      <x:c r="C85" s="58" t="str">
        <x:v>Long-press app icon or open buff:// deep link</x:v>
      </x:c>
      <x:c r="D85" s="58" t="str">
        <x:v>As a mobile user, I want app-icon shortcuts and buff links to open Add, barcode Scan, Workout, password reset, reminder meals, or MCP approval at the exact intended route.</x:v>
      </x:c>
      <x:c r="E85" s="58" t="str">
        <x:v>Both platforms register Add → buff://add, Scan → buff://add?mode=food&amp;scan=1, and Add workout → buff://add?mode=workout. iOS UIApplication shortcut actions feed DeepLinkRouter; Android manifest shortcuts and MainActivity/WebView recognize configured buff scheme instead of nativephp. NativePHP routes other links such as buff://reset-password, buff://mcp-approve?token=…, and reminder /add?mode=food&amp;meal=… into the local path/query. iOS scheme-handler normalization preserves percent-encoded path/query and maps empty path to /. Legacy web add shortcuts redirect to canonical /add.</x:v>
      </x:c>
      <x:c r="F85" s="58" t="str">
        <x:v>Both</x:v>
      </x:c>
      <x:c r="G85" s="58" t="str">
        <x:v>Cold/warm app; signed out/resumable/signed in; every shortcut/link; encoded parameters; invalid route/token</x:v>
      </x:c>
      <x:c r="H85" s="58" t="str">
        <x:v>Long-press each icon cold/warm, open reset/MCP/reminder links from external apps, verify route/query and account gate/intended return; test encoded/invalid input.</x:v>
      </x:c>
      <x:c r="I85" s="58" t="str">
        <x:v>Repeat Android shortcut launcher, adb-style VIEW intents, cold/warm process, and system Back return.</x:v>
      </x:c>
      <x:c r="J85" s="58" t="str">
        <x:v>/Users/mason/Sites/Buff/tests/Unit/NativeShortcutHookTest.php; /Users/mason/Sites/Buff/tests/Feature/NativePluginHooksTest.php:5-180; /Users/mason/Sites/Buff/tests/Feature/DashboardTest.php:238 onward</x:v>
      </x:c>
      <x:c r="K85" s="58" t="str">
        <x:v>/Users/mason/Sites/Buff/config/nativephp.php:45-68; /Users/mason/Sites/Buff/native-plugins/native-refresh/src/Commands/InstallNativeShellIntegrationsCommand.php:120-233,370-481; /Users/mason/Sites/Buff/native-plugins/background-tasks/resources/ios/Sources/BackgroundTaskFunctions.swift:67-98; /Users/mason/Sites/Buff/native-plugins/background-tasks/resources/android/src/com/buff/backgroundtasks/BackgroundTaskFunctions.kt reminder deep link; /Users/mason/Sites/Buff/routes/web.php:24-39,89-103</x:v>
      </x:c>
      <x:c r="L85" s="58" t="str">
        <x:v>Mapped</x:v>
      </x:c>
      <x:c r="M85" s="58" t="str">
        <x:v>Ready</x:v>
      </x:c>
      <x:c r="N85" s="58" t="str">
        <x:v>Not Run</x:v>
      </x:c>
      <x:c r="O85" s="58" t="str">
        <x:v>Blocked</x:v>
      </x:c>
      <x:c r="P85" s="58" t="str">
        <x:v>Android: /Users/mason/.codex/visualizations/2026/09/01/01a05def-1c0d-76d1-abc6-07c63a443582/emulator-runs/initial/android/ACC-081-launcher-shortcuts.png
/Users/mason/.codex/visualizations/2026/09/01/01a05def-1c0d-76d1-abc6-07c63a443582/emulator-runs/initial/android/ACC-081-shortcut-add.png
/Users/mason/.codex/visualizations/2026/09/01/01a05def-1c0d-76d1-abc6-07c63a443582/emulator-runs/initial/android/ACC-081-shortcut-scan.png
/Users/mason/.codex/visualizations/2026/09/01/01a05def-1c0d-76d1-abc6-07c63a443582/emulator-runs/initial/android/ACC-081-shortcut-workout.png
/Users/mason/.codex/visualizations/2026/09/01/01a05def-1c0d-76d1-abc6-07c63a443582/emulator-runs/initial/android/ACC-081-warm-reminder-lunch-link.png
/Users/mason/.codex/visualizations/2026/09/01/01a05def-1c0d-76d1-abc6-07c63a443582/emulator-runs/initial/android/ACC-081-cold-workout-link.png
/Users/mason/.codex/visualizations/2026/09/01/01a05def-1c0d-76d1-abc6-07c63a443582/emulator-runs/initial/android/ACC-081-encoded-reset-link.png
/Users/mason/.codex/visualizations/2026/09/01/01a05def-1c0d-76d1-abc6-07c63a443582/emulator-runs/initial/android/ACC-081-invalid-deep-link.png
/Users/mason/.codex/visualizations/2026/09/01/01a05def-1c0d-76d1-abc6-07c63a443582/emulator-runs/initial/android/ACC-081-invalid-mcp-link.png
/Users/mason/.codex/visualizations/2026/09/01/01a05def-1c0d-76d1-abc6-07c63a443582/emulator-runs/initial/android/ACC-055-068-081-observations.json — Pixel launcher exposed Add to Buff, Scan barcode, and Add workout. Warm shortcuts opened /add, /add?mode=food&amp;scan=1 with the scanner auto-opened, and /add?mode=workout with current time; Back returned to the launcher. A warm lunch reminder opened exact /add?meal=lunch&amp;mode=food with heading 'Add food — Lunch', and a force-stopped cold workout link opened /add?mode=workout. An encoded reset token remained encoded and rendered the reset form. Unknown and malformed short-token links safely returned 404.</x:v>
      </x:c>
      <x:c r="Q85" s="58" t="str">
        <x:v>DEF-019</x:v>
      </x:c>
      <x:c r="R85" s="58" t="str">
        <x:v>In Progress</x:v>
      </x:c>
      <x:c r="S85" s="58" t="str"/>
      <x:c r="T85" s="58" t="str">
        <x:v>Not Run</x:v>
      </x:c>
      <x:c r="U85" s="58" t="str">
        <x:v>Not Run</x:v>
      </x:c>
      <x:c r="V85" s="58" t="str"/>
      <x:c r="W85" s="58" t="str">
        <x:f>IF(AND(OR(N85="Passed",N85="Failed",N85="Not Applicable"),OR(O85="Passed",O85="Failed",O85="Not Applicable"),OR(N85="Passed",N85="Failed",O85="Passed",O85="Failed"),OR(T85="Passed",T85="Not Applicable"),OR(U85="Passed",U85="Not Applicable"),OR(T85="Passed",U85="Passed"),Y85="Reconciled",Z85="Reconciled",IF(Q85&lt;&gt;"",R85="Fixed",TRUE)),"Verified",IF(OR(T85="Failed",U85="Failed"),"Retest Failed",IF(OR(N85="Failed",O85="Failed",Q85&lt;&gt;""),"Defect Found",IF(AND(OR(N85="Passed",N85="Not Applicable"),OR(O85="Passed",O85="Not Applicable"),OR(N85="Passed",O85="Passed")),"Initial Pass","Not Complete"))))</x:f>
        <x:v>Defect Found</x:v>
      </x:c>
      <x:c r="X85" s="58" t="str">
        <x:v>Security/interop risk: buff is a custom, non-verified URL scheme, so another installed app could claim it; sensitive MCP/reset flows still require random token plus Buff authentication/validation.</x:v>
      </x:c>
      <x:c r="Y85" s="58" t="str">
        <x:f>IF(OR(N85="Not Run",O85="Not Run"),"Pending",IF(AND(OR(N85="Not Applicable",COUNTIFS('Test Runs'!$B$5:$B$2004,A85,'Test Runs'!$C$5:$C$2004,"Initial",'Test Runs'!$D$5:$D$2004,"iOS",'Test Runs'!$I$5:$I$2004,N85)&gt;0),OR(O85="Not Applicable",COUNTIFS('Test Runs'!$B$5:$B$2004,A85,'Test Runs'!$C$5:$C$2004,"Initial",'Test Runs'!$D$5:$D$2004,"Android",'Test Runs'!$I$5:$I$2004,O85)&gt;0)),"Reconciled","Mismatch"))</x:f>
        <x:v>Pending</x:v>
      </x:c>
      <x:c r="Z85" s="58" t="str">
        <x:f>IF(OR(T85="Not Run",U85="Not Run"),"Pending",IF(AND(OR(T85="Not Applicable",COUNTIFS('Test Runs'!$B$5:$B$2004,A85,'Test Runs'!$C$5:$C$2004,"Retest",'Test Runs'!$D$5:$D$2004,"iOS",'Test Runs'!$I$5:$I$2004,T85)&gt;0),OR(U85="Not Applicable",COUNTIFS('Test Runs'!$B$5:$B$2004,A85,'Test Runs'!$C$5:$C$2004,"Retest",'Test Runs'!$D$5:$D$2004,"Android",'Test Runs'!$I$5:$I$2004,U85)&gt;0)),"Reconciled","Mismatch"))</x:f>
        <x:v>Pending</x:v>
      </x:c>
    </x:row>
    <x:row r="86" ht="955.2000122070312" hidden="0" customHeight="1">
      <x:c r="A86" s="58" t="str">
        <x:v>ACC-082</x:v>
      </x:c>
      <x:c r="B86" s="58" t="str">
        <x:v>Native shell refresh, runtime, orientation, and plugin wiring</x:v>
      </x:c>
      <x:c r="C86" s="58" t="str">
        <x:v>Pull down in native WebView / native app launch</x:v>
      </x:c>
      <x:c r="D86" s="58" t="str">
        <x:v>As a mobile user, I want a stable portrait native shell whose pull-to-refresh reloads current data and whose platform integrations are actually registered.</x:v>
      </x:c>
      <x:c r="E86" s="58" t="str">
        <x:v>Native shell starts at / with persistent PHP runtime/reset instances, uses buff deep links, declares camera rationale, supports iPhone/Android portrait only with iPad disabled, and Android min SDK 33/compile-target 36. NativeServiceProvider registers Apple Health, camera, Health Connect, native refresh, background tasks, browser, IAP, and AdMob. The install hook injects UIRefreshControl on iOS and SwipeRefreshLayout on Android; pull reloads the WebView and ends the spinner after load while restoring safe-area handling. It also preserves iOS query/path redirects, privacy manifest, app icon, file chooser/camera hooks, and Android scheme/back integrations. On application pages, scrolling keeps page text and controls visually separated from native status icons. The backing follows the active theme, stays below offline warnings/dialogs/confirmation feedback, does not intercept interaction, and adds no visible strip when the top safe-area inset is zero.</x:v>
      </x:c>
      <x:c r="F86" s="58" t="str">
        <x:v>Both</x:v>
      </x:c>
      <x:c r="G86" s="58" t="str">
        <x:v>Every page at top/mid-scroll; slow/error reload; active form/drawer; portrait/rotation; plugin bridge availability</x:v>
      </x:c>
      <x:c r="H86" s="58" t="str">
        <x:v>Pull on read-only and form pages, slow/error load, rotate, background/restore, and call each registered platform integration; inspect safe area/spinner/current URL preservation.</x:v>
      </x:c>
      <x:c r="I86" s="58" t="str">
        <x:v>Repeat Android with SwipeRefresh nested scroll, API 33/36 images, file chooser/camera, back/deep link, and plugin bridge checks.</x:v>
      </x:c>
      <x:c r="J86" s="58" t="str">
        <x:v>/Users/mason/Sites/Buff/tests/Feature/NativePluginHooksTest.php:5-182; /Users/mason/Sites/Buff/tests/Unit/AdmobPluginTest.php; /Users/mason/Sites/Buff/tests/Unit/SubscriptionsPluginTest.php; /Users/mason/Sites/Buff/tests/Unit/AppleHealthPluginTest.php; /Users/mason/Sites/Buff/tests/Unit/HealthConnectWorkerKeyTest.php; /Users/mason/Sites/Buff/tests/appShell.test.ts:71 covers the shared fixed themed non-interactive status-area rule and overlay ordering. These source-contract checks do not verify rendered native pixels.</x:v>
      </x:c>
      <x:c r="K86" s="58" t="str">
        <x:v>/Users/mason/Sites/Buff/config/nativephp.php:16-167,291-312; /Users/mason/Sites/Buff/app/Providers/NativeServiceProvider.php:15-42; /Users/mason/Sites/Buff/native-plugins/native-refresh/src/Commands/InstallNativeShellIntegrationsCommand.php:7-160,235-390; /Users/mason/Sites/Buff/native-plugins/native-refresh/nativephp.json</x:v>
      </x:c>
      <x:c r="L86" s="58" t="str">
        <x:v>Mapped</x:v>
      </x:c>
      <x:c r="M86" s="58" t="str">
        <x:v>Ready</x:v>
      </x:c>
      <x:c r="N86" s="58" t="str">
        <x:v>Not Run</x:v>
      </x:c>
      <x:c r="O86" s="58" t="str">
        <x:v>Blocked</x:v>
      </x:c>
      <x:c r="P86" s="58" t="str">
        <x:v>Android: /Users/mason/Sites/Buff/nativephp/android/app/build/outputs/bundle/release/app-release.aab — Fresh release-launch testing is blocked because the AAB embeds public/hot=https://Buff.test:5173 and the emulator cannot resolve Buff.test.</x:v>
      </x:c>
      <x:c r="Q86" s="58" t="str">
        <x:v>DEF-002
DEF-003
DEF-019
DEF-048
DEF-094
DEF-091
DEF-079
DEF-102
DEF-103</x:v>
      </x:c>
      <x:c r="R86" s="58" t="str">
        <x:v>Open</x:v>
      </x:c>
      <x:c r="S86" s="58" t="str"/>
      <x:c r="T86" s="58" t="str">
        <x:v>Blocked</x:v>
      </x:c>
      <x:c r="U86" s="58" t="str">
        <x:v>Blocked</x:v>
      </x:c>
      <x:c r="V86" s="58" t="str">
        <x:v>iOS: /Users/mason/.codex/visualizations/2026/09/01/01a05def-1c0d-76d1-abc6-07c63a443582/emulator-runs/retest/ios/ACC-082-portrait-locked-rotated.png
/Users/mason/.codex/visualizations/2026/09/01/01a05def-1c0d-76d1-abc6-07c63a443582/emulator-runs/retest/ios/ACC-001-cold-launch-login-build15.png — Installed CFBundleVersion15 is confirmed. Four simulator rotations retained portrait-primary WebView402x874; original device position restored. Background/resume and app-switcher close/cold launch rendered sign-in safely.
iOS: /Users/mason/.codex/visualizations/2026/09/01/01a05def-1c0d-76d1-abc6-07c63a443582/emulator-runs/retest/ios/batch-012-case-manifest.json
/Users/mason/.codex/visualizations/2026/09/01/01a05def-1c0d-76d1-abc6-07c63a443582/emulator-runs/retest/ios/NUT-090-after-newer-move.png
/Users/mason/.codex/visualizations/2026/09/01/01a05def-1c0d-76d1-abc6-07c63a443582/emulator-runs/retest/ios/NUT-090-cold-persisted-aug30-groups.png — The Today list on iPhone 17 Pro / iOS 26.5 allowed scrolled content into the native status area. The Breakfast heading and Add action visibly collided with the clock/status icons; another scroll position put Meals and Add food in the same region. After a cold launch, the Breakfast heading occupied WebView y=16–36 and the native screenshot still showed the collision. Independent review confirmed this as DEF-094.
iOS: /Users/mason/.codex/visualizations/2026/09/01/01a05def-1c0d-76d1-abc6-07c63a443582/emulator-runs/retest/ios/DEF-094-b16-postfix-observations.json
/Users/mason/.codex/visualizations/2026/09/01/01a05def-1c0d-76d1-abc6-07c63a443582/emulator-runs/retest/ios/DEF-094-b16-system-scrolled.png
/Users/mason/.codex/visualizations/2026/09/01/01a05def-1c0d-76d1-abc6-07c63a443582/emulator-runs/retest/ios/DEF-094-b16-dark-scrolled.png
/Users/mason/.codex/visualizations/2026/09/01/01a05def-1c0d-76d1-abc6-07c63a443582/emulator-runs/retest/ios/DEF-094-b16-light-meal-edit.png
/Users/mason/.codex/visualizations/2026/09/01/01a05def-1c0d-76d1-abc6-07c63a443582/emulator-runs/retest/ios/DEF-094-b16-dark-weekly-scrolled.png — iOS build 16 passed the reproduced top-chrome regression. At the original Aug 30 Breakfast y=16–36 and Meals y=15–43 collision positions, native clock/status icons remained readable with content hidden by a 62 px fixed #app::before backing (z-index 30, pointer-events none). Explicit Light used RGB 245/246/246; Dark used RGB 21/22/22 with readable white native status text. System, light meal detail/edit open and cancel, and dark Weekly scroll also passed. No meal fields changed; the daily summary remained identical. System appearance was restored and Reduce Motion remained off. Auth/onboarding and zero-inset desktop environments were not exercised.
Android: /Users/mason/.codex/visualizations/2026/09/01/01a05def-1c0d-76d1-abc6-07c63a443582/emulator-runs/retest/android/build16-first-launch.png
/Users/mason/.codex/visualizations/2026/09/01/01a05def-1c0d-76d1-abc6-07c63a443582/emulator-runs/retest/android/DEF-092-b16-edit-input.png
/Users/mason/.codex/visualizations/2026/09/01/01a05def-1c0d-76d1-abc6-07c63a443582/inventory/android-build16-install-provenance.json — Fresh build16 launch retains the same Android visual corruption: the date loses its left edge beneath an offset pale strip and a duplicate calorie-ring fragment appears above Meals. DOM contains one coherent Today tree and exact500 meal kcal/247 burned/2347 target/1847 remaining. Add workout, native time pickers and Reminders render cleanly; the workout edit dialog is readable while duplicate fragments remain in its blurred Today background. This is still an unresolved native-pixel failure, not demonstrated nutrition-data corruption.
Android: /Users/mason/.codex/visualizations/2026/09/06/01a07722-2d43-7910-aa74-f3a7d9489dc2/release-qa/release-verification.json
/Users/mason/.codex/visualizations/2026/09/06/01a07722-2d43-7910-aa74-f3a7d9489dc2/release-qa/release-startup.png — Startup/package subset Passed: signed release24 installed and rendered login. Correct version/platform, no public/hot/private files, production debug=false, signatures verified; AAB/APK bundled entries identical. No upload. Store/purchase matrix deferred.
iOS: /Users/mason/.codex/visualizations/2026/09/06/01a07722-2d43-7910-aa74-f3a7d9489dc2/release-qa/ios-bundle-platform.json
/Users/mason/.codex/visualizations/2026/09/06/01a07722-2d43-7910-aa74-f3a7d9489dc2/release-qa/DEF-060-ios-historical-saved.png — Startup/platform subset Passed: installed iOS23 bundle marker ios; native Progress and Goals rendered and handled validation/historical saving. Full release archive/purchase matrix not performed.
iOS: /Users/mason/.codex/visualizations/2026/09/06/01a07722-2d43-7910-aa74-f3a7d9489dc2/release-qa/ios-release26-verification.json — Version parity, signature, platform assets and no hot marker Passed. No store upload.
Android: /Users/mason/.codex/visualizations/2026/09/06/01a07722-2d43-7910-aa74-f3a7d9489dc2/release-qa/android-release27-verification.json
/Users/mason/.codex/visualizations/2026/09/06/01a07722-2d43-7910-aa74-f3a7d9489dc2/release-qa/release27-startup.png — Current signed APK27 starts to styled Sign in. All18433 bundled entries match signed AAB; versions27, platformandroid, public/hot absent.
Android: /Users/mason/.codex/visualizations/2026/09/06/01a07722-2d43-7910-aa74-f3a7d9489dc2/release-qa/release-precision-verification.json — Focused packaging check Passed: signed AAB/APK contain identical Laravel entries, Android assets, precision fix and version29 metadata. APK manifest version29 and both signatures verified. Debug27 native save passed; signed29 was not installed for another startup test.
iOS: /Users/mason/.codex/visualizations/2026/09/06/01a07722-2d43-7910-aa74-f3a7d9489dc2/release-qa/release-precision-verification.json — Focused packaging check Passed: signed IPA contains iOS assets and precision fix. Native Info.plist, bundled environment and metadata all report28. codesign deep/strict verification passes. Debug27 native save passed.</x:v>
      </x:c>
      <x:c r="W86" s="58" t="str">
        <x:f>IF(AND(OR(N86="Passed",N86="Failed",N86="Not Applicable"),OR(O86="Passed",O86="Failed",O86="Not Applicable"),OR(N86="Passed",N86="Failed",O86="Passed",O86="Failed"),OR(T86="Passed",T86="Not Applicable"),OR(U86="Passed",U86="Not Applicable"),OR(T86="Passed",U86="Passed"),Y86="Reconciled",Z86="Reconciled",IF(Q86&lt;&gt;"",R86="Fixed",TRUE)),"Verified",IF(OR(T86="Failed",U86="Failed"),"Retest Failed",IF(OR(N86="Failed",O86="Failed",Q86&lt;&gt;""),"Defect Found",IF(AND(OR(N86="Passed",N86="Not Applicable"),OR(O86="Passed",O86="Not Applicable"),OR(N86="Passed",O86="Passed")),"Initial Pass","Not Complete"))))</x:f>
        <x:v>Defect Found</x:v>
      </x:c>
      <x:c r="X86" s="58" t="str">
        <x:v>LIKELY UX DEFECT: pull-to-refresh blindly reloads the entire WebView on all pages, so an accidental pull at the top of an unsaved form/onboarding step can discard in-memory edits without confirmation. Separately, iOS batch 012 confirms scrolled status-area overlap on Today (DEF-094), including after a cold launch. The shared #app backing fix covers shell and standalone routes in source but is not installed in build 15. No complete shell, refresh, integration, auth/setup or theme matrix is implied by this partial runtime check.
Build16 supersedes the stale-bundle limitation: DEF-094 original collision is fixed with focused native evidence, but the broad shell/integration matrix is not complete. Android DEF-091 remains Failed. Auth/onboarding/MCP, offline/camera/toast and zero-inset native coverage remain outstanding.</x:v>
      </x:c>
      <x:c r="Y86" s="58" t="str">
        <x:f>IF(OR(N86="Not Run",O86="Not Run"),"Pending",IF(AND(OR(N86="Not Applicable",COUNTIFS('Test Runs'!$B$5:$B$2004,A86,'Test Runs'!$C$5:$C$2004,"Initial",'Test Runs'!$D$5:$D$2004,"iOS",'Test Runs'!$I$5:$I$2004,N86)&gt;0),OR(O86="Not Applicable",COUNTIFS('Test Runs'!$B$5:$B$2004,A86,'Test Runs'!$C$5:$C$2004,"Initial",'Test Runs'!$D$5:$D$2004,"Android",'Test Runs'!$I$5:$I$2004,O86)&gt;0)),"Reconciled","Mismatch"))</x:f>
        <x:v>Pending</x:v>
      </x:c>
      <x:c r="Z86" s="58" t="str">
        <x:f>IF(OR(T86="Not Run",U86="Not Run"),"Pending",IF(AND(OR(T86="Not Applicable",COUNTIFS('Test Runs'!$B$5:$B$2004,A86,'Test Runs'!$C$5:$C$2004,"Retest",'Test Runs'!$D$5:$D$2004,"iOS",'Test Runs'!$I$5:$I$2004,T86)&gt;0),OR(U86="Not Applicable",COUNTIFS('Test Runs'!$B$5:$B$2004,A86,'Test Runs'!$C$5:$C$2004,"Retest",'Test Runs'!$D$5:$D$2004,"Android",'Test Runs'!$I$5:$I$2004,U86)&gt;0)),"Reconciled","Mismatch"))</x:f>
        <x:v>Reconciled</x:v>
      </x:c>
    </x:row>
    <x:row r="87" ht="120" customHeight="1">
      <x:c r="A87" s="58" t="str">
        <x:v>HLT-001</x:v>
      </x:c>
      <x:c r="B87" s="58" t="str">
        <x:v>Progress overview</x:v>
      </x:c>
      <x:c r="C87" s="58" t="str">
        <x:v>Progress tab -&gt; /progress</x:v>
      </x:c>
      <x:c r="D87" s="58" t="str">
        <x:v>As a user with no weigh-ins, I want Progress to explain how to begin.</x:v>
      </x:c>
      <x:c r="E87" s="58" t="str">
        <x:v>GET /progress defaults to a 90-day window ending today, returns no latest/trend/history, and the page presents the first-entry form plus empty trend/history messaging; weight is required unless a prior weight exists.</x:v>
      </x:c>
      <x:c r="F87" s="58" t="str">
        <x:v>iOS, Android</x:v>
      </x:c>
      <x:c r="G87" s="58" t="str">
        <x:v>Account with a DailyGoal but zero BodyMetric rows.</x:v>
      </x:c>
      <x:c r="H87" s="58" t="str">
        <x:v>Open Progress on a fresh iOS account; verify empty cards/form; submit without weight and verify inline validation.</x:v>
      </x:c>
      <x:c r="I87" s="58" t="str">
        <x:v>Repeat on Android; also pull to refresh and verify empty state remains.</x:v>
      </x:c>
      <x:c r="J87" s="58" t="str">
        <x:v>Partial: ProgressTest.php covers render/save behavior; no focused empty-state UI test found.</x:v>
      </x:c>
      <x:c r="K87" s="58" t="str">
        <x:v>/Users/mason/Sites/Buff/app/Http/Controllers/ProgressController.php:23 ProgressController::index; /Users/mason/Sites/Buff/resources/js/Pages/Progress.vue:129 metricForm and :141 hasHistory; /Users/mason/Sites/Buff/routes/web.php:80</x:v>
      </x:c>
      <x:c r="L87" s="58" t="str">
        <x:v>Mapped</x:v>
      </x:c>
      <x:c r="M87" s="58" t="str">
        <x:v>Ready</x:v>
      </x:c>
      <x:c r="N87" s="58" t="str">
        <x:v>Not Run</x:v>
      </x:c>
      <x:c r="O87" s="58" t="str">
        <x:v>Blocked</x:v>
      </x:c>
      <x:c r="P87" s="58" t="str">
        <x:v>Android: /Users/mason/.codex/visualizations/2026/09/01/01a05def-1c0d-76d1-abc6-07c63a443582/emulator-runs/initial/android-guest/progress-observations-batch-020-draft.json — Deleting all disposable check-ins produced the first-entry and empty-history state.</x:v>
      </x:c>
      <x:c r="Q87" s="58" t="str"/>
      <x:c r="R87" s="58" t="str">
        <x:v>Not Needed</x:v>
      </x:c>
      <x:c r="S87" s="58" t="str"/>
      <x:c r="T87" s="58" t="str">
        <x:v>Not Run</x:v>
      </x:c>
      <x:c r="U87" s="58" t="str">
        <x:v>Not Run</x:v>
      </x:c>
      <x:c r="V87" s="58" t="str"/>
      <x:c r="W87" s="58" t="str">
        <x:f>IF(AND(OR(N87="Passed",N87="Failed",N87="Not Applicable"),OR(O87="Passed",O87="Failed",O87="Not Applicable"),OR(N87="Passed",N87="Failed",O87="Passed",O87="Failed"),OR(T87="Passed",T87="Not Applicable"),OR(U87="Passed",U87="Not Applicable"),OR(T87="Passed",U87="Passed"),Y87="Reconciled",Z87="Reconciled",IF(Q87&lt;&gt;"",R87="Fixed",TRUE)),"Verified",IF(OR(T87="Failed",U87="Failed"),"Retest Failed",IF(OR(N87="Failed",O87="Failed",Q87&lt;&gt;""),"Defect Found",IF(AND(OR(N87="Passed",N87="Not Applicable"),OR(O87="Passed",O87="Not Applicable"),OR(N87="Passed",O87="Passed")),"Initial Pass","Not Complete"))))</x:f>
        <x:v>Not Complete</x:v>
      </x:c>
      <x:c r="X87" s="58" t="str">
        <x:v>Low; empty UI is code-defined but lacks direct component coverage.</x:v>
      </x:c>
      <x:c r="Y87" s="58" t="str">
        <x:f>IF(OR(N87="Not Run",O87="Not Run"),"Pending",IF(AND(OR(N87="Not Applicable",COUNTIFS('Test Runs'!$B$5:$B$2004,A87,'Test Runs'!$C$5:$C$2004,"Initial",'Test Runs'!$D$5:$D$2004,"iOS",'Test Runs'!$I$5:$I$2004,N87)&gt;0),OR(O87="Not Applicable",COUNTIFS('Test Runs'!$B$5:$B$2004,A87,'Test Runs'!$C$5:$C$2004,"Initial",'Test Runs'!$D$5:$D$2004,"Android",'Test Runs'!$I$5:$I$2004,O87)&gt;0)),"Reconciled","Mismatch"))</x:f>
        <x:v>Pending</x:v>
      </x:c>
      <x:c r="Z87" s="58" t="str">
        <x:f>IF(OR(T87="Not Run",U87="Not Run"),"Pending",IF(AND(OR(T87="Not Applicable",COUNTIFS('Test Runs'!$B$5:$B$2004,A87,'Test Runs'!$C$5:$C$2004,"Retest",'Test Runs'!$D$5:$D$2004,"iOS",'Test Runs'!$I$5:$I$2004,T87)&gt;0),OR(U87="Not Applicable",COUNTIFS('Test Runs'!$B$5:$B$2004,A87,'Test Runs'!$C$5:$C$2004,"Retest",'Test Runs'!$D$5:$D$2004,"Android",'Test Runs'!$I$5:$I$2004,U87)&gt;0)),"Reconciled","Mismatch"))</x:f>
        <x:v>Pending</x:v>
      </x:c>
    </x:row>
    <x:row r="88" ht="120" customHeight="1">
      <x:c r="A88" s="58" t="str">
        <x:v>HLT-002</x:v>
      </x:c>
      <x:c r="B88" s="58" t="str">
        <x:v>Progress range</x:v>
      </x:c>
      <x:c r="C88" s="58" t="str">
        <x:v>Progress range selector</x:v>
      </x:c>
      <x:c r="D88" s="58" t="str">
        <x:v>As a user, I want to view 30, 90, 180, or all-time progress.</x:v>
      </x:c>
      <x:c r="E88" s="58" t="str">
        <x:v>Range accepts only 30/90/180/all and otherwise falls back to 90; fixed ranges include today and the preceding N-1 calendar days; all-time begins at the first recorded metric; selected range is preserved after save/delete.</x:v>
      </x:c>
      <x:c r="F88" s="58" t="str">
        <x:v>iOS, Android</x:v>
      </x:c>
      <x:c r="G88" s="58" t="str">
        <x:v>Metrics before, inside, and after each boundary; include invalid ?range=abc.</x:v>
      </x:c>
      <x:c r="H88" s="58" t="str">
        <x:v>Select every range and compare included dates; save and delete within All; deep-link invalid range and expect 90.</x:v>
      </x:c>
      <x:c r="I88" s="58" t="str">
        <x:v>Repeat all selections and preservation checks.</x:v>
      </x:c>
      <x:c r="J88" s="58" t="str">
        <x:v>Covered: ProgressTest.php “filters progress history by calendar range” and “reloads recent history after saving a measurement”; progressChart.test.ts domain tests.</x:v>
      </x:c>
      <x:c r="K88" s="58" t="str">
        <x:v>/Users/mason/Sites/Buff/app/Http/Controllers/ProgressController.php:25 ProgressController::index, :149 redirectToProgress; /Users/mason/Sites/Buff/resources/js/Pages/Progress.vue:144 rangeOptions, :574 visitRange</x:v>
      </x:c>
      <x:c r="L88" s="58" t="str">
        <x:v>Mapped</x:v>
      </x:c>
      <x:c r="M88" s="58" t="str">
        <x:v>Ready</x:v>
      </x:c>
      <x:c r="N88" s="58" t="str">
        <x:v>Not Run</x:v>
      </x:c>
      <x:c r="O88" s="58" t="str">
        <x:v>Blocked</x:v>
      </x:c>
      <x:c r="P88" s="58" t="str">
        <x:v>Android: /Users/mason/.codex/visualizations/2026/09/01/01a05def-1c0d-76d1-abc6-07c63a443582/emulator-runs/initial/android/HLT-002-all-time-single-metric.png — 30, 90, 180, and All each navigated to the correct control/URL state; an invalid range fell back to the 90-day props and selected control. All-time safely rendered the one retained metric but duplicated x-axis day labels. Boundary inclusion plus range preservation after save/delete require multiple dated fixtures and authorized writes.</x:v>
      </x:c>
      <x:c r="Q88" s="58" t="str">
        <x:v>DEF-016</x:v>
      </x:c>
      <x:c r="R88" s="58" t="str">
        <x:v>In Progress</x:v>
      </x:c>
      <x:c r="S88" s="58" t="str"/>
      <x:c r="T88" s="58" t="str">
        <x:v>Blocked</x:v>
      </x:c>
      <x:c r="U88" s="58" t="str">
        <x:v>Failed</x:v>
      </x:c>
      <x:c r="V88" s="58" t="str">
        <x:v>Android: /Users/mason/.codex/visualizations/2026/09/01/01a05def-1c0d-76d1-abc6-07c63a443582/emulator-runs/retest/android/HLT-005-single-day-all.json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/Users/mason/.codex/visualizations/2026/09/01/01a05def-1c0d-76d1-abc6-07c63a443582/emulator-runs/retest/android/HLT-005-two-day-axis.png
/Users/mason/.codex/visualizations/2026/09/01/01a05def-1c0d-76d1-abc6-07c63a443582/emulator-runs/retest/android/HLT-009-existing-date-update-settled.json — All displayed the one4 September75kg reading with a single4 Sept x tick. After adding3 September76kg, the two-day All window rendered3 Sept twice instead of3 Sept and4 Sept on both charts. The settled existing-date update retained /progress?range=all, two history rows, and pending sync0. DEF-016 therefore remains failed on build15 despite the corrected single-day case.
iOS: /Users/mason/.codex/visualizations/2026/09/01/01a05def-1c0d-76d1-abc6-07c63a443582/emulator-runs/retest/ios/HLT-009-011-progress-observations.json
/Users/mason/.codex/visualizations/2026/09/01/01a05def-1c0d-76d1-abc6-07c63a443582/emulator-runs/retest/ios/HLT-002-004-progress90-restored.png — All30/90/180/All controls navigated to the correct query and selected state. Inclusive starts wereAug6/Jun7/Mar9/Sep3 endingSep4. Both saved dates remained in history. Restored90 range.</x:v>
      </x:c>
      <x:c r="W88" s="58" t="str">
        <x:f>IF(AND(OR(N88="Passed",N88="Failed",N88="Not Applicable"),OR(O88="Passed",O88="Failed",O88="Not Applicable"),OR(N88="Passed",N88="Failed",O88="Passed",O88="Failed"),OR(T88="Passed",T88="Not Applicable"),OR(U88="Passed",U88="Not Applicable"),OR(T88="Passed",U88="Passed"),Y88="Reconciled",Z88="Reconciled",IF(Q88&lt;&gt;"",R88="Fixed",TRUE)),"Verified",IF(OR(T88="Failed",U88="Failed"),"Retest Failed",IF(OR(N88="Failed",O88="Failed",Q88&lt;&gt;""),"Defect Found",IF(AND(OR(N88="Passed",N88="Not Applicable"),OR(O88="Passed",O88="Not Applicable"),OR(N88="Passed",O88="Passed")),"Initial Pass","Not Complete"))))</x:f>
        <x:v>Retest Failed</x:v>
      </x:c>
      <x:c r="X88" s="58" t="str">
        <x:v>Risk: all-time with exactly one metric creates identical x-domain endpoints, which may render poorly in the chart library.</x:v>
      </x:c>
      <x:c r="Y88" s="58" t="str">
        <x:f>IF(OR(N88="Not Run",O88="Not Run"),"Pending",IF(AND(OR(N88="Not Applicable",COUNTIFS('Test Runs'!$B$5:$B$2004,A88,'Test Runs'!$C$5:$C$2004,"Initial",'Test Runs'!$D$5:$D$2004,"iOS",'Test Runs'!$I$5:$I$2004,N88)&gt;0),OR(O88="Not Applicable",COUNTIFS('Test Runs'!$B$5:$B$2004,A88,'Test Runs'!$C$5:$C$2004,"Initial",'Test Runs'!$D$5:$D$2004,"Android",'Test Runs'!$I$5:$I$2004,O88)&gt;0)),"Reconciled","Mismatch"))</x:f>
        <x:v>Pending</x:v>
      </x:c>
      <x:c r="Z88" s="58" t="str">
        <x:f>IF(OR(T88="Not Run",U88="Not Run"),"Pending",IF(AND(OR(T88="Not Applicable",COUNTIFS('Test Runs'!$B$5:$B$2004,A88,'Test Runs'!$C$5:$C$2004,"Retest",'Test Runs'!$D$5:$D$2004,"iOS",'Test Runs'!$I$5:$I$2004,T88)&gt;0),OR(U88="Not Applicable",COUNTIFS('Test Runs'!$B$5:$B$2004,A88,'Test Runs'!$C$5:$C$2004,"Retest",'Test Runs'!$D$5:$D$2004,"Android",'Test Runs'!$I$5:$I$2004,U88)&gt;0)),"Reconciled","Mismatch"))</x:f>
        <x:v>Reconciled</x:v>
      </x:c>
    </x:row>
    <x:row r="89" ht="120" customHeight="1">
      <x:c r="A89" s="58" t="str">
        <x:v>HLT-003</x:v>
      </x:c>
      <x:c r="B89" s="58" t="str">
        <x:v>Weight trend</x:v>
      </x:c>
      <x:c r="C89" s="58" t="str">
        <x:v>Progress -&gt; Weight card and weight chart</x:v>
      </x:c>
      <x:c r="D89" s="58" t="str">
        <x:v>As a user, I want noisy weigh-ins smoothed into a useful current trend.</x:v>
      </x:c>
      <x:c r="E89" s="58" t="str">
        <x:v>The headline Weight value is a 7-period EMA (alpha 0.25) computed over all chronological metrics, with a change from the most recent trend point at/before seven days ago or the first point; the plotted weight series and history rows remain raw readings.</x:v>
      </x:c>
      <x:c r="F89" s="58" t="str">
        <x:v>iOS, Android</x:v>
      </x:c>
      <x:c r="G89" s="58" t="str">
        <x:v>At least 3 irregular weigh-ins spanning more than 7 days.</x:v>
      </x:c>
      <x:c r="H89" s="58" t="str">
        <x:v>Record varied weights; verify headline equals expected EMA, 7-day delta, chart/history show raw values.</x:v>
      </x:c>
      <x:c r="I89" s="58" t="str">
        <x:v>Repeat with identical dataset.</x:v>
      </x:c>
      <x:c r="J89" s="58" t="str">
        <x:v>Covered: WeightTrendServiceTest.php; ProgressTest.php “renders latest metric delta and history”; progressChart.test.ts.</x:v>
      </x:c>
      <x:c r="K89" s="58" t="str">
        <x:v>/Users/mason/Sites/Buff/app/Services/WeightTrendService.php:7 WeightTrendService; /Users/mason/Sites/Buff/app/Http/Controllers/ProgressController.php:34 trend computation; /Users/mason/Sites/Buff/resources/js/Pages/Progress.vue:150 latestWeight and :170 weightChartData</x:v>
      </x:c>
      <x:c r="L89" s="58" t="str">
        <x:v>Mapped</x:v>
      </x:c>
      <x:c r="M89" s="58" t="str">
        <x:v>Ready</x:v>
      </x:c>
      <x:c r="N89" s="58" t="str">
        <x:v>Not Run</x:v>
      </x:c>
      <x:c r="O89" s="58" t="str">
        <x:v>Passed</x:v>
      </x:c>
      <x:c r="P89" s="58" t="str">
        <x:v>Android: /Users/mason/.codex/visualizations/2026/09/01/01a05def-1c0d-76d1-abc6-07c63a443582/emulator-runs/initial/android-guest/HLT-003-006-progress-summary.png
/Users/mason/.codex/visualizations/2026/09/01/01a05def-1c0d-76d1-abc6-07c63a443582/emulator-runs/initial/android-guest/progress-observations-batch-020-draft.json — Three irregular readings produced an 81.3 kg EMA headline and -0.7 kg trend delta while the chart/history stayed raw.</x:v>
      </x:c>
      <x:c r="Q89" s="58" t="str"/>
      <x:c r="R89" s="58" t="str">
        <x:v>Not Needed</x:v>
      </x:c>
      <x:c r="S89" s="58" t="str"/>
      <x:c r="T89" s="58" t="str">
        <x:v>Blocked</x:v>
      </x:c>
      <x:c r="U89" s="58" t="str">
        <x:v>Not Run</x:v>
      </x:c>
      <x:c r="V89" s="58" t="str">
        <x:v>iOS: /Users/mason/.codex/visualizations/2026/09/01/01a05def-1c0d-76d1-abc6-07c63a443582/emulator-runs/retest/ios/HLT-009-011-progress-observations.json
/Users/mason/.codex/visualizations/2026/09/01/01a05def-1c0d-76d1-abc6-07c63a443582/emulator-runs/retest/ios/HLT-002-004-progress90-restored.png — With raw chronological76kg then75kg, headline75.8kg matches EMA75.75 rounded to one decimal; delta-0.3kg matches-0.25 rounded. Chart/history retain raw76→75.</x:v>
      </x:c>
      <x:c r="W89" s="58" t="str">
        <x:f>IF(AND(OR(N89="Passed",N89="Failed",N89="Not Applicable"),OR(O89="Passed",O89="Failed",O89="Not Applicable"),OR(N89="Passed",N89="Failed",O89="Passed",O89="Failed"),OR(T89="Passed",T89="Not Applicable"),OR(U89="Passed",U89="Not Applicable"),OR(T89="Passed",U89="Passed"),Y89="Reconciled",Z89="Reconciled",IF(Q89&lt;&gt;"",R89="Fixed",TRUE)),"Verified",IF(OR(T89="Failed",U89="Failed"),"Retest Failed",IF(OR(N89="Failed",O89="Failed",Q89&lt;&gt;""),"Defect Found",IF(AND(OR(N89="Passed",N89="Not Applicable"),OR(O89="Passed",O89="Not Applicable"),OR(N89="Passed",O89="Passed")),"Initial Pass","Not Complete"))))</x:f>
        <x:v>Not Complete</x:v>
      </x:c>
      <x:c r="X89" s="58" t="str">
        <x:v>Likely UX ambiguity: the card is labeled “Weight” but displays smoothed trend while the chart/history display raw weight without explaining the distinction.</x:v>
      </x:c>
      <x:c r="Y89" s="58" t="str">
        <x:f>IF(OR(N89="Not Run",O89="Not Run"),"Pending",IF(AND(OR(N89="Not Applicable",COUNTIFS('Test Runs'!$B$5:$B$2004,A89,'Test Runs'!$C$5:$C$2004,"Initial",'Test Runs'!$D$5:$D$2004,"iOS",'Test Runs'!$I$5:$I$2004,N89)&gt;0),OR(O89="Not Applicable",COUNTIFS('Test Runs'!$B$5:$B$2004,A89,'Test Runs'!$C$5:$C$2004,"Initial",'Test Runs'!$D$5:$D$2004,"Android",'Test Runs'!$I$5:$I$2004,O89)&gt;0)),"Reconciled","Mismatch"))</x:f>
        <x:v>Pending</x:v>
      </x:c>
      <x:c r="Z89" s="58" t="str">
        <x:f>IF(OR(T89="Not Run",U89="Not Run"),"Pending",IF(AND(OR(T89="Not Applicable",COUNTIFS('Test Runs'!$B$5:$B$2004,A89,'Test Runs'!$C$5:$C$2004,"Retest",'Test Runs'!$D$5:$D$2004,"iOS",'Test Runs'!$I$5:$I$2004,T89)&gt;0),OR(U89="Not Applicable",COUNTIFS('Test Runs'!$B$5:$B$2004,A89,'Test Runs'!$C$5:$C$2004,"Retest",'Test Runs'!$D$5:$D$2004,"Android",'Test Runs'!$I$5:$I$2004,U89)&gt;0)),"Reconciled","Mismatch"))</x:f>
        <x:v>Pending</x:v>
      </x:c>
    </x:row>
    <x:row r="90" ht="120" customHeight="1">
      <x:c r="A90" s="58" t="str">
        <x:v>HLT-004</x:v>
      </x:c>
      <x:c r="B90" s="58" t="str">
        <x:v>Progress indicators</x:v>
      </x:c>
      <x:c r="C90" s="58" t="str">
        <x:v>Progress summary cards</x:v>
      </x:c>
      <x:c r="D90" s="58" t="str">
        <x:v>As a user, I want current body fat, BMI, weight change, and energy estimates.</x:v>
      </x:c>
      <x:c r="E90" s="58" t="str">
        <x:v>Summary inputs use all history, independent of the selected chart range. As specified by HLT-003, the headline Weight and its change show the seven-period EMA trend (alpha0.25), with delta from the latest trend at/before seven days earlier or the first point; values are converted to the selected unit and rounded to one decimal. If trend is unavailable, the headline falls back to the latest raw weight. BMI and BMR/TDEE use the latest raw weight, not the smoothed headline. Body fat uses the global latest raw value, and its raw delta requires values on both global latest and previous metrics. Energy estimates require the latest weight plus complete height, age, sex and activity inputs. Thus76kg followed by75kg yields a75.8kg headline and-0.3kg trend delta, while a180cm profile yields BMI23.1 from raw75kg.</x:v>
      </x:c>
      <x:c r="F90" s="58" t="str">
        <x:v>iOS, Android</x:v>
      </x:c>
      <x:c r="G90" s="58" t="str">
        <x:v>Two or more dated metrics, complete and incomplete BodyProfile variants, and kg/lb unit variants. Include consecutive76kg then75kg readings with height180cm to distinguish smoothed weight from raw-weight BMI; include a latest metric with missing body fat.</x:v>
      </x:c>
      <x:c r="H90" s="58" t="str">
        <x:v>Compare the Weight headline and delta with the EMA rules in HLT-003, and separately compare raw latest/previous body-fat values, BMI and BMR/TDEE with their code-derived inputs. For76→75kg at180cm, expect75.8kg/-0.3kg in the header but BMI23.1. Verify chart/history still show raw76→75kg. Clear one required energy-profile input and verify energy disappears; change ranges and confirm global summary inputs do not change merely because older chart points are filtered.</x:v>
      </x:c>
      <x:c r="I90" s="58" t="str">
        <x:v>Repeat the smoothed-headline versus raw-metric summary checks on Android, including unit conversion, incomplete profile and missing body-fat variants. Do not label the expected75.8kg/-0.3kg trend as stale merely because the latest raw reading is75kg.</x:v>
      </x:c>
      <x:c r="J90" s="58" t="str">
        <x:v>Covered: ProgressTest.php “passes body profile and goals”, “estimates energy…”, and delta test; EnergyEstimatorTest.php.</x:v>
      </x:c>
      <x:c r="K90" s="58" t="str">
        <x:v>/Users/mason/Sites/Buff/app/Http/Controllers/ProgressController.php:46 latest/previous and :71 energy; /Users/mason/Sites/Buff/resources/js/Pages/Progress.vue:156 previousBodyFat, :168 currentBmi; /Users/mason/Sites/Buff/app/Services/EnergyEstimator.php:15 estimate</x:v>
      </x:c>
      <x:c r="L90" s="58" t="str">
        <x:v>Mapped</x:v>
      </x:c>
      <x:c r="M90" s="58" t="str">
        <x:v>Ready</x:v>
      </x:c>
      <x:c r="N90" s="58" t="str">
        <x:v>Not Run</x:v>
      </x:c>
      <x:c r="O90" s="58" t="str">
        <x:v>Blocked</x:v>
      </x:c>
      <x:c r="P90" s="58" t="str">
        <x:v>Android: /Users/mason/.codex/visualizations/2026/09/01/01a05def-1c0d-76d1-abc6-07c63a443582/emulator-runs/initial/android-guest/HLT-003-006-progress-summary.png
/Users/mason/.codex/visualizations/2026/09/01/01a05def-1c0d-76d1-abc6-07c63a443582/emulator-runs/initial/android-guest/progress-observations-batch-020-draft.json — Body fat 23.5%/-0.5%, BMI 24.7 at 180 cm, TDEE 2,759, and BMR 1,780 matched the complete-profile data.</x:v>
      </x:c>
      <x:c r="Q90" s="58" t="str"/>
      <x:c r="R90" s="58" t="str">
        <x:v>Not Needed</x:v>
      </x:c>
      <x:c r="S90" s="58" t="str"/>
      <x:c r="T90" s="58" t="str">
        <x:v>Blocked</x:v>
      </x:c>
      <x:c r="U90" s="58" t="str">
        <x:v>Blocked</x:v>
      </x:c>
      <x:c r="V90" s="58" t="str">
        <x:v>Android: /Users/mason/.codex/visualizations/2026/09/01/01a05def-1c0d-76d1-abc6-07c63a443582/emulator-runs/retest/android/HLT-005-single-day-all.json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/Users/mason/.codex/visualizations/2026/09/01/01a05def-1c0d-76d1-abc6-07c63a443582/emulator-runs/retest/android/HLT-009-existing-date-update-settled.json — Partial success: after historical76kg followed by today's raw75kg, the stable header showed75.8kg/-0.3kg, matching the intended EMA75.75kg and trend delta-0.25kg rounded to one decimal. BMI remained23.1 at180cm, correctly using raw75kg rather than the smoothed headline. Latest body fat remained absent despite the older20% reading, and the header showed -- with No change. Energy remained displayed as2,106kcal and BMR1,755. The raw chart summary remained Started at76kg, now75kg.
iOS: /Users/mason/.codex/visualizations/2026/09/01/01a05def-1c0d-76d1-abc6-07c63a443582/emulator-runs/retest/ios/HLT-009-011-progress-observations.json
/Users/mason/.codex/visualizations/2026/09/01/01a05def-1c0d-76d1-abc6-07c63a443582/emulator-runs/retest/ios/HLT-002-004-progress90-restored.png — LatestSep4 has body-fatnull: card shows--/No change despite Sep3body-fat20. BMI23.1 matches75kg/180cm. Complete profile givesBMR1755 andTDEE2106; summaries remain stable across all ranges.</x:v>
      </x:c>
      <x:c r="W90" s="58" t="str">
        <x:f>IF(AND(OR(N90="Passed",N90="Failed",N90="Not Applicable"),OR(O90="Passed",O90="Failed",O90="Not Applicable"),OR(N90="Passed",N90="Failed",O90="Passed",O90="Failed"),OR(T90="Passed",T90="Not Applicable"),OR(U90="Passed",U90="Not Applicable"),OR(T90="Passed",U90="Passed"),Y90="Reconciled",Z90="Reconciled",IF(Q90&lt;&gt;"",R90="Fixed",TRUE)),"Verified",IF(OR(T90="Failed",U90="Failed"),"Retest Failed",IF(OR(N90="Failed",O90="Failed",Q90&lt;&gt;""),"Defect Found",IF(AND(OR(N90="Passed",N90="Not Applicable"),OR(O90="Passed",O90="Not Applicable"),OR(N90="Passed",O90="Passed")),"Initial Pass","Not Complete"))))</x:f>
        <x:v>Not Complete</x:v>
      </x:c>
      <x:c r="X90" s="58" t="str">
        <x:v>Risk: global summary can describe a reading outside the selected chart range, which may feel inconsistent.</x:v>
      </x:c>
      <x:c r="Y90" s="58" t="str">
        <x:f>IF(OR(N90="Not Run",O90="Not Run"),"Pending",IF(AND(OR(N90="Not Applicable",COUNTIFS('Test Runs'!$B$5:$B$2004,A90,'Test Runs'!$C$5:$C$2004,"Initial",'Test Runs'!$D$5:$D$2004,"iOS",'Test Runs'!$I$5:$I$2004,N90)&gt;0),OR(O90="Not Applicable",COUNTIFS('Test Runs'!$B$5:$B$2004,A90,'Test Runs'!$C$5:$C$2004,"Initial",'Test Runs'!$D$5:$D$2004,"Android",'Test Runs'!$I$5:$I$2004,O90)&gt;0)),"Reconciled","Mismatch"))</x:f>
        <x:v>Pending</x:v>
      </x:c>
      <x:c r="Z90" s="58" t="str">
        <x:f>IF(OR(T90="Not Run",U90="Not Run"),"Pending",IF(AND(OR(T90="Not Applicable",COUNTIFS('Test Runs'!$B$5:$B$2004,A90,'Test Runs'!$C$5:$C$2004,"Retest",'Test Runs'!$D$5:$D$2004,"iOS",'Test Runs'!$I$5:$I$2004,T90)&gt;0),OR(U90="Not Applicable",COUNTIFS('Test Runs'!$B$5:$B$2004,A90,'Test Runs'!$C$5:$C$2004,"Retest",'Test Runs'!$D$5:$D$2004,"Android",'Test Runs'!$I$5:$I$2004,U90)&gt;0)),"Reconciled","Mismatch"))</x:f>
        <x:v>Reconciled</x:v>
      </x:c>
    </x:row>
    <x:row r="91" ht="120" customHeight="1">
      <x:c r="A91" s="58" t="str">
        <x:v>HLT-005</x:v>
      </x:c>
      <x:c r="B91" s="58" t="str">
        <x:v>Progress targets and charts</x:v>
      </x:c>
      <x:c r="C91" s="58" t="str">
        <x:v>Progress chart carousel</x:v>
      </x:c>
      <x:c r="D91" s="58" t="str">
        <x:v>As a user, I want weight/body-fat charts compared with my targets.</x:v>
      </x:c>
      <x:c r="E91" s="58" t="str">
        <x:v>Weight and body-fat charts use raw readings on local-midnight calendar dates, with explicit distinct date ticks rather than an approximate numeric tick count. One/two/three-day windows show their corresponding calendar days; longer windows use at most four ticks including the period endpoints, and daylight-saving changes preserve local midnight. A target adds a dashed goal series across the window and changes delta tone only when movement is meaningfully toward/away from target. Body-fat chart is omitted without readings; chart summaries say started/now/goal using the raw series, while the headline Weight remains the separate EMA described in HLT-003. When the displayed window crosses a calendar-year boundary, axis labels include years; within-year windows keep compact day/month labels.</x:v>
      </x:c>
      <x:c r="F91" s="58" t="str">
        <x:v>iOS, Android</x:v>
      </x:c>
      <x:c r="G91" s="58" t="str">
        <x:v>Metrics with/without body fat; goals above/below current; no-target variant; all-time windows spanning one, two and three calendar days, plus longer windows and daylight-saving boundaries. Include76kg on3 September and75kg on4 September2026 to reproduce the two-day tick case. Include a multi-year window from 1 January 2021 to 1 January 2024 and a Dec 31 to Jan 1 boundary.</x:v>
      </x:c>
      <x:c r="H91" s="58" t="str">
        <x:v>Swipe charts; verify goal line, tooltip/summary, target-relative color and body-fat slide conditionality. Check one-day, two-day and three-day All windows show each distinct date once;3–4 September must label3 Sept and4 Sept. Check a longer window and spring/autumn daylight-saving ranges, then switch ranges and verify ticks update with the period. Compare the raw chart summary with the separately smoothed headline. In a cross-year window, verify each tick shows its year, including distinct 1 Jan 2021/2022/2023/2024 labels for that fixture; return to a within-year range and confirm compact day/month labels.</x:v>
      </x:c>
      <x:c r="I91" s="58" t="str">
        <x:v>Repeat the chart variants and explicit-date tick checks on Android. Preserve the existing build15 two-day duplicate-label evidence; record a new emulator retest only after the calendar-tick follow-up is installed. Repeat cross-year label disambiguation and compact within-year formatting.</x:v>
      </x:c>
      <x:c r="J91" s="58" t="str">
        <x:v>Covered extensively by progressChart.test.ts and ProgressTest.php.</x:v>
      </x:c>
      <x:c r="K91" s="58" t="str">
        <x:v>/Users/mason/Sites/Buff/resources/js/progressChart.ts:20 attachGoal, :28 buildGoalLine, :56 buildWeightChartData, :72 buildBodyFatChartData, :94 chartSummary, :118 deltaTone; /Users/mason/Sites/Buff/resources/js/Components/ProgressTrendChart.vue:30-75 chart series/domain and :91-154 render; /Users/mason/Sites/Buff/resources/js/Pages/Progress.vue:169-213</x:v>
      </x:c>
      <x:c r="L91" s="58" t="str">
        <x:v>Mapped</x:v>
      </x:c>
      <x:c r="M91" s="58" t="str">
        <x:v>Ready</x:v>
      </x:c>
      <x:c r="N91" s="58" t="str">
        <x:v>Not Run</x:v>
      </x:c>
      <x:c r="O91" s="58" t="str">
        <x:v>Blocked</x:v>
      </x:c>
      <x:c r="P91" s="58" t="str">
        <x:v>Android: /Users/mason/.codex/visualizations/2026/09/01/01a05def-1c0d-76d1-abc6-07c63a443582/emulator-runs/initial/android-guest/HLT-003-006-progress-summary.png
/Users/mason/.codex/visualizations/2026/09/01/01a05def-1c0d-76d1-abc6-07c63a443582/emulator-runs/initial/android-guest/progress-observations-batch-020-draft.json — Weight/body-fat chart switches, target series, raw points, and summary copy rendered for the populated target dataset.</x:v>
      </x:c>
      <x:c r="Q91" s="58" t="str">
        <x:v>DEF-016</x:v>
      </x:c>
      <x:c r="R91" s="58" t="str">
        <x:v>In Progress</x:v>
      </x:c>
      <x:c r="S91" s="58" t="str"/>
      <x:c r="T91" s="58" t="str">
        <x:v>Failed</x:v>
      </x:c>
      <x:c r="U91" s="58" t="str">
        <x:v>Failed</x:v>
      </x:c>
      <x:c r="V91" s="58" t="str">
        <x:v>Android: /Users/mason/.codex/visualizations/2026/09/01/01a05def-1c0d-76d1-abc6-07c63a443582/emulator-runs/retest/android/HLT-005-single-day-all.json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/Users/mason/.codex/visualizations/2026/09/01/01a05def-1c0d-76d1-abc6-07c63a443582/emulator-runs/retest/android/HLT-005-two-day-axis.png — The one-day weight chart showed one4 Sept tick. With3 September76kg and4 September75kg, both weight/body-fat charts showed duplicate3 Sept labels after settling. The weight series and summary correctly showed76kg to75kg. The body-fat chart appeared after the historical20% reading and its summary showed20% to20%. The duplicate date labels reproduce DEF-016.
iOS: /Users/mason/.codex/visualizations/2026/09/01/01a05def-1c0d-76d1-abc6-07c63a443582/emulator-runs/retest/ios/HLT-005-all-two-day-duplicate-ticks.png
/Users/mason/.codex/visualizations/2026/09/01/01a05def-1c0d-76d1-abc6-07c63a443582/emulator-runs/retest/ios/HLT-009-011-progress-observations.json — All-time domainSep3–4 produces two3Sep labels on both chart axes, reproducing known short-domain defect. Weight/Body fat segmented controls change selection correctly; summaries show Started at76kg, now75kg and Started at20%, now20%.</x:v>
      </x:c>
      <x:c r="W91" s="58" t="str">
        <x:f>IF(AND(OR(N91="Passed",N91="Failed",N91="Not Applicable"),OR(O91="Passed",O91="Failed",O91="Not Applicable"),OR(N91="Passed",N91="Failed",O91="Passed",O91="Failed"),OR(T91="Passed",T91="Not Applicable"),OR(U91="Passed",U91="Not Applicable"),OR(T91="Passed",U91="Passed"),Y91="Reconciled",Z91="Reconciled",IF(Q91&lt;&gt;"",R91="Fixed",TRUE)),"Verified",IF(OR(T91="Failed",U91="Failed"),"Retest Failed",IF(OR(N91="Failed",O91="Failed",Q91&lt;&gt;""),"Defect Found",IF(AND(OR(N91="Passed",N91="Not Applicable"),OR(O91="Passed",O91="Not Applicable"),OR(N91="Passed",O91="Passed")),"Initial Pass","Not Complete"))))</x:f>
        <x:v>Retest Failed</x:v>
      </x:c>
      <x:c r="X91" s="58" t="str">
        <x:v>Low; visual chart rendering still needs emulator validation.</x:v>
      </x:c>
      <x:c r="Y91" s="58" t="str">
        <x:f>IF(OR(N91="Not Run",O91="Not Run"),"Pending",IF(AND(OR(N91="Not Applicable",COUNTIFS('Test Runs'!$B$5:$B$2004,A91,'Test Runs'!$C$5:$C$2004,"Initial",'Test Runs'!$D$5:$D$2004,"iOS",'Test Runs'!$I$5:$I$2004,N91)&gt;0),OR(O91="Not Applicable",COUNTIFS('Test Runs'!$B$5:$B$2004,A91,'Test Runs'!$C$5:$C$2004,"Initial",'Test Runs'!$D$5:$D$2004,"Android",'Test Runs'!$I$5:$I$2004,O91)&gt;0)),"Reconciled","Mismatch"))</x:f>
        <x:v>Pending</x:v>
      </x:c>
      <x:c r="Z91" s="58" t="str">
        <x:f>IF(OR(T91="Not Run",U91="Not Run"),"Pending",IF(AND(OR(T91="Not Applicable",COUNTIFS('Test Runs'!$B$5:$B$2004,A91,'Test Runs'!$C$5:$C$2004,"Retest",'Test Runs'!$D$5:$D$2004,"iOS",'Test Runs'!$I$5:$I$2004,T91)&gt;0),OR(U91="Not Applicable",COUNTIFS('Test Runs'!$B$5:$B$2004,A91,'Test Runs'!$C$5:$C$2004,"Retest",'Test Runs'!$D$5:$D$2004,"Android",'Test Runs'!$I$5:$I$2004,U91)&gt;0)),"Reconciled","Mismatch"))</x:f>
        <x:v>Reconciled</x:v>
      </x:c>
    </x:row>
    <x:row r="92" ht="120" customHeight="1">
      <x:c r="A92" s="58" t="str">
        <x:v>HLT-006</x:v>
      </x:c>
      <x:c r="B92" s="58" t="str">
        <x:v>Body measurements</x:v>
      </x:c>
      <x:c r="C92" s="58" t="str">
        <x:v>Progress -&gt; Body measurements and check-in form</x:v>
      </x:c>
      <x:c r="D92" s="58" t="str">
        <x:v>As a user, I want to track chest, waist, hips, upper arm, and thigh measurements.</x:v>
      </x:c>
      <x:c r="E92" s="58" t="str">
        <x:v>Each field accepts 1–500 cm canonical values; Progress shows the latest non-null value and delta from the prior non-null value across all history, independent of selected range; missing fields are omitted from an update rather than cleared.</x:v>
      </x:c>
      <x:c r="F92" s="58" t="str">
        <x:v>iOS, Android</x:v>
      </x:c>
      <x:c r="G92" s="58" t="str">
        <x:v>Metrics with staggered null/non-null measurements.</x:v>
      </x:c>
      <x:c r="H92" s="58" t="str">
        <x:v>Enter each field on different dates; verify latest/delta; update a date while leaving a measurement blank and verify old value remains.</x:v>
      </x:c>
      <x:c r="I92" s="58" t="str">
        <x:v>Repeat.</x:v>
      </x:c>
      <x:c r="J92" s="58" t="str">
        <x:v>Covered: ProgressTest.php “validates body measurements”, create/update, measurement reload; buff-server SyncTest.php “stores body measurements in canonical centimeters”.</x:v>
      </x:c>
      <x:c r="K92" s="58" t="str">
        <x:v>/Users/mason/Sites/Buff/app/Http/Controllers/ProgressController.php:21 MEASUREMENT_FIELDS, :102 validation, :114 selective update, :201 measurementSummary; /Users/mason/Sites/Buff/database/migrations/2026_08_23_141253_add_measurements_to_body_metrics_table.php</x:v>
      </x:c>
      <x:c r="L92" s="58" t="str">
        <x:v>Mapped</x:v>
      </x:c>
      <x:c r="M92" s="58" t="str">
        <x:v>Ready</x:v>
      </x:c>
      <x:c r="N92" s="58" t="str">
        <x:v>Not Run</x:v>
      </x:c>
      <x:c r="O92" s="58" t="str">
        <x:v>Passed</x:v>
      </x:c>
      <x:c r="P92" s="58" t="str">
        <x:v>Android: /Users/mason/.codex/visualizations/2026/09/01/01a05def-1c0d-76d1-abc6-07c63a443582/emulator-runs/initial/android-guest/HLT-003-006-progress-summary.png
/Users/mason/.codex/visualizations/2026/09/01/01a05def-1c0d-76d1-abc6-07c63a443582/emulator-runs/initial/android-guest/progress-observations-batch-020-draft.json — All five measurement fields saved across staggered dates, latest non-null values and deltas rendered, and the 501 cm boundary was rejected.</x:v>
      </x:c>
      <x:c r="Q92" s="58" t="str"/>
      <x:c r="R92" s="58" t="str">
        <x:v>Not Needed</x:v>
      </x:c>
      <x:c r="S92" s="58" t="str"/>
      <x:c r="T92" s="58" t="str">
        <x:v>Blocked</x:v>
      </x:c>
      <x:c r="U92" s="58" t="str">
        <x:v>Not Run</x:v>
      </x:c>
      <x:c r="V92" s="58" t="str">
        <x:v>iOS: /Users/mason/.codex/visualizations/2026/09/01/01a05def-1c0d-76d1-abc6-07c63a443582/emulator-runs/retest/ios/HLT-009-sep3-full-measurements.png
/Users/mason/.codex/visualizations/2026/09/01/01a05def-1c0d-76d1-abc6-07c63a443582/emulator-runs/retest/ios/HLT-009-011-progress-observations.json — Measurement cards use Sep3non-null values100/85/100/35/55cm despite latestSep4all-null measurements. Each reports First entry. Expanding the historical form reveals all five matching values.</x:v>
      </x:c>
      <x:c r="W92" s="58" t="str">
        <x:f>IF(AND(OR(N92="Passed",N92="Failed",N92="Not Applicable"),OR(O92="Passed",O92="Failed",O92="Not Applicable"),OR(N92="Passed",N92="Failed",O92="Passed",O92="Failed"),OR(T92="Passed",T92="Not Applicable"),OR(U92="Passed",U92="Not Applicable"),OR(T92="Passed",U92="Passed"),Y92="Reconciled",Z92="Reconciled",IF(Q92&lt;&gt;"",R92="Fixed",TRUE)),"Verified",IF(OR(T92="Failed",U92="Failed"),"Retest Failed",IF(OR(N92="Failed",O92="Failed",Q92&lt;&gt;""),"Defect Found",IF(AND(OR(N92="Passed",N92="Not Applicable"),OR(O92="Passed",O92="Not Applicable"),OR(N92="Passed",O92="Passed")),"Initial Pass","Not Complete"))))</x:f>
        <x:v>Not Complete</x:v>
      </x:c>
      <x:c r="X92" s="58" t="str">
        <x:v>Risk: blank body-fat/notes clear old values on same-date update, while blank measurements preserve old values; this inconsistent semantics is not explained.</x:v>
      </x:c>
      <x:c r="Y92" s="58" t="str">
        <x:f>IF(OR(N92="Not Run",O92="Not Run"),"Pending",IF(AND(OR(N92="Not Applicable",COUNTIFS('Test Runs'!$B$5:$B$2004,A92,'Test Runs'!$C$5:$C$2004,"Initial",'Test Runs'!$D$5:$D$2004,"iOS",'Test Runs'!$I$5:$I$2004,N92)&gt;0),OR(O92="Not Applicable",COUNTIFS('Test Runs'!$B$5:$B$2004,A92,'Test Runs'!$C$5:$C$2004,"Initial",'Test Runs'!$D$5:$D$2004,"Android",'Test Runs'!$I$5:$I$2004,O92)&gt;0)),"Reconciled","Mismatch"))</x:f>
        <x:v>Pending</x:v>
      </x:c>
      <x:c r="Z92" s="58" t="str">
        <x:f>IF(OR(T92="Not Run",U92="Not Run"),"Pending",IF(AND(OR(T92="Not Applicable",COUNTIFS('Test Runs'!$B$5:$B$2004,A92,'Test Runs'!$C$5:$C$2004,"Retest",'Test Runs'!$D$5:$D$2004,"iOS",'Test Runs'!$I$5:$I$2004,T92)&gt;0),OR(U92="Not Applicable",COUNTIFS('Test Runs'!$B$5:$B$2004,A92,'Test Runs'!$C$5:$C$2004,"Retest",'Test Runs'!$D$5:$D$2004,"Android",'Test Runs'!$I$5:$I$2004,U92)&gt;0)),"Reconciled","Mismatch"))</x:f>
        <x:v>Pending</x:v>
      </x:c>
    </x:row>
    <x:row r="93" ht="120" customHeight="1">
      <x:c r="A93" s="58" t="str">
        <x:v>HLT-007</x:v>
      </x:c>
      <x:c r="B93" s="58" t="str">
        <x:v>Body units</x:v>
      </x:c>
      <x:c r="C93" s="58" t="str">
        <x:v>Settings -&gt; Units; Progress/Goals/Body profile</x:v>
      </x:c>
      <x:c r="D93" s="58" t="str">
        <x:v>As a user, I want weight, height, and circumference displayed in my preferred units.</x:v>
      </x:c>
      <x:c r="E93" s="58" t="str">
        <x:v>Canonical storage/sync uses kg and cm; UI converts kg/lb, cm/in, and height cm or feet+inches, rounded for display/form; onboarding sets measurement unit equal to chosen height unit; unit changes update all progress/goal/profile displays.</x:v>
      </x:c>
      <x:c r="F93" s="58" t="str">
        <x:v>iOS, Android</x:v>
      </x:c>
      <x:c r="G93" s="58" t="str">
        <x:v>Known values such as 100 kg, 180 cm, 100 cm circumference.</x:v>
      </x:c>
      <x:c r="H93" s="58" t="str">
        <x:v>Switch kg/cm/cm to lb/in/in; verify forms, charts, targets, BMI and round-trip save retain canonical values.</x:v>
      </x:c>
      <x:c r="I93" s="58" t="str">
        <x:v>Repeat.</x:v>
      </x:c>
      <x:c r="J93" s="58" t="str">
        <x:v>Covered: bodyUnits.test.ts; SettingsTest.php units tests; server SyncTest.php canonical-centimeter test.</x:v>
      </x:c>
      <x:c r="K93" s="58" t="str">
        <x:v>/Users/mason/Sites/Buff/resources/js/bodyUnits.ts; /Users/mason/Sites/Buff/app/Http/Controllers/SettingsController.php:140 updateUnits; /Users/mason/Sites/Buff/config/buff.php:23 sync_models; /Users/mason/Sites/buff-server/config/buff.php:41 sync_rules</x:v>
      </x:c>
      <x:c r="L93" s="58" t="str">
        <x:v>Mapped</x:v>
      </x:c>
      <x:c r="M93" s="58" t="str">
        <x:v>Ready</x:v>
      </x:c>
      <x:c r="N93" s="58" t="str">
        <x:v>Not Run</x:v>
      </x:c>
      <x:c r="O93" s="58" t="str">
        <x:v>Failed</x:v>
      </x:c>
      <x:c r="P93" s="58" t="str">
        <x:v>Android: /Users/mason/.codex/visualizations/2026/09/01/01a05def-1c0d-76d1-abc6-07c63a443582/emulator-runs/initial/android-guest/dom-observations-batch-014.json — Metric and imperial display controls worked, but onboarding's 180 cm to feet/inches to centimetres round trip changed the canonical height to 180.1 cm.</x:v>
      </x:c>
      <x:c r="Q93" s="58" t="str">
        <x:v>DEF-038</x:v>
      </x:c>
      <x:c r="R93" s="58" t="str">
        <x:v>In Progress</x:v>
      </x:c>
      <x:c r="S93" s="58" t="str"/>
      <x:c r="T93" s="58" t="str">
        <x:v>Not Run</x:v>
      </x:c>
      <x:c r="U93" s="58" t="str">
        <x:v>Not Run</x:v>
      </x:c>
      <x:c r="V93" s="58" t="str"/>
      <x:c r="W93" s="58" t="str">
        <x:f>IF(AND(OR(N93="Passed",N93="Failed",N93="Not Applicable"),OR(O93="Passed",O93="Failed",O93="Not Applicable"),OR(N93="Passed",N93="Failed",O93="Passed",O93="Failed"),OR(T93="Passed",T93="Not Applicable"),OR(U93="Passed",U93="Not Applicable"),OR(T93="Passed",U93="Passed"),Y93="Reconciled",Z93="Reconciled",IF(Q93&lt;&gt;"",R93="Fixed",TRUE)),"Verified",IF(OR(T93="Failed",U93="Failed"),"Retest Failed",IF(OR(N93="Failed",O93="Failed",Q93&lt;&gt;""),"Defect Found",IF(AND(OR(N93="Passed",N93="Not Applicable"),OR(O93="Passed",O93="Not Applicable"),OR(N93="Passed",O93="Passed")),"Initial Pass","Not Complete"))))</x:f>
        <x:v>Defect Found</x:v>
      </x:c>
      <x:c r="X93" s="58" t="str">
        <x:v>Risk: repeated one-decimal conversions can introduce small round-trip changes.</x:v>
      </x:c>
      <x:c r="Y93" s="58" t="str">
        <x:f>IF(OR(N93="Not Run",O93="Not Run"),"Pending",IF(AND(OR(N93="Not Applicable",COUNTIFS('Test Runs'!$B$5:$B$2004,A93,'Test Runs'!$C$5:$C$2004,"Initial",'Test Runs'!$D$5:$D$2004,"iOS",'Test Runs'!$I$5:$I$2004,N93)&gt;0),OR(O93="Not Applicable",COUNTIFS('Test Runs'!$B$5:$B$2004,A93,'Test Runs'!$C$5:$C$2004,"Initial",'Test Runs'!$D$5:$D$2004,"Android",'Test Runs'!$I$5:$I$2004,O93)&gt;0)),"Reconciled","Mismatch"))</x:f>
        <x:v>Pending</x:v>
      </x:c>
      <x:c r="Z93" s="58" t="str">
        <x:f>IF(OR(T93="Not Run",U93="Not Run"),"Pending",IF(AND(OR(T93="Not Applicable",COUNTIFS('Test Runs'!$B$5:$B$2004,A93,'Test Runs'!$C$5:$C$2004,"Retest",'Test Runs'!$D$5:$D$2004,"iOS",'Test Runs'!$I$5:$I$2004,T93)&gt;0),OR(U93="Not Applicable",COUNTIFS('Test Runs'!$B$5:$B$2004,A93,'Test Runs'!$C$5:$C$2004,"Retest",'Test Runs'!$D$5:$D$2004,"Android",'Test Runs'!$I$5:$I$2004,U93)&gt;0)),"Reconciled","Mismatch"))</x:f>
        <x:v>Pending</x:v>
      </x:c>
    </x:row>
    <x:row r="94" ht="120" customHeight="1">
      <x:c r="A94" s="58" t="str">
        <x:v>HLT-008</x:v>
      </x:c>
      <x:c r="B94" s="58" t="str">
        <x:v>Body metric logging</x:v>
      </x:c>
      <x:c r="C94" s="58" t="str">
        <x:v>Progress -&gt; Save check-in</x:v>
      </x:c>
      <x:c r="D94" s="58" t="str">
        <x:v>As a user, I want to create a dated progress check-in.</x:v>
      </x:c>
      <x:c r="E94" s="58" t="str">
        <x:v>A check-in stores date-at-start-of-day, weight, optional body fat, measurements, and notes; one local row exists per date; success redirects to the same selected range with “Progress updated.”</x:v>
      </x:c>
      <x:c r="F94" s="58" t="str">
        <x:v>iOS, Android</x:v>
      </x:c>
      <x:c r="G94" s="58" t="str">
        <x:v>Valid date/weight and optional fields.</x:v>
      </x:c>
      <x:c r="H94" s="58" t="str">
        <x:v>Save a complete check-in; verify history, summary, charts, and retained range.</x:v>
      </x:c>
      <x:c r="I94" s="58" t="str">
        <x:v>Repeat.</x:v>
      </x:c>
      <x:c r="J94" s="58" t="str">
        <x:v>Covered: ProgressTest.php “creates and updates a body metric for a date” and database uniqueness test.</x:v>
      </x:c>
      <x:c r="K94" s="58" t="str">
        <x:v>/Users/mason/Sites/Buff/app/Http/Controllers/ProgressController.php:94 ProgressController::store; /Users/mason/Sites/Buff/app/Models/BodyMetric.php; /Users/mason/Sites/Buff/database/migrations/2026_08_25_191658_add_unique_date_to_body_metrics_table.php:11</x:v>
      </x:c>
      <x:c r="L94" s="58" t="str">
        <x:v>Mapped</x:v>
      </x:c>
      <x:c r="M94" s="58" t="str">
        <x:v>Ready</x:v>
      </x:c>
      <x:c r="N94" s="58" t="str">
        <x:v>Not Run</x:v>
      </x:c>
      <x:c r="O94" s="58" t="str">
        <x:v>Passed</x:v>
      </x:c>
      <x:c r="P94" s="58" t="str">
        <x:v>Android: /Users/mason/.codex/visualizations/2026/09/01/01a05def-1c0d-76d1-abc6-07c63a443582/emulator-runs/initial/android-guest/progress-observations-batch-020-draft.json — Complete dated check-ins saved once per date, appeared in history, and updated summaries and charts.</x:v>
      </x:c>
      <x:c r="Q94" s="58" t="str"/>
      <x:c r="R94" s="58" t="str">
        <x:v>Not Needed</x:v>
      </x:c>
      <x:c r="S94" s="58" t="str"/>
      <x:c r="T94" s="58" t="str">
        <x:v>Not Run</x:v>
      </x:c>
      <x:c r="U94" s="58" t="str">
        <x:v>Not Run</x:v>
      </x:c>
      <x:c r="V94" s="58" t="str"/>
      <x:c r="W94" s="58" t="str">
        <x:f>IF(AND(OR(N94="Passed",N94="Failed",N94="Not Applicable"),OR(O94="Passed",O94="Failed",O94="Not Applicable"),OR(N94="Passed",N94="Failed",O94="Passed",O94="Failed"),OR(T94="Passed",T94="Not Applicable"),OR(U94="Passed",U94="Not Applicable"),OR(T94="Passed",U94="Passed"),Y94="Reconciled",Z94="Reconciled",IF(Q94&lt;&gt;"",R94="Fixed",TRUE)),"Verified",IF(OR(T94="Failed",U94="Failed"),"Retest Failed",IF(OR(N94="Failed",O94="Failed",Q94&lt;&gt;""),"Defect Found",IF(AND(OR(N94="Passed",N94="Not Applicable"),OR(O94="Passed",O94="Not Applicable"),OR(N94="Passed",O94="Passed")),"Initial Pass","Not Complete"))))</x:f>
        <x:v>Not Complete</x:v>
      </x:c>
      <x:c r="X94" s="58" t="str">
        <x:v>Low.</x:v>
      </x:c>
      <x:c r="Y94" s="58" t="str">
        <x:f>IF(OR(N94="Not Run",O94="Not Run"),"Pending",IF(AND(OR(N94="Not Applicable",COUNTIFS('Test Runs'!$B$5:$B$2004,A94,'Test Runs'!$C$5:$C$2004,"Initial",'Test Runs'!$D$5:$D$2004,"iOS",'Test Runs'!$I$5:$I$2004,N94)&gt;0),OR(O94="Not Applicable",COUNTIFS('Test Runs'!$B$5:$B$2004,A94,'Test Runs'!$C$5:$C$2004,"Initial",'Test Runs'!$D$5:$D$2004,"Android",'Test Runs'!$I$5:$I$2004,O94)&gt;0)),"Reconciled","Mismatch"))</x:f>
        <x:v>Pending</x:v>
      </x:c>
      <x:c r="Z94" s="58" t="str">
        <x:f>IF(OR(T94="Not Run",U94="Not Run"),"Pending",IF(AND(OR(T94="Not Applicable",COUNTIFS('Test Runs'!$B$5:$B$2004,A94,'Test Runs'!$C$5:$C$2004,"Retest",'Test Runs'!$D$5:$D$2004,"iOS",'Test Runs'!$I$5:$I$2004,T94)&gt;0),OR(U94="Not Applicable",COUNTIFS('Test Runs'!$B$5:$B$2004,A94,'Test Runs'!$C$5:$C$2004,"Retest",'Test Runs'!$D$5:$D$2004,"Android",'Test Runs'!$I$5:$I$2004,U94)&gt;0)),"Reconciled","Mismatch"))</x:f>
        <x:v>Pending</x:v>
      </x:c>
    </x:row>
    <x:row r="95" ht="120" customHeight="1">
      <x:c r="A95" s="58" t="str">
        <x:v>HLT-009</x:v>
      </x:c>
      <x:c r="B95" s="58" t="str">
        <x:v>Same-day metric update</x:v>
      </x:c>
      <x:c r="C95" s="58" t="str">
        <x:v>Progress form with an existing date</x:v>
      </x:c>
      <x:c r="D95" s="58" t="str">
        <x:v>As a user, I want saving the same date to update rather than duplicate it.</x:v>
      </x:c>
      <x:c r="E95" s="58" t="str">
        <x:v>Changing the selected date clears stale form values, errors and selected photos, then loads every field for that date or an empty form if none exists. Editing and Save are disabled during loading and after failure, with a Retry loading check-in action. On save, updateOrCreate keys on date: weight changes, omitted body-fat/notes become null, and only supplied measurement keys change; the unique date index prevents duplicates.</x:v>
      </x:c>
      <x:c r="F95" s="58" t="str">
        <x:v>iOS, Android</x:v>
      </x:c>
      <x:c r="G95" s="58" t="str">
        <x:v>Existing metric containing every optional field.</x:v>
      </x:c>
      <x:c r="H95" s="58" t="str">
        <x:v>Switch between populated and empty dates, including outside the visible history range; verify every field hydrates without previous-date leakage. Delay/fail the date load and verify editing/Save stay locked until Retry succeeds. Then clear optional values, save, and verify body-fat/notes clear but blank measurements retain old values.</x:v>
      </x:c>
      <x:c r="I95" s="58" t="str">
        <x:v>Repeat date hydration, rapid date switching, delayed/failed load and retry on Android; save twice and verify no duplicate date row.</x:v>
      </x:c>
      <x:c r="J95" s="58" t="str">
        <x:v>Covered: ProgressTest.php create/update and one-per-date tests.</x:v>
      </x:c>
      <x:c r="K95" s="58" t="str">
        <x:v>/Users/mason/Sites/Buff/app/Http/Controllers/ProgressController.php:114-126; /Users/mason/Sites/Buff/database/migrations/2026_08_25_191657_reconcile_duplicate_body_metrics.php:10; /Users/mason/Sites/Buff/database/migrations/2026_08_25_191658_add_unique_date_to_body_metrics_table.php:11</x:v>
      </x:c>
      <x:c r="L95" s="58" t="str">
        <x:v>Mapped</x:v>
      </x:c>
      <x:c r="M95" s="58" t="str">
        <x:v>Ready</x:v>
      </x:c>
      <x:c r="N95" s="58" t="str">
        <x:v>Not Run</x:v>
      </x:c>
      <x:c r="O95" s="58" t="str">
        <x:v>Failed</x:v>
      </x:c>
      <x:c r="P95" s="58" t="str">
        <x:v>Android: /Users/mason/.codex/visualizations/2026/09/01/01a05def-1c0d-76d1-abc6-07c63a443582/emulator-runs/initial/android-guest/progress-observations-batch-020-draft.json — Selecting a historical date kept today's optional values and saving a weight edit overwrote the older body fat, measurements, and notes.</x:v>
      </x:c>
      <x:c r="Q95" s="58" t="str">
        <x:v>DEF-060</x:v>
      </x:c>
      <x:c r="R95" s="58" t="str">
        <x:v>Fixed</x:v>
      </x:c>
      <x:c r="S95" s="58" t="str"/>
      <x:c r="T95" s="58" t="str">
        <x:v>Blocked</x:v>
      </x:c>
      <x:c r="U95" s="58" t="str">
        <x:v>Blocked</x:v>
      </x:c>
      <x:c r="V95" s="58" t="str">
        <x:v>Android: /Users/mason/.codex/visualizations/2026/09/01/01a05def-1c0d-76d1-abc6-07c63a443582/emulator-runs/retest/android/HLT-009-today-hydrated.json
/Users/mason/.codex/visualizations/2026/09/01/01a05def-1c0d-76d1-abc6-07c63a443582/emulator-runs/retest/android/HLT-009-empty-date-clears.json
/Users/mason/.codex/visualizations/2026/09/01/01a05def-1c0d-76d1-abc6-07c63a443582/emulator-runs/retest/android/HLT-009-history-before-save.json
/Users/mason/.codex/visualizations/2026/09/01/01a05def-1c0d-76d1-abc6-07c63a443582/emulator-runs/retest/android/HLT-009-history-saved.json
/Users/mason/.codex/visualizations/2026/09/01/01a05def-1c0d-76d1-abc6-07c63a443582/emulator-runs/retest/android/HLT-009-return-today-clears-history.json
/Users/mason/.codex/visualizations/2026/09/01/01a05def-1c0d-76d1-abc6-07c63a443582/emulator-runs/retest/android/HLT-009-history-rehydrated.json
/Users/mason/.codex/visualizations/2026/09/01/01a05def-1c0d-76d1-abc6-07c63a443582/emulator-runs/retest/android/HLT-009-existing-date-update-settled.json — Partial success:4 September hydrated75kg with optional fields blank; selecting an empty3 September cleared all editable values. Saving3 September76kg,20% and QA historical check-in created the historical row while retaining All. Returning to4 September restored75kg and cleared historical optional values; returning to3 September restored76kg,20% and notes. Updating3 September with chest100, waist85, hips100, upper arm35 and thigh55 completed with the existing historical UUID01a06be8-b36e-72e4-9a04-3795ed7a59db, exactly two history rows, All retained, Save enabled, no sync error and pending0. The4 September row remained75kg with optional fields null.
iOS: /Users/mason/.codex/visualizations/2026/09/01/01a05def-1c0d-76d1-abc6-07c63a443582/emulator-runs/retest/ios/HLT-009-sep3-full-measurements.png
/Users/mason/.codex/visualizations/2026/09/01/01a05def-1c0d-76d1-abc6-07c63a443582/emulator-runs/retest/ios/HLT-009-011-progress-observations.json — Sep3loads76kg,20%,all five measurements and notes. Sep2with no record, outside visible All range, clears every actual value; placeholders remain distinct. Sep4loads75kg and empty optional fields. RapidSep3→Sep2→Sep3 ends with completeSep3 values and no error. Future-date load failure locks all fields/Save; selecting validSep4 recovers. RestoredSep4 and90range.
Android: /Users/mason/.codex/visualizations/2026/09/06/01a07722-2d43-7910-aa74-f3a7d9489dc2/release-qa/DEF-060-historical-hydration.json
/Users/mason/.codex/visualizations/2026/09/06/01a07722-2d43-7910-aa74-f3a7d9489dc2/release-qa/DEF-060-android-after-weight-edit.json — Narrow defect Passed: selected historical date hydrated all fields. Weight-only save76.1 retained bodyfat20, measurements100/85/100/35/55 and QA notes. Restored original76. No duplicate date created. Delayed/failed lookup, rapid races and optional clearing remain deferred.
iOS: /Users/mason/.codex/visualizations/2026/09/06/01a07722-2d43-7910-aa74-f3a7d9489dc2/release-qa/DEF-060-ios-historical-saved.png — Narrow defect Passed: native date picker selected September3; form restored76kg/20% and QA historical notes. Saving retained historical row and notes. Native UI only, no remote inspector. Broader lookup race/retry/clear combinations deferred.</x:v>
      </x:c>
      <x:c r="W95" s="58" t="str">
        <x:f>IF(AND(OR(N95="Passed",N95="Failed",N95="Not Applicable"),OR(O95="Passed",O95="Failed",O95="Not Applicable"),OR(N95="Passed",N95="Failed",O95="Passed",O95="Failed"),OR(T95="Passed",T95="Not Applicable"),OR(U95="Passed",U95="Not Applicable"),OR(T95="Passed",U95="Passed"),Y95="Reconciled",Z95="Reconciled",IF(Q95&lt;&gt;"",R95="Fixed",TRUE)),"Verified",IF(OR(T95="Failed",U95="Failed"),"Retest Failed",IF(OR(N95="Failed",O95="Failed",Q95&lt;&gt;""),"Defect Found",IF(AND(OR(N95="Passed",N95="Not Applicable"),OR(O95="Passed",O95="Not Applicable"),OR(N95="Passed",O95="Passed")),"Initial Pass","Not Complete"))))</x:f>
        <x:v>Defect Found</x:v>
      </x:c>
      <x:c r="X95" s="58" t="str">
        <x:v>Likely UX defect: the form only preloads today’s metric, so selecting an older date does not load that row and saving can unintentionally clear its body-fat/notes.</x:v>
      </x:c>
      <x:c r="Y95" s="58" t="str">
        <x:f>IF(OR(N95="Not Run",O95="Not Run"),"Pending",IF(AND(OR(N95="Not Applicable",COUNTIFS('Test Runs'!$B$5:$B$2004,A95,'Test Runs'!$C$5:$C$2004,"Initial",'Test Runs'!$D$5:$D$2004,"iOS",'Test Runs'!$I$5:$I$2004,N95)&gt;0),OR(O95="Not Applicable",COUNTIFS('Test Runs'!$B$5:$B$2004,A95,'Test Runs'!$C$5:$C$2004,"Initial",'Test Runs'!$D$5:$D$2004,"Android",'Test Runs'!$I$5:$I$2004,O95)&gt;0)),"Reconciled","Mismatch"))</x:f>
        <x:v>Pending</x:v>
      </x:c>
      <x:c r="Z95" s="58" t="str">
        <x:f>IF(OR(T95="Not Run",U95="Not Run"),"Pending",IF(AND(OR(T95="Not Applicable",COUNTIFS('Test Runs'!$B$5:$B$2004,A95,'Test Runs'!$C$5:$C$2004,"Retest",'Test Runs'!$D$5:$D$2004,"iOS",'Test Runs'!$I$5:$I$2004,T95)&gt;0),OR(U95="Not Applicable",COUNTIFS('Test Runs'!$B$5:$B$2004,A95,'Test Runs'!$C$5:$C$2004,"Retest",'Test Runs'!$D$5:$D$2004,"Android",'Test Runs'!$I$5:$I$2004,U95)&gt;0)),"Reconciled","Mismatch"))</x:f>
        <x:v>Reconciled</x:v>
      </x:c>
    </x:row>
    <x:row r="96" ht="120" customHeight="1">
      <x:c r="A96" s="58" t="str">
        <x:v>HLT-010</x:v>
      </x:c>
      <x:c r="B96" s="58" t="str">
        <x:v>Weight carry-forward</x:v>
      </x:c>
      <x:c r="C96" s="58" t="str">
        <x:v>Progress check-in with blank weight</x:v>
      </x:c>
      <x:c r="D96" s="58" t="str">
        <x:v>As a user logging only measurements, I want my latest weight reused.</x:v>
      </x:c>
      <x:c r="E96" s="58" t="str">
        <x:v>If weight is empty on save, the server injects the weight from the most recent dated metric and validates it against 20-1000 kg. Without prior weight, required validation fails. An out-of-range legacy fallback is rejected without changing that stored measurement. Selecting an existing date loads its stored weight. For a new empty date, the form can use the latest weight as a placeholder/fallback.</x:v>
      </x:c>
      <x:c r="F96" s="58" t="str">
        <x:v>iOS, Android</x:v>
      </x:c>
      <x:c r="G96" s="58" t="str">
        <x:v>A prior metric within 20-1000 kg, a no-prior-metric variant, and an isolated legacy below 20 kg prior metric.</x:v>
      </x:c>
      <x:c r="H96" s="58" t="str">
        <x:v>Select an existing date and verify its weight loads. Select a new date, leave weight blank and add waist, and verify the latest valid weight is stored. On a clean account verify required validation. With an out-of-range legacy fallback, verify validation requests a valid weight and preserves the original record.</x:v>
      </x:c>
      <x:c r="I96" s="58" t="str">
        <x:v>Repeat valid carry-forward, no-prior-weight and invalid legacy-fallback cases on Android.</x:v>
      </x:c>
      <x:c r="J96" s="58" t="str">
        <x:v>Covered: ProgressTest.php “uses the most recent weight when the weight field is empty”.</x:v>
      </x:c>
      <x:c r="K96" s="58" t="str">
        <x:v>/Users/mason/Sites/Buff/app/Http/Controllers/ProgressController.php:96-100; /Users/mason/Sites/Buff/resources/js/Pages/Progress.vue:151 previousWeight, :981 weight input</x:v>
      </x:c>
      <x:c r="L96" s="58" t="str">
        <x:v>Mapped</x:v>
      </x:c>
      <x:c r="M96" s="58" t="str">
        <x:v>Ready</x:v>
      </x:c>
      <x:c r="N96" s="58" t="str">
        <x:v>Not Run</x:v>
      </x:c>
      <x:c r="O96" s="58" t="str">
        <x:v>Passed</x:v>
      </x:c>
      <x:c r="P96" s="58" t="str">
        <x:v>Android: /Users/mason/.codex/visualizations/2026/09/01/01a05def-1c0d-76d1-abc6-07c63a443582/emulator-runs/initial/android-guest/progress-observations-batch-020-draft.json — Blank weight plus waist 94 cm saved using the latest 80 kg weight.</x:v>
      </x:c>
      <x:c r="Q96" s="58" t="str">
        <x:v>DEF-084</x:v>
      </x:c>
      <x:c r="R96" s="58" t="str">
        <x:v>Fixed</x:v>
      </x:c>
      <x:c r="S96" s="58" t="str"/>
      <x:c r="T96" s="58" t="str">
        <x:v>Not Run</x:v>
      </x:c>
      <x:c r="U96" s="58" t="str">
        <x:v>Not Run</x:v>
      </x:c>
      <x:c r="V96" s="58" t="str"/>
      <x:c r="W96" s="58" t="str">
        <x:f>IF(AND(OR(N96="Passed",N96="Failed",N96="Not Applicable"),OR(O96="Passed",O96="Failed",O96="Not Applicable"),OR(N96="Passed",N96="Failed",O96="Passed",O96="Failed"),OR(T96="Passed",T96="Not Applicable"),OR(U96="Passed",U96="Not Applicable"),OR(T96="Passed",U96="Passed"),Y96="Reconciled",Z96="Reconciled",IF(Q96&lt;&gt;"",R96="Fixed",TRUE)),"Verified",IF(OR(T96="Failed",U96="Failed"),"Retest Failed",IF(OR(N96="Failed",O96="Failed",Q96&lt;&gt;""),"Defect Found",IF(AND(OR(N96="Passed",N96="Not Applicable"),OR(O96="Passed",O96="Not Applicable"),OR(N96="Passed",O96="Passed")),"Initial Pass","Not Complete"))))</x:f>
        <x:v>Defect Found</x:v>
      </x:c>
      <x:c r="X96" s="58" t="str">
        <x:v>Risk: placeholder may look like a selected value even though the server silently copies it.</x:v>
      </x:c>
      <x:c r="Y96" s="58" t="str">
        <x:f>IF(OR(N96="Not Run",O96="Not Run"),"Pending",IF(AND(OR(N96="Not Applicable",COUNTIFS('Test Runs'!$B$5:$B$2004,A96,'Test Runs'!$C$5:$C$2004,"Initial",'Test Runs'!$D$5:$D$2004,"iOS",'Test Runs'!$I$5:$I$2004,N96)&gt;0),OR(O96="Not Applicable",COUNTIFS('Test Runs'!$B$5:$B$2004,A96,'Test Runs'!$C$5:$C$2004,"Initial",'Test Runs'!$D$5:$D$2004,"Android",'Test Runs'!$I$5:$I$2004,O96)&gt;0)),"Reconciled","Mismatch"))</x:f>
        <x:v>Pending</x:v>
      </x:c>
      <x:c r="Z96" s="58" t="str">
        <x:f>IF(OR(T96="Not Run",U96="Not Run"),"Pending",IF(AND(OR(T96="Not Applicable",COUNTIFS('Test Runs'!$B$5:$B$2004,A96,'Test Runs'!$C$5:$C$2004,"Retest",'Test Runs'!$D$5:$D$2004,"iOS",'Test Runs'!$I$5:$I$2004,T96)&gt;0),OR(U96="Not Applicable",COUNTIFS('Test Runs'!$B$5:$B$2004,A96,'Test Runs'!$C$5:$C$2004,"Retest",'Test Runs'!$D$5:$D$2004,"Android",'Test Runs'!$I$5:$I$2004,U96)&gt;0)),"Reconciled","Mismatch"))</x:f>
        <x:v>Pending</x:v>
      </x:c>
    </x:row>
    <x:row r="97" ht="361.20001220703125" hidden="0" customHeight="1">
      <x:c r="A97" s="58" t="str">
        <x:v>HLT-011</x:v>
      </x:c>
      <x:c r="B97" s="58" t="str">
        <x:v>Metric validation and dates</x:v>
      </x:c>
      <x:c r="C97" s="58" t="str">
        <x:v>Progress check-in validation</x:v>
      </x:c>
      <x:c r="D97" s="58" t="str">
        <x:v>As a user, I want invalid progress data rejected clearly.</x:v>
      </x:c>
      <x:c r="E97" s="58" t="str">
        <x:v>The local endpoint requires a parseable date no later than today, finite weight 20-1000 kg, body fat 1-80%, measurements 1-500 cm and notes up to 1000 characters. Weight input bounds convert to the selected kg/lb unit. The date input is capped at today, but if a native picker still permits a future date, the app shows an associated Date error asking for today or an earlier date before attempting a lookup. An empty date asks for a date. Server-side date validation errors also appear beside Date, without a connection warning or futile Retry. The measurement fields and Save remain locked until a valid selected date has loaded successfully; real connection failures retain Retry loading check-in, and stale responses cannot replace the current date's state. Invalid writes do not alter existing measurements or enqueue new sync changes. Field errors, including notes, are visible and associated with inputs, and correcting a field clears its error. The weight bounds match cloud sync. Cloud notes can be longer, but the local 1000-character limit remains. Existing out-of-range legacy measurements are not clamped or deleted.</x:v>
      </x:c>
      <x:c r="F97" s="58" t="str">
        <x:v>iOS, Android</x:v>
      </x:c>
      <x:c r="G97" s="58" t="str">
        <x:v>Boundary values for every field, malformed, empty and future dates, weights 19.99/20/1000/1000.01 kg and selected-unit equivalents, plus an isolated pre-existing below 20 kg fixture for preservation checks. Include a native picker that permits tomorrow despite the maximum, server 422 date validation, genuine lookup connection failure and delayed responses during rapid date changes.</x:v>
      </x:c>
      <x:c r="H97" s="58" t="str">
        <x:v>Exercise every field boundary and malformed/future dates. If the native picker permits tomorrow, expect Choose today or an earlier date beside Date, no lookup or Retry, and locked fields/Save. Clear Date and verify the associated required-date message. Select a valid existing date and confirm values load before editing unlocks. Simulate a server 422 date error and confirm date-specific feedback; separately fail a valid-date lookup and verify Retry remains available. Race an older lookup against a new selection and confirm no stale values or errors win. Verify weight 19.99 kg is rejected and 20 kg is accepted locally and by sync; repeat in lb. Attempt an invalid update to the legacy fixture and confirm the original remains unchanged without a new outbox write. Check associated errors, notes maxlength and correction feedback.</x:v>
      </x:c>
      <x:c r="I97" s="58" t="str">
        <x:v>Repeat all validation, kg/lb boundary, sync acceptance, future-date rejection and legacy-preservation checks on Android, with TalkBack checking error associations. If Android's picker itself rejects a future selection, record that limited platform behavior separately; do not infer the app fallback, server 422, network Retry or stale-response cases passed. Do not create a new below 20 kg record as a supposedly valid test case.</x:v>
      </x:c>
      <x:c r="J97" s="58" t="str">
        <x:v>/Users/mason/Sites/Buff/tests/Feature/ProgressTest.php covers measurement bounds, future-date rejection, rejection below the 20 kg cloud minimum without changing existing values, and acceptance at that minimum. Frontend regression coverage is in progressPhotos.test.ts; full native input and accessibility branches still require emulator evidence.</x:v>
      </x:c>
      <x:c r="K97" s="58" t="str">
        <x:v>/Users/mason/Sites/Buff/app/Http/Controllers/ProgressController.php:102-112; /Users/mason/Sites/Buff/resources/js/Pages/Progress.vue:975 date input; /Users/mason/Sites/buff-server/config/buff.php:89 body_metrics sync rules</x:v>
      </x:c>
      <x:c r="L97" s="58" t="str">
        <x:v>Mapped</x:v>
      </x:c>
      <x:c r="M97" s="58" t="str">
        <x:v>Ready</x:v>
      </x:c>
      <x:c r="N97" s="58" t="str">
        <x:v>Not Run</x:v>
      </x:c>
      <x:c r="O97" s="58" t="str">
        <x:v>Failed</x:v>
      </x:c>
      <x:c r="P97" s="58" t="str">
        <x:v>Android: /Users/mason/.codex/visualizations/2026/09/01/01a05def-1c0d-76d1-abc6-07c63a443582/emulator-runs/initial/android-guest/HLT-011-native-validation.png
/Users/mason/.codex/visualizations/2026/09/01/01a05def-1c0d-76d1-abc6-07c63a443582/emulator-runs/initial/android-guest/progress-observations-batch-020-draft.json — Numeric bounds worked, but notes errors were invisible/stale/unassociated and a future row became latest while disappearing from history/chart with no UI delete path.</x:v>
      </x:c>
      <x:c r="Q97" s="58" t="str">
        <x:v>DEF-061
DEF-062
DEF-084
DEF-086</x:v>
      </x:c>
      <x:c r="R97" s="58" t="str">
        <x:v>In Progress</x:v>
      </x:c>
      <x:c r="S97" s="58" t="str"/>
      <x:c r="T97" s="58" t="str">
        <x:v>Blocked</x:v>
      </x:c>
      <x:c r="U97" s="58" t="str">
        <x:v>Blocked</x:v>
      </x:c>
      <x:c r="V97" s="58" t="str">
        <x:v>Android: /Users/mason/.codex/visualizations/2026/09/01/01a05def-1c0d-76d1-abc6-07c63a443582/emulator-runs/retest/android/HLT-009-today-hydrated.json
/Users/mason/.codex/visualizations/2026/09/01/01a05def-1c0d-76d1-abc6-07c63a443582/emulator-runs/retest/android/HLT-011-future-date-guard.json — Partial success: the native date picker ignored the5 September future-date tap, retaining4 September. The captured date input remained2026-09-04 with max2026-09-04, valid=true and no date error. This verifies the observed picker-level future-date guard only.
iOS: /Users/mason/.codex/visualizations/2026/09/01/01a05def-1c0d-76d1-abc6-07c63a443582/emulator-runs/retest/ios/HLT-011-future-native-picker-selected.png
/Users/mason/.codex/visualizations/2026/09/01/01a05def-1c0d-76d1-abc6-07c63a443582/emulator-runs/retest/ios/HLT-011-future-date-locked-error.png
/Users/mason/.codex/visualizations/2026/09/01/01a05def-1c0d-76d1-abc6-07c63a443582/emulator-runs/retest/ios/HLT-009-011-progress-observations.json — Native calendar permits tomorrow. HTMLmax/overflow flags it invalid and failed date load disables all fields/Save, but the visible message incorrectly asks user to check connection. Valid date selection recovers. Read-only constraints show body fat1–80, measurements1–500, notesmaxlength1000; installed weight stillmin1/no max rather than newer source20–1000.
Android: /Users/mason/.codex/visualizations/2026/09/06/01a07722-2d43-7910-aa74-f3a7d9489dc2/release-qa/DEF-062-android-future-date.json
/Users/mason/.codex/visualizations/2026/09/06/01a07722-2d43-7910-aa74-f3a7d9489dc2/release-qa/DEF-084-android-current-weight-bound.json — Future-date defect Passed: September7 rejected on September6. Progress weight subset Passed:19.99kg cannot save; original75.5kg history preserved and draft restored. Future date restored to today. Onboarding weight matrix remains blocked by no fresh account.
iOS: /Users/mason/.codex/visualizations/2026/09/06/01a07722-2d43-7910-aa74-f3a7d9489dc2/release-qa/DEF-062-ios-future-date.png
/Users/mason/.codex/visualizations/2026/09/06/01a07722-2d43-7910-aa74-f3a7d9489dc2/release-qa/DEF-084-ios-current-weight-bound.png — Future-date defect Passed: September7 rejected on September6. Progress weight subset Passed:19.99kg cannot save; original75.5kg history preserved and draft restored. Future date restored to today. Onboarding weight matrix remains blocked by no fresh account.</x:v>
      </x:c>
      <x:c r="W97" s="58" t="str">
        <x:f>IF(AND(OR(N97="Passed",N97="Failed",N97="Not Applicable"),OR(O97="Passed",O97="Failed",O97="Not Applicable"),OR(N97="Passed",N97="Failed",O97="Passed",O97="Failed"),OR(T97="Passed",T97="Not Applicable"),OR(U97="Passed",U97="Not Applicable"),OR(T97="Passed",U97="Passed"),Y97="Reconciled",Z97="Reconciled",IF(Q97&lt;&gt;"",R97="Fixed",TRUE)),"Verified",IF(OR(T97="Failed",U97="Failed"),"Retest Failed",IF(OR(N97="Failed",O97="Failed",Q97&lt;&gt;""),"Defect Found",IF(AND(OR(N97="Passed",N97="Not Applicable"),OR(O97="Passed",O97="Not Applicable"),OR(N97="Passed",O97="Passed")),"Initial Pass","Not Complete"))))</x:f>
        <x:v>Defect Found</x:v>
      </x:c>
      <x:c r="X97" s="58" t="str">
        <x:v>Historical defects allowed future dates and local weights below the cloud minimum. Source validation now rejects those writes; native date fallback, lookup errors, boundary conversion, correction feedback and legacy preservation remain separately tracked retest cases.</x:v>
      </x:c>
      <x:c r="Y97" s="58" t="str">
        <x:f>IF(OR(N97="Not Run",O97="Not Run"),"Pending",IF(AND(OR(N97="Not Applicable",COUNTIFS('Test Runs'!$B$5:$B$2004,A97,'Test Runs'!$C$5:$C$2004,"Initial",'Test Runs'!$D$5:$D$2004,"iOS",'Test Runs'!$I$5:$I$2004,N97)&gt;0),OR(O97="Not Applicable",COUNTIFS('Test Runs'!$B$5:$B$2004,A97,'Test Runs'!$C$5:$C$2004,"Initial",'Test Runs'!$D$5:$D$2004,"Android",'Test Runs'!$I$5:$I$2004,O97)&gt;0)),"Reconciled","Mismatch"))</x:f>
        <x:v>Pending</x:v>
      </x:c>
      <x:c r="Z97" s="58" t="str">
        <x:f>IF(OR(T97="Not Run",U97="Not Run"),"Pending",IF(AND(OR(T97="Not Applicable",COUNTIFS('Test Runs'!$B$5:$B$2004,A97,'Test Runs'!$C$5:$C$2004,"Retest",'Test Runs'!$D$5:$D$2004,"iOS",'Test Runs'!$I$5:$I$2004,T97)&gt;0),OR(U97="Not Applicable",COUNTIFS('Test Runs'!$B$5:$B$2004,A97,'Test Runs'!$C$5:$C$2004,"Retest",'Test Runs'!$D$5:$D$2004,"Android",'Test Runs'!$I$5:$I$2004,U97)&gt;0)),"Reconciled","Mismatch"))</x:f>
        <x:v>Reconciled</x:v>
      </x:c>
    </x:row>
    <x:row r="98" ht="120" customHeight="1">
      <x:c r="A98" s="58" t="str">
        <x:v>HLT-012</x:v>
      </x:c>
      <x:c r="B98" s="58" t="str">
        <x:v>Delete progress</x:v>
      </x:c>
      <x:c r="C98" s="58" t="str">
        <x:v>Recent history -&gt; trash -&gt; confirm</x:v>
      </x:c>
      <x:c r="D98" s="58" t="str">
        <x:v>As a user, I want to delete a progress check-in and its photos.</x:v>
      </x:c>
      <x:c r="E98" s="58" t="str">
        <x:v>Deletion requires UI confirmation, preserves range, discards staged local photos, deletes the synced metric, and server-side sync deletion purges all cloud photo rows/files for that metric; failure leaves the dialog with an error.</x:v>
      </x:c>
      <x:c r="F98" s="58" t="str">
        <x:v>iOS, Android</x:v>
      </x:c>
      <x:c r="G98" s="58" t="str">
        <x:v>Metric with cloud and/or staged photos; offline case.</x:v>
      </x:c>
      <x:c r="H98" s="58" t="str">
        <x:v>Cancel once, then confirm; verify row/summary removed and cloud photos disappear after sync; repeat offline then reconnect.</x:v>
      </x:c>
      <x:c r="I98" s="58" t="str">
        <x:v>Repeat.</x:v>
      </x:c>
      <x:c r="J98" s="58" t="str">
        <x:v>Covered: ProgressTest.php deletion; ProgressPhotoTest.php staged discard; server BodyMetricPhotoTest.php sync purge.</x:v>
      </x:c>
      <x:c r="K98" s="58" t="str">
        <x:v>/Users/mason/Sites/Buff/resources/js/Pages/Progress.vue:596-633; /Users/mason/Sites/Buff/app/Http/Controllers/ProgressController.php:131-137; /Users/mason/Sites/buff-server/app/Services/SyncService.php:146 cleanupDeletedRecords</x:v>
      </x:c>
      <x:c r="L98" s="58" t="str">
        <x:v>Mapped</x:v>
      </x:c>
      <x:c r="M98" s="58" t="str">
        <x:v>Ready</x:v>
      </x:c>
      <x:c r="N98" s="58" t="str">
        <x:v>Not Run</x:v>
      </x:c>
      <x:c r="O98" s="58" t="str">
        <x:v>Blocked</x:v>
      </x:c>
      <x:c r="P98" s="58" t="str">
        <x:v>Android: /Users/mason/.codex/visualizations/2026/09/01/01a05def-1c0d-76d1-abc6-07c63a443582/emulator-runs/initial/android-guest/progress-observations-batch-020-draft.json — Cancel preserved and Confirm removed a disposable check-in.</x:v>
      </x:c>
      <x:c r="Q98" s="58" t="str"/>
      <x:c r="R98" s="58" t="str">
        <x:v>Not Needed</x:v>
      </x:c>
      <x:c r="S98" s="58" t="str"/>
      <x:c r="T98" s="58" t="str">
        <x:v>Not Run</x:v>
      </x:c>
      <x:c r="U98" s="58" t="str">
        <x:v>Not Run</x:v>
      </x:c>
      <x:c r="V98" s="58" t="str"/>
      <x:c r="W98" s="58" t="str">
        <x:f>IF(AND(OR(N98="Passed",N98="Failed",N98="Not Applicable"),OR(O98="Passed",O98="Failed",O98="Not Applicable"),OR(N98="Passed",N98="Failed",O98="Passed",O98="Failed"),OR(T98="Passed",T98="Not Applicable"),OR(U98="Passed",U98="Not Applicable"),OR(T98="Passed",U98="Passed"),Y98="Reconciled",Z98="Reconciled",IF(Q98&lt;&gt;"",R98="Fixed",TRUE)),"Verified",IF(OR(T98="Failed",U98="Failed"),"Retest Failed",IF(OR(N98="Failed",O98="Failed",Q98&lt;&gt;""),"Defect Found",IF(AND(OR(N98="Passed",N98="Not Applicable"),OR(O98="Passed",O98="Not Applicable"),OR(N98="Passed",O98="Passed")),"Initial Pass","Not Complete"))))</x:f>
        <x:v>Not Complete</x:v>
      </x:c>
      <x:c r="X98" s="58" t="str">
        <x:v>Risk: local UI reports removal before remote photo purge completes; sync failure can leave cloud media until retry.</x:v>
      </x:c>
      <x:c r="Y98" s="58" t="str">
        <x:f>IF(OR(N98="Not Run",O98="Not Run"),"Pending",IF(AND(OR(N98="Not Applicable",COUNTIFS('Test Runs'!$B$5:$B$2004,A98,'Test Runs'!$C$5:$C$2004,"Initial",'Test Runs'!$D$5:$D$2004,"iOS",'Test Runs'!$I$5:$I$2004,N98)&gt;0),OR(O98="Not Applicable",COUNTIFS('Test Runs'!$B$5:$B$2004,A98,'Test Runs'!$C$5:$C$2004,"Initial",'Test Runs'!$D$5:$D$2004,"Android",'Test Runs'!$I$5:$I$2004,O98)&gt;0)),"Reconciled","Mismatch"))</x:f>
        <x:v>Pending</x:v>
      </x:c>
      <x:c r="Z98" s="58" t="str">
        <x:f>IF(OR(T98="Not Run",U98="Not Run"),"Pending",IF(AND(OR(T98="Not Applicable",COUNTIFS('Test Runs'!$B$5:$B$2004,A98,'Test Runs'!$C$5:$C$2004,"Retest",'Test Runs'!$D$5:$D$2004,"iOS",'Test Runs'!$I$5:$I$2004,T98)&gt;0),OR(U98="Not Applicable",COUNTIFS('Test Runs'!$B$5:$B$2004,A98,'Test Runs'!$C$5:$C$2004,"Retest",'Test Runs'!$D$5:$D$2004,"Android",'Test Runs'!$I$5:$I$2004,U98)&gt;0)),"Reconciled","Mismatch"))</x:f>
        <x:v>Pending</x:v>
      </x:c>
    </x:row>
    <x:row r="99" ht="120" customHeight="1">
      <x:c r="A99" s="58" t="str">
        <x:v>HLT-013</x:v>
      </x:c>
      <x:c r="B99" s="58" t="str">
        <x:v>Body-metric sync conflicts</x:v>
      </x:c>
      <x:c r="C99" s="58" t="str">
        <x:v>Automatic/account sync -&gt; POST /api/v1/sync</x:v>
      </x:c>
      <x:c r="D99" s="58" t="str">
        <x:v>As a multi-device user, I want one canonical metric per date.</x:v>
      </x:c>
      <x:c r="E99" s="58" t="str">
        <x:v>Every synced model mutation enters an outbox; server accepts up to 500 changes and applies last-write-wins by microsecond client timestamp, tie-broken lexicographically by device ID; a different metric ID for the same body-metric date updates the existing canonical server record and returns it as rejected, then the client remaps the local row and pending photo references to that ID.</x:v>
      </x:c>
      <x:c r="F99" s="58" t="str">
        <x:v>iOS, Android, server</x:v>
      </x:c>
      <x:c r="G99" s="58" t="str">
        <x:v>Two signed-in devices create/edit the same date offline with controlled timestamps and clock skew; pending photo on loser.</x:v>
      </x:c>
      <x:c r="H99" s="58" t="str">
        <x:v>Create conflicting same-date metrics on iOS and Android, sync both orders, verify one final row and pending photo remains attached to canonical ID; repeat with clocks &gt;5 minutes apart.</x:v>
      </x:c>
      <x:c r="I99" s="58" t="str">
        <x:v>Perform reciprocal order from Android.</x:v>
      </x:c>
      <x:c r="J99" s="58" t="str">
        <x:v>Covered: Buff sync tests around conflict application; buff-server SyncTest.php “keeps one canonical body metric per date”, stale/equal timestamp and timestamp-bound tests.</x:v>
      </x:c>
      <x:c r="K99" s="58" t="str">
        <x:v>/Users/mason/Sites/Buff/app/Services/BuffSyncService.php:90 run, :154 applyResponse, :283 remoteWinsPendingChange, :369 applyRemote; /Users/mason/Sites/buff-server/app/Services/SyncService.php:20 SyncService::sync, :43 logical date conflict, :160 wins; /Users/mason/Sites/buff-server/app/Services/SyncChangeValidator.php:15-79</x:v>
      </x:c>
      <x:c r="L99" s="58" t="str">
        <x:v>Mapped</x:v>
      </x:c>
      <x:c r="M99" s="58" t="str">
        <x:v>Ready</x:v>
      </x:c>
      <x:c r="N99" s="58" t="str">
        <x:v>Not Run</x:v>
      </x:c>
      <x:c r="O99" s="58" t="str">
        <x:v>Blocked</x:v>
      </x:c>
      <x:c r="P99" s="58" t="str">
        <x:v>Android: /Users/mason/.codex/visualizations/2026/09/01/01a05def-1c0d-76d1-abc6-07c63a443582/emulator-runs/initial/android/ACC-009-070-071-075-HLT-049-observations.json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 — Body-metric fixtures survived ordinary account sync on the single Android device and remained visible after reconnect.</x:v>
      </x:c>
      <x:c r="Q99" s="58" t="str"/>
      <x:c r="R99" s="58" t="str">
        <x:v>Not Needed</x:v>
      </x:c>
      <x:c r="S99" s="58" t="str"/>
      <x:c r="T99" s="58" t="str">
        <x:v>Not Run</x:v>
      </x:c>
      <x:c r="U99" s="58" t="str">
        <x:v>Not Run</x:v>
      </x:c>
      <x:c r="V99" s="58" t="str"/>
      <x:c r="W99" s="58" t="str">
        <x:f>IF(AND(OR(N99="Passed",N99="Failed",N99="Not Applicable"),OR(O99="Passed",O99="Failed",O99="Not Applicable"),OR(N99="Passed",N99="Failed",O99="Passed",O99="Failed"),OR(T99="Passed",T99="Not Applicable"),OR(U99="Passed",U99="Not Applicable"),OR(T99="Passed",U99="Passed"),Y99="Reconciled",Z99="Reconciled",IF(Q99&lt;&gt;"",R99="Fixed",TRUE)),"Verified",IF(OR(T99="Failed",U99="Failed"),"Retest Failed",IF(OR(N99="Failed",O99="Failed",Q99&lt;&gt;""),"Defect Found",IF(AND(OR(N99="Passed",N99="Not Applicable"),OR(O99="Passed",O99="Not Applicable"),OR(N99="Passed",O99="Passed")),"Initial Pass","Not Complete"))))</x:f>
        <x:v>Not Complete</x:v>
      </x:c>
      <x:c r="X99" s="58" t="str">
        <x:v>Risk: clock skew within the server’s five-minute allowance can make the wrong edit win silently; greater skew rejects the sync request and leaves the outbox pending.</x:v>
      </x:c>
      <x:c r="Y99" s="58" t="str">
        <x:f>IF(OR(N99="Not Run",O99="Not Run"),"Pending",IF(AND(OR(N99="Not Applicable",COUNTIFS('Test Runs'!$B$5:$B$2004,A99,'Test Runs'!$C$5:$C$2004,"Initial",'Test Runs'!$D$5:$D$2004,"iOS",'Test Runs'!$I$5:$I$2004,N99)&gt;0),OR(O99="Not Applicable",COUNTIFS('Test Runs'!$B$5:$B$2004,A99,'Test Runs'!$C$5:$C$2004,"Initial",'Test Runs'!$D$5:$D$2004,"Android",'Test Runs'!$I$5:$I$2004,O99)&gt;0)),"Reconciled","Mismatch"))</x:f>
        <x:v>Pending</x:v>
      </x:c>
      <x:c r="Z99" s="58" t="str">
        <x:f>IF(OR(T99="Not Run",U99="Not Run"),"Pending",IF(AND(OR(T99="Not Applicable",COUNTIFS('Test Runs'!$B$5:$B$2004,A99,'Test Runs'!$C$5:$C$2004,"Retest",'Test Runs'!$D$5:$D$2004,"iOS",'Test Runs'!$I$5:$I$2004,T99)&gt;0),OR(U99="Not Applicable",COUNTIFS('Test Runs'!$B$5:$B$2004,A99,'Test Runs'!$C$5:$C$2004,"Retest",'Test Runs'!$D$5:$D$2004,"Android",'Test Runs'!$I$5:$I$2004,U99)&gt;0)),"Reconciled","Mismatch"))</x:f>
        <x:v>Pending</x:v>
      </x:c>
    </x:row>
    <x:row r="100" ht="120" customHeight="1">
      <x:c r="A100" s="58" t="str">
        <x:v>HLT-014</x:v>
      </x:c>
      <x:c r="B100" s="58" t="str">
        <x:v>Offline metric changes</x:v>
      </x:c>
      <x:c r="C100" s="58" t="str">
        <x:v>Any local health/progress mutation while offline</x:v>
      </x:c>
      <x:c r="D100" s="58" t="str">
        <x:v>As a user, I want progress, goals, profile, workout, and preferences to remain usable offline.</x:v>
      </x:c>
      <x:c r="E100" s="58" t="str">
        <x:v>Synced-model writes commit locally and remain in SyncOutbox; failed/unauthenticated sync leaves records and last_error for a later retry; cloud validation errors also retain the outbox; binary progress photos follow separate rules.</x:v>
      </x:c>
      <x:c r="F100" s="58" t="str">
        <x:v>iOS, Android</x:v>
      </x:c>
      <x:c r="G100" s="58" t="str">
        <x:v>Signed-in account; disable network; existing records; include one locally accepted but cloud-invalid record ahead of valid changes.</x:v>
      </x:c>
      <x:c r="H100" s="58" t="str">
        <x:v>Edit progress/goals/profile/workout/eat-back offline, relaunch, verify local persistence, reconnect and verify server/device convergence; introduce one contract-mismatch record and observe later records.</x:v>
      </x:c>
      <x:c r="I100" s="58" t="str">
        <x:v>Repeat.</x:v>
      </x:c>
      <x:c r="J100" s="58" t="str">
        <x:v>Partial: sync service feature tests cover queuing/conflicts; no full emulator offline matrix found.</x:v>
      </x:c>
      <x:c r="K100" s="58" t="str">
        <x:v>/Users/mason/Sites/Buff/app/Observers/SyncableObserver.php; /Users/mason/Sites/Buff/app/Services/BuffSyncService.php:61-79 sync, :97-142 run; /Users/mason/Sites/Buff/config/buff.php:23 sync_models; /Users/mason/Sites/buff-server/app/Http/Requests/Api/V1/PushSyncRequest.php:25-36</x:v>
      </x:c>
      <x:c r="L100" s="58" t="str">
        <x:v>Mapped</x:v>
      </x:c>
      <x:c r="M100" s="58" t="str">
        <x:v>Ready</x:v>
      </x:c>
      <x:c r="N100" s="58" t="str">
        <x:v>Not Run</x:v>
      </x:c>
      <x:c r="O100" s="58" t="str">
        <x:v>Blocked</x:v>
      </x:c>
      <x:c r="P100" s="58" t="str">
        <x:v>Android: /Users/mason/.codex/visualizations/2026/09/01/01a05def-1c0d-76d1-abc6-07c63a443582/emulator-runs/initial/android-guest/progress-observations-batch-020-draft.json — A body-metric mutation committed with both network transports disabled and later reached zero pending sync changes after reconnect/process recovery.</x:v>
      </x:c>
      <x:c r="Q100" s="58" t="str"/>
      <x:c r="R100" s="58" t="str">
        <x:v>Not Needed</x:v>
      </x:c>
      <x:c r="S100" s="58" t="str"/>
      <x:c r="T100" s="58" t="str">
        <x:v>Not Run</x:v>
      </x:c>
      <x:c r="U100" s="58" t="str">
        <x:v>Not Run</x:v>
      </x:c>
      <x:c r="V100" s="58" t="str"/>
      <x:c r="W100" s="58" t="str">
        <x:f>IF(AND(OR(N100="Passed",N100="Failed",N100="Not Applicable"),OR(O100="Passed",O100="Failed",O100="Not Applicable"),OR(N100="Passed",N100="Failed",O100="Passed",O100="Failed"),OR(T100="Passed",T100="Not Applicable"),OR(U100="Passed",U100="Not Applicable"),OR(T100="Passed",U100="Passed"),Y100="Reconciled",Z100="Reconciled",IF(Q100&lt;&gt;"",R100="Fixed",TRUE)),"Verified",IF(OR(T100="Failed",U100="Failed"),"Retest Failed",IF(OR(N100="Failed",O100="Failed",Q100&lt;&gt;""),"Defect Found",IF(AND(OR(N100="Passed",N100="Not Applicable"),OR(O100="Passed",O100="Not Applicable"),OR(N100="Passed",O100="Passed")),"Initial Pass","Not Complete"))))</x:f>
        <x:v>Not Complete</x:v>
      </x:c>
      <x:c r="X100" s="58" t="str">
        <x:v>Likely logistical defect: one server-invalid record rejects its entire &lt;=500-change request and is not quarantined, potentially blocking later changes and pending-photo flush; most screens also lack item-level pending indicators.</x:v>
      </x:c>
      <x:c r="Y100" s="58" t="str">
        <x:f>IF(OR(N100="Not Run",O100="Not Run"),"Pending",IF(AND(OR(N100="Not Applicable",COUNTIFS('Test Runs'!$B$5:$B$2004,A100,'Test Runs'!$C$5:$C$2004,"Initial",'Test Runs'!$D$5:$D$2004,"iOS",'Test Runs'!$I$5:$I$2004,N100)&gt;0),OR(O100="Not Applicable",COUNTIFS('Test Runs'!$B$5:$B$2004,A100,'Test Runs'!$C$5:$C$2004,"Initial",'Test Runs'!$D$5:$D$2004,"Android",'Test Runs'!$I$5:$I$2004,O100)&gt;0)),"Reconciled","Mismatch"))</x:f>
        <x:v>Pending</x:v>
      </x:c>
      <x:c r="Z100" s="58" t="str">
        <x:f>IF(OR(T100="Not Run",U100="Not Run"),"Pending",IF(AND(OR(T100="Not Applicable",COUNTIFS('Test Runs'!$B$5:$B$2004,A100,'Test Runs'!$C$5:$C$2004,"Retest",'Test Runs'!$D$5:$D$2004,"iOS",'Test Runs'!$I$5:$I$2004,T100)&gt;0),OR(U100="Not Applicable",COUNTIFS('Test Runs'!$B$5:$B$2004,A100,'Test Runs'!$C$5:$C$2004,"Retest",'Test Runs'!$D$5:$D$2004,"Android",'Test Runs'!$I$5:$I$2004,U100)&gt;0)),"Reconciled","Mismatch"))</x:f>
        <x:v>Pending</x:v>
      </x:c>
    </x:row>
    <x:row r="101" ht="120" customHeight="1">
      <x:c r="A101" s="58" t="str">
        <x:v>HLT-015</x:v>
      </x:c>
      <x:c r="B101" s="58" t="str">
        <x:v>Progress camera capture</x:v>
      </x:c>
      <x:c r="C101" s="58" t="str">
        <x:v>Progress -&gt; Take photos -&gt; camera</x:v>
      </x:c>
      <x:c r="D101" s="58" t="str">
        <x:v>As a user, I want guided front, side, and back progress photos.</x:v>
      </x:c>
      <x:c r="E101" s="58" t="str">
        <x:v>Camera starts front-facing, mirrors selfie preview and captured pixels, captures/resizes JPEG, advances to the next empty pose, supports retake/remove/flip, and stops tracks on close/unmount. Its full-screen native-overlay marker hides the banner ad while camera controls are visible. Android Back closes the camera while preserving targeted upload behavior.</x:v>
      </x:c>
      <x:c r="F101" s="58" t="str">
        <x:v>iOS, Android</x:v>
      </x:c>
      <x:c r="G101" s="58" t="str">
        <x:v>Device/simulator camera feed; metric/check-in.</x:v>
      </x:c>
      <x:c r="H101" s="58" t="str">
        <x:v>Grant camera; capture front/side/back, flip once, retake/remove, close midway, verify orientation and no camera indicator after close.</x:v>
      </x:c>
      <x:c r="I101" s="58" t="str">
        <x:v>Repeat; press system Back while camera open and verify it closes/uploads rather than leaving the page.</x:v>
      </x:c>
      <x:c r="J101" s="58" t="str">
        <x:v>Partial: progressPhotos.test.ts checks controls/Android Back; no real camera capture automation.</x:v>
      </x:c>
      <x:c r="K101" s="58" t="str">
        <x:v>/Users/mason/Sites/Buff/resources/js/Pages/Progress.vue:410-503, :751-768, :811-819; /Users/mason/Sites/Buff/resources/js/progressPhotos.ts:1-15</x:v>
      </x:c>
      <x:c r="L101" s="58" t="str">
        <x:v>Mapped</x:v>
      </x:c>
      <x:c r="M101" s="58" t="str">
        <x:v>Ready</x:v>
      </x:c>
      <x:c r="N101" s="58" t="str">
        <x:v>Not Run</x:v>
      </x:c>
      <x:c r="O101" s="58" t="str">
        <x:v>Failed</x:v>
      </x:c>
      <x:c r="P101" s="58" t="str">
        <x:v>Android: /Users/mason/.codex/visualizations/2026/09/01/01a05def-1c0d-76d1-abc6-07c63a443582/emulator-runs/initial/android-guest/HLT-015-camera-front.png
/Users/mason/.codex/visualizations/2026/09/01/01a05def-1c0d-76d1-abc6-07c63a443582/emulator-runs/initial/android-guest/progress-observations-batch-020-draft.json — Camera, mirroring, flip, capture, pose advance, Back cleanup, retake, and remove worked, but the native banner covered the full-screen guidance area.</x:v>
      </x:c>
      <x:c r="Q101" s="58" t="str">
        <x:v>DEF-064</x:v>
      </x:c>
      <x:c r="R101" s="58" t="str">
        <x:v>Fixed</x:v>
      </x:c>
      <x:c r="S101" s="58" t="str"/>
      <x:c r="T101" s="58" t="str">
        <x:v>Not Run</x:v>
      </x:c>
      <x:c r="U101" s="58" t="str">
        <x:v>Blocked</x:v>
      </x:c>
      <x:c r="V101" s="58" t="str">
        <x:v>Android: /Users/mason/.codex/visualizations/2026/09/06/01a07722-2d43-7910-aa74-f3a7d9489dc2/release-qa/DEF-064-camera-ready.json
/Users/mason/.codex/visualizations/2026/09/06/01a07722-2d43-7910-aa74-f3a7d9489dc2/release-qa/DEF-064-camera-ready.png — Exact overlay regression Passed with granted CAMERA: ready preview, all controls visible and no native banner. No photo captured.</x:v>
      </x:c>
      <x:c r="W101" s="58" t="str">
        <x:f>IF(AND(OR(N101="Passed",N101="Failed",N101="Not Applicable"),OR(O101="Passed",O101="Failed",O101="Not Applicable"),OR(N101="Passed",N101="Failed",O101="Passed",O101="Failed"),OR(T101="Passed",T101="Not Applicable"),OR(U101="Passed",U101="Not Applicable"),OR(T101="Passed",U101="Passed"),Y101="Reconciled",Z101="Reconciled",IF(Q101&lt;&gt;"",R101="Fixed",TRUE)),"Verified",IF(OR(T101="Failed",U101="Failed"),"Retest Failed",IF(OR(N101="Failed",O101="Failed",Q101&lt;&gt;""),"Defect Found",IF(AND(OR(N101="Passed",N101="Not Applicable"),OR(O101="Passed",O101="Not Applicable"),OR(N101="Passed",O101="Passed")),"Initial Pass","Not Complete"))))</x:f>
        <x:v>Defect Found</x:v>
      </x:c>
      <x:c r="X101" s="58" t="str">
        <x:v>Risk: canvas/blob failures return silently with no user error.</x:v>
      </x:c>
      <x:c r="Y101" s="58" t="str">
        <x:f>IF(OR(N101="Not Run",O101="Not Run"),"Pending",IF(AND(OR(N101="Not Applicable",COUNTIFS('Test Runs'!$B$5:$B$2004,A101,'Test Runs'!$C$5:$C$2004,"Initial",'Test Runs'!$D$5:$D$2004,"iOS",'Test Runs'!$I$5:$I$2004,N101)&gt;0),OR(O101="Not Applicable",COUNTIFS('Test Runs'!$B$5:$B$2004,A101,'Test Runs'!$C$5:$C$2004,"Initial",'Test Runs'!$D$5:$D$2004,"Android",'Test Runs'!$I$5:$I$2004,O101)&gt;0)),"Reconciled","Mismatch"))</x:f>
        <x:v>Pending</x:v>
      </x:c>
      <x:c r="Z101" s="58" t="str">
        <x:f>IF(OR(T101="Not Run",U101="Not Run"),"Pending",IF(AND(OR(T101="Not Applicable",COUNTIFS('Test Runs'!$B$5:$B$2004,A101,'Test Runs'!$C$5:$C$2004,"Retest",'Test Runs'!$D$5:$D$2004,"iOS",'Test Runs'!$I$5:$I$2004,T101)&gt;0),OR(U101="Not Applicable",COUNTIFS('Test Runs'!$B$5:$B$2004,A101,'Test Runs'!$C$5:$C$2004,"Retest",'Test Runs'!$D$5:$D$2004,"Android",'Test Runs'!$I$5:$I$2004,U101)&gt;0)),"Reconciled","Mismatch"))</x:f>
        <x:v>Pending</x:v>
      </x:c>
    </x:row>
    <x:row r="102" ht="120" customHeight="1">
      <x:c r="A102" s="58" t="str">
        <x:v>HLT-016</x:v>
      </x:c>
      <x:c r="B102" s="58" t="str">
        <x:v>Camera permission and fallback</x:v>
      </x:c>
      <x:c r="C102" s="58" t="str">
        <x:v>Progress camera launch</x:v>
      </x:c>
      <x:c r="D102" s="58" t="str">
        <x:v>As a user, I want a useful fallback if camera access is denied or unavailable.</x:v>
      </x:c>
      <x:c r="E102" s="58" t="str">
        <x:v>getUserMedia maps permission denial, no camera and generic failure to actionable copy and library fallback. In native iOS/Android builds, denial also exposes Open Buff settings across new check-in, history and retake flows; a failed settings launch shows manual recovery guidance. Android WebView requests CAMERA runtime permission and grants/denies the web resource; hardware is optional. iOS relies on WKWebView/system authorization.</x:v>
      </x:c>
      <x:c r="F102" s="58" t="str">
        <x:v>iOS, Android</x:v>
      </x:c>
      <x:c r="G102" s="58" t="str">
        <x:v>Fresh install; permission undecided, denied, permanently denied; camera-less emulator.</x:v>
      </x:c>
      <x:c r="H102" s="58" t="str">
        <x:v>Deny camera in new check-in, history and retake flows; verify Open Buff settings and library fallback. Open settings, allow access and retry. Force settings-launch failure and verify manual guidance.</x:v>
      </x:c>
      <x:c r="I102" s="58" t="str">
        <x:v>Repeat denial/permanent denial and settings recovery across all entry points; also use camera-less AVD and verify usable library fallback.</x:v>
      </x:c>
      <x:c r="J102" s="58" t="str">
        <x:v>Partial: progressPhotos.test.ts static regression; native permission flow has no device automation.</x:v>
      </x:c>
      <x:c r="K102" s="58" t="str">
        <x:v>/Users/mason/Sites/Buff/resources/js/Pages/Progress.vue:367-397; /Users/mason/Sites/Buff/native-plugins/camera-permissions/nativephp.json:1-17; /Users/mason/Sites/Buff/native-plugins/camera-permissions/src/Commands/InstallWebViewCameraAccessCommand.php:311-340</x:v>
      </x:c>
      <x:c r="L102" s="58" t="str">
        <x:v>Mapped</x:v>
      </x:c>
      <x:c r="M102" s="58" t="str">
        <x:v>Ready</x:v>
      </x:c>
      <x:c r="N102" s="58" t="str">
        <x:v>Not Run</x:v>
      </x:c>
      <x:c r="O102" s="58" t="str">
        <x:v>Failed</x:v>
      </x:c>
      <x:c r="P102" s="58" t="str">
        <x:v>Android: /Users/mason/.codex/visualizations/2026/09/01/01a05def-1c0d-76d1-abc6-07c63a443582/emulator-runs/initial/android-guest/HLT-016-camera-permission-prompt.png
/Users/mason/.codex/visualizations/2026/09/01/01a05def-1c0d-76d1-abc6-07c63a443582/emulator-runs/initial/android-guest/progress-observations-batch-020-draft.json — Initial denial showed fallback copy, but twice-denied access became a promptless dead end with no direct Settings recovery action.</x:v>
      </x:c>
      <x:c r="Q102" s="58" t="str">
        <x:v>DEF-063</x:v>
      </x:c>
      <x:c r="R102" s="58" t="str">
        <x:v>In Progress</x:v>
      </x:c>
      <x:c r="S102" s="58" t="str"/>
      <x:c r="T102" s="58" t="str">
        <x:v>Not Run</x:v>
      </x:c>
      <x:c r="U102" s="58" t="str">
        <x:v>Not Run</x:v>
      </x:c>
      <x:c r="V102" s="58" t="str"/>
      <x:c r="W102" s="58" t="str">
        <x:f>IF(AND(OR(N102="Passed",N102="Failed",N102="Not Applicable"),OR(O102="Passed",O102="Failed",O102="Not Applicable"),OR(N102="Passed",N102="Failed",O102="Passed",O102="Failed"),OR(T102="Passed",T102="Not Applicable"),OR(U102="Passed",U102="Not Applicable"),OR(T102="Passed",U102="Passed"),Y102="Reconciled",Z102="Reconciled",IF(Q102&lt;&gt;"",R102="Fixed",TRUE)),"Verified",IF(OR(T102="Failed",U102="Failed"),"Retest Failed",IF(OR(N102="Failed",O102="Failed",Q102&lt;&gt;""),"Defect Found",IF(AND(OR(N102="Passed",N102="Not Applicable"),OR(O102="Passed",O102="Not Applicable"),OR(N102="Passed",O102="Passed")),"Initial Pass","Not Complete"))))</x:f>
        <x:v>Defect Found</x:v>
      </x:c>
      <x:c r="X102" s="58" t="str">
        <x:v>Risk: no direct “Open Settings” recovery action after permanent denial.</x:v>
      </x:c>
      <x:c r="Y102" s="58" t="str">
        <x:f>IF(OR(N102="Not Run",O102="Not Run"),"Pending",IF(AND(OR(N102="Not Applicable",COUNTIFS('Test Runs'!$B$5:$B$2004,A102,'Test Runs'!$C$5:$C$2004,"Initial",'Test Runs'!$D$5:$D$2004,"iOS",'Test Runs'!$I$5:$I$2004,N102)&gt;0),OR(O102="Not Applicable",COUNTIFS('Test Runs'!$B$5:$B$2004,A102,'Test Runs'!$C$5:$C$2004,"Initial",'Test Runs'!$D$5:$D$2004,"Android",'Test Runs'!$I$5:$I$2004,O102)&gt;0)),"Reconciled","Mismatch"))</x:f>
        <x:v>Pending</x:v>
      </x:c>
      <x:c r="Z102" s="58" t="str">
        <x:f>IF(OR(T102="Not Run",U102="Not Run"),"Pending",IF(AND(OR(T102="Not Applicable",COUNTIFS('Test Runs'!$B$5:$B$2004,A102,'Test Runs'!$C$5:$C$2004,"Retest",'Test Runs'!$D$5:$D$2004,"iOS",'Test Runs'!$I$5:$I$2004,T102)&gt;0),OR(U102="Not Applicable",COUNTIFS('Test Runs'!$B$5:$B$2004,A102,'Test Runs'!$C$5:$C$2004,"Retest",'Test Runs'!$D$5:$D$2004,"Android",'Test Runs'!$I$5:$I$2004,U102)&gt;0)),"Reconciled","Mismatch"))</x:f>
        <x:v>Pending</x:v>
      </x:c>
    </x:row>
    <x:row r="103" ht="120" customHeight="1">
      <x:c r="A103" s="58" t="str">
        <x:v>HLT-017</x:v>
      </x:c>
      <x:c r="B103" s="58" t="str">
        <x:v>Photo ghost overlay</x:v>
      </x:c>
      <x:c r="C103" s="58" t="str">
        <x:v>Progress camera -&gt; Ghost overlay</x:v>
      </x:c>
      <x:c r="D103" s="58" t="str">
        <x:v>As a user, I want previous poses overlaid so photos line up consistently.</x:v>
      </x:c>
      <x:c r="E103" s="58" t="str">
        <x:v>For each pose, the camera selects the newest matching pose from another date before same-date fallback; legacy unlabeled photos fall back by front/side/back array order only when no labels exist; overlay opacity is user-adjustable and selfie preview is mirrored consistently.</x:v>
      </x:c>
      <x:c r="F103" s="58" t="str">
        <x:v>iOS, Android</x:v>
      </x:c>
      <x:c r="G103" s="58" t="str">
        <x:v>Two prior dated photo sets, including a missing pose and legacy unlabeled set.</x:v>
      </x:c>
      <x:c r="H103" s="58" t="str">
        <x:v>Capture each pose; verify correct prior date/pose and opacity extremes; verify no cross-pose borrowing.</x:v>
      </x:c>
      <x:c r="I103" s="58" t="str">
        <x:v>Repeat.</x:v>
      </x:c>
      <x:c r="J103" s="58" t="str">
        <x:v>Covered: progressPhotos.test.ts overlay ordering/fallback tests.</x:v>
      </x:c>
      <x:c r="K103" s="58" t="str">
        <x:v>/Users/mason/Sites/Buff/resources/js/progressPhotos.ts:31 overlayPhotoForPose, :45 selectPoseOverlays; /Users/mason/Sites/Buff/resources/js/Pages/Progress.vue:314-329 and :1202-1290</x:v>
      </x:c>
      <x:c r="L103" s="58" t="str">
        <x:v>Mapped</x:v>
      </x:c>
      <x:c r="M103" s="58" t="str">
        <x:v>Ready</x:v>
      </x:c>
      <x:c r="N103" s="58" t="str">
        <x:v>Not Run</x:v>
      </x:c>
      <x:c r="O103" s="58" t="str">
        <x:v>Blocked</x:v>
      </x:c>
      <x:c r="P103" s="58" t="str">
        <x:v>Android: /Users/mason/.codex/visualizations/2026/09/01/01a05def-1c0d-76d1-abc6-07c63a443582/emulator-runs/initial/android-guest/HLT-015-camera-front.png
/Users/mason/.codex/visualizations/2026/09/01/01a05def-1c0d-76d1-abc6-07c63a443582/emulator-runs/initial/android-guest/progress-observations-batch-020-draft.json — Same-date fallback, 0-70% opacity, and newest other-date matching-pose overlay worked.</x:v>
      </x:c>
      <x:c r="Q103" s="58" t="str"/>
      <x:c r="R103" s="58" t="str">
        <x:v>Not Needed</x:v>
      </x:c>
      <x:c r="S103" s="58" t="str"/>
      <x:c r="T103" s="58" t="str">
        <x:v>Not Run</x:v>
      </x:c>
      <x:c r="U103" s="58" t="str">
        <x:v>Not Run</x:v>
      </x:c>
      <x:c r="V103" s="58" t="str"/>
      <x:c r="W103" s="58" t="str">
        <x:f>IF(AND(OR(N103="Passed",N103="Failed",N103="Not Applicable"),OR(O103="Passed",O103="Failed",O103="Not Applicable"),OR(N103="Passed",N103="Failed",O103="Passed",O103="Failed"),OR(T103="Passed",T103="Not Applicable"),OR(U103="Passed",U103="Not Applicable"),OR(T103="Passed",U103="Passed"),Y103="Reconciled",Z103="Reconciled",IF(Q103&lt;&gt;"",R103="Fixed",TRUE)),"Verified",IF(OR(T103="Failed",U103="Failed"),"Retest Failed",IF(OR(N103="Failed",O103="Failed",Q103&lt;&gt;""),"Defect Found",IF(AND(OR(N103="Passed",N103="Not Applicable"),OR(O103="Passed",O103="Not Applicable"),OR(N103="Passed",O103="Passed")),"Initial Pass","Not Complete"))))</x:f>
        <x:v>Not Complete</x:v>
      </x:c>
      <x:c r="X103" s="58" t="str">
        <x:v>Risk: all history photo endpoints are loaded before overlay selection, causing slow camera guidance on large histories or poor networks.</x:v>
      </x:c>
      <x:c r="Y103" s="58" t="str">
        <x:f>IF(OR(N103="Not Run",O103="Not Run"),"Pending",IF(AND(OR(N103="Not Applicable",COUNTIFS('Test Runs'!$B$5:$B$2004,A103,'Test Runs'!$C$5:$C$2004,"Initial",'Test Runs'!$D$5:$D$2004,"iOS",'Test Runs'!$I$5:$I$2004,N103)&gt;0),OR(O103="Not Applicable",COUNTIFS('Test Runs'!$B$5:$B$2004,A103,'Test Runs'!$C$5:$C$2004,"Initial",'Test Runs'!$D$5:$D$2004,"Android",'Test Runs'!$I$5:$I$2004,O103)&gt;0)),"Reconciled","Mismatch"))</x:f>
        <x:v>Pending</x:v>
      </x:c>
      <x:c r="Z103" s="58" t="str">
        <x:f>IF(OR(T103="Not Run",U103="Not Run"),"Pending",IF(AND(OR(T103="Not Applicable",COUNTIFS('Test Runs'!$B$5:$B$2004,A103,'Test Runs'!$C$5:$C$2004,"Retest",'Test Runs'!$D$5:$D$2004,"iOS",'Test Runs'!$I$5:$I$2004,T103)&gt;0),OR(U103="Not Applicable",COUNTIFS('Test Runs'!$B$5:$B$2004,A103,'Test Runs'!$C$5:$C$2004,"Retest",'Test Runs'!$D$5:$D$2004,"Android",'Test Runs'!$I$5:$I$2004,U103)&gt;0)),"Reconciled","Mismatch"))</x:f>
        <x:v>Pending</x:v>
      </x:c>
    </x:row>
    <x:row r="104" ht="120" customHeight="1">
      <x:c r="A104" s="58" t="str">
        <x:v>HLT-018</x:v>
      </x:c>
      <x:c r="B104" s="58" t="str">
        <x:v>Photo library and preparation</x:v>
      </x:c>
      <x:c r="C104" s="58" t="str">
        <x:v>Progress -&gt; Choose from library</x:v>
      </x:c>
      <x:c r="D104" s="58" t="str">
        <x:v>As a user, I want to choose a progress photo from my library safely.</x:v>
      </x:c>
      <x:c r="E104" s="58" t="str">
        <x:v>Chosen images are decoded, scaled to longest edge &lt;=1600, flattened on white and converted to JPEG quality .82 before data-URL upload. Failed preparation shows Could not prepare that image. Choose another photo, resets the file input and permits another selection. Endpoints accept 1-3 jpg/jpeg/png/webp images &lt;=5MB with distinct poses and equal photo/pose counts.</x:v>
      </x:c>
      <x:c r="F104" s="58" t="str">
        <x:v>iOS, Android</x:v>
      </x:c>
      <x:c r="G104" s="58" t="str">
        <x:v>Large PNG/WebP, corrupt image, &gt;5MB prepared image, and valid photo.</x:v>
      </x:c>
      <x:c r="H104" s="58" t="str">
        <x:v>Choose valid large images and verify resized upload. Choose corrupt/unsupported data, verify the preparation error, then select a valid replacement and verify recovery.</x:v>
      </x:c>
      <x:c r="I104" s="58" t="str">
        <x:v>Repeat with Android photo picker, including selecting another file after a corrupt image.</x:v>
      </x:c>
      <x:c r="J104" s="58" t="str">
        <x:v>Covered: photoResize.test.ts failure; ProgressPhotoTest.php client proxy validation/data URLs; server BodyMetricPhotoTest.php validation.</x:v>
      </x:c>
      <x:c r="K104" s="58" t="str">
        <x:v>/Users/mason/Sites/Buff/resources/js/photoResize.ts:1 resizePhoto; /Users/mason/Sites/Buff/resources/js/Pages/Progress.vue:289 assignPhoto, :331 selectProgressPhotos, :505 uploadSelectedPhotos; /Users/mason/Sites/Buff/app/Services/PhotoDataUrlNormalizer.php; /Users/mason/Sites/Buff/app/Http/Controllers/BodyMetricPhotoController.php:19-36</x:v>
      </x:c>
      <x:c r="L104" s="58" t="str">
        <x:v>Mapped</x:v>
      </x:c>
      <x:c r="M104" s="58" t="str">
        <x:v>Ready</x:v>
      </x:c>
      <x:c r="N104" s="58" t="str">
        <x:v>Not Run</x:v>
      </x:c>
      <x:c r="O104" s="58" t="str">
        <x:v>Failed</x:v>
      </x:c>
      <x:c r="P104" s="58" t="str">
        <x:v>Android: /Users/mason/.codex/visualizations/2026/09/01/01a05def-1c0d-76d1-abc6-07c63a443582/emulator-runs/initial/android-guest/progress-observations-batch-020-draft.json — A 1080x2400 PNG became a 720x1600 JPEG around 65 KB, while a corrupt file failed with no visible message or selection.</x:v>
      </x:c>
      <x:c r="Q104" s="58" t="str">
        <x:v>DEF-065</x:v>
      </x:c>
      <x:c r="R104" s="58" t="str">
        <x:v>In Progress</x:v>
      </x:c>
      <x:c r="S104" s="58" t="str"/>
      <x:c r="T104" s="58" t="str">
        <x:v>Not Run</x:v>
      </x:c>
      <x:c r="U104" s="58" t="str">
        <x:v>Not Run</x:v>
      </x:c>
      <x:c r="V104" s="58" t="str"/>
      <x:c r="W104" s="58" t="str">
        <x:f>IF(AND(OR(N104="Passed",N104="Failed",N104="Not Applicable"),OR(O104="Passed",O104="Failed",O104="Not Applicable"),OR(N104="Passed",N104="Failed",O104="Passed",O104="Failed"),OR(T104="Passed",T104="Not Applicable"),OR(U104="Passed",U104="Not Applicable"),OR(T104="Passed",U104="Passed"),Y104="Reconciled",Z104="Reconciled",IF(Q104&lt;&gt;"",R104="Fixed",TRUE)),"Verified",IF(OR(T104="Failed",U104="Failed"),"Retest Failed",IF(OR(N104="Failed",O104="Failed",Q104&lt;&gt;""),"Defect Found",IF(AND(OR(N104="Passed",N104="Not Applicable"),OR(O104="Passed",O104="Not Applicable"),OR(N104="Passed",O104="Passed")),"Initial Pass","Not Complete"))))</x:f>
        <x:v>Defect Found</x:v>
      </x:c>
      <x:c r="X104" s="58" t="str">
        <x:v>Likely defect: assignPhoto does not catch createImageBitmap/resize failures, so a corrupt or unsupported image can reject without visible guidance.</x:v>
      </x:c>
      <x:c r="Y104" s="58" t="str">
        <x:f>IF(OR(N104="Not Run",O104="Not Run"),"Pending",IF(AND(OR(N104="Not Applicable",COUNTIFS('Test Runs'!$B$5:$B$2004,A104,'Test Runs'!$C$5:$C$2004,"Initial",'Test Runs'!$D$5:$D$2004,"iOS",'Test Runs'!$I$5:$I$2004,N104)&gt;0),OR(O104="Not Applicable",COUNTIFS('Test Runs'!$B$5:$B$2004,A104,'Test Runs'!$C$5:$C$2004,"Initial",'Test Runs'!$D$5:$D$2004,"Android",'Test Runs'!$I$5:$I$2004,O104)&gt;0)),"Reconciled","Mismatch"))</x:f>
        <x:v>Pending</x:v>
      </x:c>
      <x:c r="Z104" s="58" t="str">
        <x:f>IF(OR(T104="Not Run",U104="Not Run"),"Pending",IF(AND(OR(T104="Not Applicable",COUNTIFS('Test Runs'!$B$5:$B$2004,A104,'Test Runs'!$C$5:$C$2004,"Retest",'Test Runs'!$D$5:$D$2004,"iOS",'Test Runs'!$I$5:$I$2004,T104)&gt;0),OR(U104="Not Applicable",COUNTIFS('Test Runs'!$B$5:$B$2004,A104,'Test Runs'!$C$5:$C$2004,"Retest",'Test Runs'!$D$5:$D$2004,"Android",'Test Runs'!$I$5:$I$2004,U104)&gt;0)),"Reconciled","Mismatch"))</x:f>
        <x:v>Pending</x:v>
      </x:c>
    </x:row>
    <x:row r="105" ht="120" customHeight="1">
      <x:c r="A105" s="58" t="str">
        <x:v>HLT-019</x:v>
      </x:c>
      <x:c r="B105" s="58" t="str">
        <x:v>Check-in with photos</x:v>
      </x:c>
      <x:c r="C105" s="58" t="str">
        <x:v>Progress check-in -&gt; select photos -&gt; Save</x:v>
      </x:c>
      <x:c r="D105" s="58" t="str">
        <x:v>As a user, I want a check-in and its selected photos saved together from my perspective.</x:v>
      </x:c>
      <x:c r="E105" s="58" t="str">
        <x:v>The metric is saved first via Inertia; on success the refreshed metric is found by date and selected photos upload second; photo failure retains selection and shows an upload error, but the metric itself and its success flash already exist.</x:v>
      </x:c>
      <x:c r="F105" s="58" t="str">
        <x:v>iOS, Android</x:v>
      </x:c>
      <x:c r="G105" s="58" t="str">
        <x:v>New check-in with 1–3 photos; network failure during second request.</x:v>
      </x:c>
      <x:c r="H105" s="58" t="str">
        <x:v>Save online and verify both; throttle/drop network after metric response and verify metric remains, photos stay selected, and retry succeeds.</x:v>
      </x:c>
      <x:c r="I105" s="58" t="str">
        <x:v>Repeat.</x:v>
      </x:c>
      <x:c r="J105" s="58" t="str">
        <x:v>Partial: ProgressPhotoTest.php covers proxy/staging; no end-to-end UI test of the two-request transaction.</x:v>
      </x:c>
      <x:c r="K105" s="58" t="str">
        <x:v>/Users/mason/Sites/Buff/resources/js/Pages/Progress.vue:505-572; /Users/mason/Sites/Buff/app/Http/Controllers/ProgressController.php:119-128</x:v>
      </x:c>
      <x:c r="L105" s="58" t="str">
        <x:v>Mapped</x:v>
      </x:c>
      <x:c r="M105" s="58" t="str">
        <x:v>Ready</x:v>
      </x:c>
      <x:c r="N105" s="58" t="str">
        <x:v>Not Run</x:v>
      </x:c>
      <x:c r="O105" s="58" t="str">
        <x:v>Passed</x:v>
      </x:c>
      <x:c r="P105" s="58" t="str">
        <x:v>Android: /Users/mason/.codex/visualizations/2026/09/01/01a05def-1c0d-76d1-abc6-07c63a443582/emulator-runs/initial/android-guest/progress-observations-batch-020-draft.json — Metric saved first, then photo uploaded/reloaded before selection cleared. A controlled photo failure retained selection, showed the partial-failure error, and succeeded on retry.</x:v>
      </x:c>
      <x:c r="Q105" s="58" t="str"/>
      <x:c r="R105" s="58" t="str">
        <x:v>Not Needed</x:v>
      </x:c>
      <x:c r="S105" s="58" t="str"/>
      <x:c r="T105" s="58" t="str">
        <x:v>Not Run</x:v>
      </x:c>
      <x:c r="U105" s="58" t="str">
        <x:v>Not Run</x:v>
      </x:c>
      <x:c r="V105" s="58" t="str"/>
      <x:c r="W105" s="58" t="str">
        <x:f>IF(AND(OR(N105="Passed",N105="Failed",N105="Not Applicable"),OR(O105="Passed",O105="Failed",O105="Not Applicable"),OR(N105="Passed",N105="Failed",O105="Passed",O105="Failed"),OR(T105="Passed",T105="Not Applicable"),OR(U105="Passed",U105="Not Applicable"),OR(T105="Passed",U105="Passed"),Y105="Reconciled",Z105="Reconciled",IF(Q105&lt;&gt;"",R105="Fixed",TRUE)),"Verified",IF(OR(T105="Failed",U105="Failed"),"Retest Failed",IF(OR(N105="Failed",O105="Failed",Q105&lt;&gt;""),"Defect Found",IF(AND(OR(N105="Passed",N105="Not Applicable"),OR(O105="Passed",O105="Not Applicable"),OR(N105="Passed",O105="Passed")),"Initial Pass","Not Complete"))))</x:f>
        <x:v>Not Complete</x:v>
      </x:c>
      <x:c r="X105" s="58" t="str">
        <x:v>Likely UX defect: “Progress updated” may appear even when the chained photo upload fails, creating a partial-success state.</x:v>
      </x:c>
      <x:c r="Y105" s="58" t="str">
        <x:f>IF(OR(N105="Not Run",O105="Not Run"),"Pending",IF(AND(OR(N105="Not Applicable",COUNTIFS('Test Runs'!$B$5:$B$2004,A105,'Test Runs'!$C$5:$C$2004,"Initial",'Test Runs'!$D$5:$D$2004,"iOS",'Test Runs'!$I$5:$I$2004,N105)&gt;0),OR(O105="Not Applicable",COUNTIFS('Test Runs'!$B$5:$B$2004,A105,'Test Runs'!$C$5:$C$2004,"Initial",'Test Runs'!$D$5:$D$2004,"Android",'Test Runs'!$I$5:$I$2004,O105)&gt;0)),"Reconciled","Mismatch"))</x:f>
        <x:v>Pending</x:v>
      </x:c>
      <x:c r="Z105" s="58" t="str">
        <x:f>IF(OR(T105="Not Run",U105="Not Run"),"Pending",IF(AND(OR(T105="Not Applicable",COUNTIFS('Test Runs'!$B$5:$B$2004,A105,'Test Runs'!$C$5:$C$2004,"Retest",'Test Runs'!$D$5:$D$2004,"iOS",'Test Runs'!$I$5:$I$2004,T105)&gt;0),OR(U105="Not Applicable",COUNTIFS('Test Runs'!$B$5:$B$2004,A105,'Test Runs'!$C$5:$C$2004,"Retest",'Test Runs'!$D$5:$D$2004,"Android",'Test Runs'!$I$5:$I$2004,U105)&gt;0)),"Reconciled","Mismatch"))</x:f>
        <x:v>Pending</x:v>
      </x:c>
    </x:row>
    <x:row r="106" ht="120" customHeight="1">
      <x:c r="A106" s="58" t="str">
        <x:v>HLT-020</x:v>
      </x:c>
      <x:c r="B106" s="58" t="str">
        <x:v>Add or retake historical photos</x:v>
      </x:c>
      <x:c r="C106" s="58" t="str">
        <x:v>History -&gt; View progress photos -&gt; Add photos</x:v>
      </x:c>
      <x:c r="D106" s="58" t="str">
        <x:v>As a user, I want to add photos to an existing check-in and retake a pose.</x:v>
      </x:c>
      <x:c r="E106" s="58" t="str">
        <x:v>History photo sheet can launch camera/library and uploads selected/captured subsets automatically. Each labelled pose can be retaken, and Retake photos/Choose from library remain available with all three photos present. Server keeps one photo per pose; replacement preserves the photo ID, deletes the superseded file and preserves other poses. Photos are sorted front/side/back.</x:v>
      </x:c>
      <x:c r="F106" s="58" t="str">
        <x:v>iOS, Android, server</x:v>
      </x:c>
      <x:c r="G106" s="58" t="str">
        <x:v>Synced metric with front/side/back photos.</x:v>
      </x:c>
      <x:c r="H106" s="58" t="str">
        <x:v>Add one pose, complete all three, retake front via its image control and retake via the whole-set action. Close after one capture; verify automatic upload, retained other poses and at most three photos.</x:v>
      </x:c>
      <x:c r="I106" s="58" t="str">
        <x:v>Repeat.</x:v>
      </x:c>
      <x:c r="J106" s="58" t="str">
        <x:v>Covered: progressPhotos.test.ts; server BodyMetricPhotoTest.php “stores one photo per pose and replaces a retake” and rollback tests.</x:v>
      </x:c>
      <x:c r="K106" s="58" t="str">
        <x:v>/Users/mason/Sites/Buff/resources/js/Pages/Progress.vue:674-786; /Users/mason/Sites/buff-server/app/Services/BodyMetricPhotoService.php:63-155; /Users/mason/Sites/buff-server/app/BodyMetricPhotoPose.php:5</x:v>
      </x:c>
      <x:c r="L106" s="58" t="str">
        <x:v>Mapped</x:v>
      </x:c>
      <x:c r="M106" s="58" t="str">
        <x:v>Ready</x:v>
      </x:c>
      <x:c r="N106" s="58" t="str">
        <x:v>Not Run</x:v>
      </x:c>
      <x:c r="O106" s="58" t="str">
        <x:v>Failed</x:v>
      </x:c>
      <x:c r="P106" s="58" t="str">
        <x:v>Android: /Users/mason/.codex/visualizations/2026/09/01/01a05def-1c0d-76d1-abc6-07c63a443582/emulator-runs/initial/android-guest/progress-observations-batch-020-draft.json — Historical upload/retake and pose ordering worked, but after all three poses existed every retake control disappeared.</x:v>
      </x:c>
      <x:c r="Q106" s="58" t="str">
        <x:v>DEF-066</x:v>
      </x:c>
      <x:c r="R106" s="58" t="str">
        <x:v>In Progress</x:v>
      </x:c>
      <x:c r="S106" s="58" t="str"/>
      <x:c r="T106" s="58" t="str">
        <x:v>Not Run</x:v>
      </x:c>
      <x:c r="U106" s="58" t="str">
        <x:v>Not Run</x:v>
      </x:c>
      <x:c r="V106" s="58" t="str"/>
      <x:c r="W106" s="58" t="str">
        <x:f>IF(AND(OR(N106="Passed",N106="Failed",N106="Not Applicable"),OR(O106="Passed",O106="Failed",O106="Not Applicable"),OR(N106="Passed",N106="Failed",O106="Passed",O106="Failed"),OR(T106="Passed",T106="Not Applicable"),OR(U106="Passed",U106="Not Applicable"),OR(T106="Passed",U106="Passed"),Y106="Reconciled",Z106="Reconciled",IF(Q106&lt;&gt;"",R106="Fixed",TRUE)),"Verified",IF(OR(T106="Failed",U106="Failed"),"Retest Failed",IF(OR(N106="Failed",O106="Failed",Q106&lt;&gt;""),"Defect Found",IF(AND(OR(N106="Passed",N106="Not Applicable"),OR(O106="Passed",O106="Not Applicable"),OR(N106="Passed",O106="Passed")),"Initial Pass","Not Complete"))))</x:f>
        <x:v>Defect Found</x:v>
      </x:c>
      <x:c r="X106" s="58" t="str">
        <x:v>Risk: closing the camera is also a commit action; users may expect close/cancel not to upload a partial capture.</x:v>
      </x:c>
      <x:c r="Y106" s="58" t="str">
        <x:f>IF(OR(N106="Not Run",O106="Not Run"),"Pending",IF(AND(OR(N106="Not Applicable",COUNTIFS('Test Runs'!$B$5:$B$2004,A106,'Test Runs'!$C$5:$C$2004,"Initial",'Test Runs'!$D$5:$D$2004,"iOS",'Test Runs'!$I$5:$I$2004,N106)&gt;0),OR(O106="Not Applicable",COUNTIFS('Test Runs'!$B$5:$B$2004,A106,'Test Runs'!$C$5:$C$2004,"Initial",'Test Runs'!$D$5:$D$2004,"Android",'Test Runs'!$I$5:$I$2004,O106)&gt;0)),"Reconciled","Mismatch"))</x:f>
        <x:v>Pending</x:v>
      </x:c>
      <x:c r="Z106" s="58" t="str">
        <x:f>IF(OR(T106="Not Run",U106="Not Run"),"Pending",IF(AND(OR(T106="Not Applicable",COUNTIFS('Test Runs'!$B$5:$B$2004,A106,'Test Runs'!$C$5:$C$2004,"Retest",'Test Runs'!$D$5:$D$2004,"iOS",'Test Runs'!$I$5:$I$2004,T106)&gt;0),OR(U106="Not Applicable",COUNTIFS('Test Runs'!$B$5:$B$2004,A106,'Test Runs'!$C$5:$C$2004,"Retest",'Test Runs'!$D$5:$D$2004,"Android",'Test Runs'!$I$5:$I$2004,U106)&gt;0)),"Reconciled","Mismatch"))</x:f>
        <x:v>Pending</x:v>
      </x:c>
    </x:row>
    <x:row r="107" ht="120" customHeight="1">
      <x:c r="A107" s="58" t="str">
        <x:v>HLT-021</x:v>
      </x:c>
      <x:c r="B107" s="58" t="str">
        <x:v>View progress photos</x:v>
      </x:c>
      <x:c r="C107" s="58" t="str">
        <x:v>History -&gt; photo icon</x:v>
      </x:c>
      <x:c r="D107" s="58" t="str">
        <x:v>As a user, I want private progress photos displayed by date and pose.</x:v>
      </x:c>
      <x:c r="E107" s="58" t="str">
        <x:v>Authenticated client GET proxies server photos; server verifies the non-deleted metric belongs to the account, returns front/side/back-sorted metadata with 10-minute temporary URLs and never exposes storage paths; no Buff+ entitlement check applies.</x:v>
      </x:c>
      <x:c r="F107" s="58" t="str">
        <x:v>iOS, Android, server</x:v>
      </x:c>
      <x:c r="G107" s="58" t="str">
        <x:v>Signed-in free or paid account with cloud photos; second user account.</x:v>
      </x:c>
      <x:c r="H107" s="58" t="str">
        <x:v>Open each date’s sheet, verify pose labels/images and URL refresh after reload; verify signed-out/other-account access is denied.</x:v>
      </x:c>
      <x:c r="I107" s="58" t="str">
        <x:v>Repeat.</x:v>
      </x:c>
      <x:c r="J107" s="58" t="str">
        <x:v>Covered: ProgressPhotoTest.php list/merge; server BodyMetricPhotoTest.php temporary URL, path secrecy, and account isolation.</x:v>
      </x:c>
      <x:c r="K107" s="58" t="str">
        <x:v>/Users/mason/Sites/Buff/app/Http/Controllers/BodyMetricPhotoController.php:39-61; /Users/mason/Sites/buff-server/routes/api.php:43-71; /Users/mason/Sites/buff-server/app/Services/BodyMetricPhotoService.php:160-172, :214-237</x:v>
      </x:c>
      <x:c r="L107" s="58" t="str">
        <x:v>Mapped</x:v>
      </x:c>
      <x:c r="M107" s="58" t="str">
        <x:v>Ready</x:v>
      </x:c>
      <x:c r="N107" s="58" t="str">
        <x:v>Not Run</x:v>
      </x:c>
      <x:c r="O107" s="58" t="str">
        <x:v>Blocked</x:v>
      </x:c>
      <x:c r="P107" s="58" t="str">
        <x:v>Android: /Users/mason/.codex/visualizations/2026/09/01/01a05def-1c0d-76d1-abc6-07c63a443582/emulator-runs/initial/android-guest/progress-observations-batch-020-draft.json — The free disposable account displayed cloud photos by Front, Side, and Back through temporary private URLs.</x:v>
      </x:c>
      <x:c r="Q107" s="58" t="str"/>
      <x:c r="R107" s="58" t="str">
        <x:v>Not Needed</x:v>
      </x:c>
      <x:c r="S107" s="58" t="str"/>
      <x:c r="T107" s="58" t="str">
        <x:v>Not Run</x:v>
      </x:c>
      <x:c r="U107" s="58" t="str">
        <x:v>Not Run</x:v>
      </x:c>
      <x:c r="V107" s="58" t="str"/>
      <x:c r="W107" s="58" t="str">
        <x:f>IF(AND(OR(N107="Passed",N107="Failed",N107="Not Applicable"),OR(O107="Passed",O107="Failed",O107="Not Applicable"),OR(N107="Passed",N107="Failed",O107="Passed",O107="Failed"),OR(T107="Passed",T107="Not Applicable"),OR(U107="Passed",U107="Not Applicable"),OR(T107="Passed",U107="Passed"),Y107="Reconciled",Z107="Reconciled",IF(Q107&lt;&gt;"",R107="Fixed",TRUE)),"Verified",IF(OR(T107="Failed",U107="Failed"),"Retest Failed",IF(OR(N107="Failed",O107="Failed",Q107&lt;&gt;""),"Defect Found",IF(AND(OR(N107="Passed",N107="Not Applicable"),OR(O107="Passed",O107="Not Applicable"),OR(N107="Passed",O107="Passed")),"Initial Pass","Not Complete"))))</x:f>
        <x:v>Not Complete</x:v>
      </x:c>
      <x:c r="X107" s="58" t="str">
        <x:v>Risk: temporary URLs cached in the page may expire after 10 minutes without an automatic refetch.</x:v>
      </x:c>
      <x:c r="Y107" s="58" t="str">
        <x:f>IF(OR(N107="Not Run",O107="Not Run"),"Pending",IF(AND(OR(N107="Not Applicable",COUNTIFS('Test Runs'!$B$5:$B$2004,A107,'Test Runs'!$C$5:$C$2004,"Initial",'Test Runs'!$D$5:$D$2004,"iOS",'Test Runs'!$I$5:$I$2004,N107)&gt;0),OR(O107="Not Applicable",COUNTIFS('Test Runs'!$B$5:$B$2004,A107,'Test Runs'!$C$5:$C$2004,"Initial",'Test Runs'!$D$5:$D$2004,"Android",'Test Runs'!$I$5:$I$2004,O107)&gt;0)),"Reconciled","Mismatch"))</x:f>
        <x:v>Pending</x:v>
      </x:c>
      <x:c r="Z107" s="58" t="str">
        <x:f>IF(OR(T107="Not Run",U107="Not Run"),"Pending",IF(AND(OR(T107="Not Applicable",COUNTIFS('Test Runs'!$B$5:$B$2004,A107,'Test Runs'!$C$5:$C$2004,"Retest",'Test Runs'!$D$5:$D$2004,"iOS",'Test Runs'!$I$5:$I$2004,T107)&gt;0),OR(U107="Not Applicable",COUNTIFS('Test Runs'!$B$5:$B$2004,A107,'Test Runs'!$C$5:$C$2004,"Retest",'Test Runs'!$D$5:$D$2004,"Android",'Test Runs'!$I$5:$I$2004,U107)&gt;0)),"Reconciled","Mismatch"))</x:f>
        <x:v>Pending</x:v>
      </x:c>
    </x:row>
    <x:row r="108" ht="120" customHeight="1">
      <x:c r="A108" s="58" t="str">
        <x:v>HLT-022</x:v>
      </x:c>
      <x:c r="B108" s="58" t="str">
        <x:v>Delete one progress photo</x:v>
      </x:c>
      <x:c r="C108" s="58" t="str">
        <x:v>Photo sheet -&gt; delete pose -&gt; confirm</x:v>
      </x:c>
      <x:c r="D108" s="58" t="str">
        <x:v>As a user, I want to remove one cloud progress photo without deleting the check-in.</x:v>
      </x:c>
      <x:c r="E108" s="58" t="str">
        <x:v>Only non-pending photos show/execute delete; confirmation calls authenticated cloud DELETE, removes the row/file, updates local cache, and refreshes overlays; errors remain visible without removing it locally.</x:v>
      </x:c>
      <x:c r="F108" s="58" t="str">
        <x:v>iOS, Android</x:v>
      </x:c>
      <x:c r="G108" s="58" t="str">
        <x:v>Metric with at least two cloud photos and one pending variant.</x:v>
      </x:c>
      <x:c r="H108" s="58" t="str">
        <x:v>Cancel then delete one cloud pose; verify other pose/check-in remain; simulate offline delete and retry.</x:v>
      </x:c>
      <x:c r="I108" s="58" t="str">
        <x:v>Repeat.</x:v>
      </x:c>
      <x:c r="J108" s="58" t="str">
        <x:v>Covered: ProgressPhotoTest.php proxy deletion; server BodyMetricPhotoTest.php file deletion.</x:v>
      </x:c>
      <x:c r="K108" s="58" t="str">
        <x:v>/Users/mason/Sites/Buff/resources/js/Pages/Progress.vue:636-672; /Users/mason/Sites/Buff/app/Http/Controllers/BodyMetricPhotoController.php:68-71; /Users/mason/Sites/buff-server/app/Services/BodyMetricPhotoService.php:175-183</x:v>
      </x:c>
      <x:c r="L108" s="58" t="str">
        <x:v>Mapped</x:v>
      </x:c>
      <x:c r="M108" s="58" t="str">
        <x:v>Ready</x:v>
      </x:c>
      <x:c r="N108" s="58" t="str">
        <x:v>Not Run</x:v>
      </x:c>
      <x:c r="O108" s="58" t="str">
        <x:v>Failed</x:v>
      </x:c>
      <x:c r="P108" s="58" t="str">
        <x:v>Android: /Users/mason/.codex/visualizations/2026/09/01/01a05def-1c0d-76d1-abc6-07c63a443582/emulator-runs/initial/android-guest/progress-observations-batch-020-draft.json — Cancel, failure retention, successful single-pose deletion, and other-pose retention worked; Android Back navigated history instead of dismissing confirmation.</x:v>
      </x:c>
      <x:c r="Q108" s="58" t="str">
        <x:v>DEF-018</x:v>
      </x:c>
      <x:c r="R108" s="58" t="str">
        <x:v>In Progress</x:v>
      </x:c>
      <x:c r="S108" s="58" t="str"/>
      <x:c r="T108" s="58" t="str">
        <x:v>Not Run</x:v>
      </x:c>
      <x:c r="U108" s="58" t="str">
        <x:v>Not Run</x:v>
      </x:c>
      <x:c r="V108" s="58" t="str"/>
      <x:c r="W108" s="58" t="str">
        <x:f>IF(AND(OR(N108="Passed",N108="Failed",N108="Not Applicable"),OR(O108="Passed",O108="Failed",O108="Not Applicable"),OR(N108="Passed",N108="Failed",O108="Passed",O108="Failed"),OR(T108="Passed",T108="Not Applicable"),OR(U108="Passed",U108="Not Applicable"),OR(T108="Passed",U108="Passed"),Y108="Reconciled",Z108="Reconciled",IF(Q108&lt;&gt;"",R108="Fixed",TRUE)),"Verified",IF(OR(T108="Failed",U108="Failed"),"Retest Failed",IF(OR(N108="Failed",O108="Failed",Q108&lt;&gt;""),"Defect Found",IF(AND(OR(N108="Passed",N108="Not Applicable"),OR(O108="Passed",O108="Not Applicable"),OR(N108="Passed",O108="Passed")),"Initial Pass","Not Complete"))))</x:f>
        <x:v>Defect Found</x:v>
      </x:c>
      <x:c r="X108" s="58" t="str">
        <x:v>Risk: pending photos cannot be deleted individually in the UI; only deleting the metric discards them.</x:v>
      </x:c>
      <x:c r="Y108" s="58" t="str">
        <x:f>IF(OR(N108="Not Run",O108="Not Run"),"Pending",IF(AND(OR(N108="Not Applicable",COUNTIFS('Test Runs'!$B$5:$B$2004,A108,'Test Runs'!$C$5:$C$2004,"Initial",'Test Runs'!$D$5:$D$2004,"iOS",'Test Runs'!$I$5:$I$2004,N108)&gt;0),OR(O108="Not Applicable",COUNTIFS('Test Runs'!$B$5:$B$2004,A108,'Test Runs'!$C$5:$C$2004,"Initial",'Test Runs'!$D$5:$D$2004,"Android",'Test Runs'!$I$5:$I$2004,O108)&gt;0)),"Reconciled","Mismatch"))</x:f>
        <x:v>Pending</x:v>
      </x:c>
      <x:c r="Z108" s="58" t="str">
        <x:f>IF(OR(T108="Not Run",U108="Not Run"),"Pending",IF(AND(OR(T108="Not Applicable",COUNTIFS('Test Runs'!$B$5:$B$2004,A108,'Test Runs'!$C$5:$C$2004,"Retest",'Test Runs'!$D$5:$D$2004,"iOS",'Test Runs'!$I$5:$I$2004,T108)&gt;0),OR(U108="Not Applicable",COUNTIFS('Test Runs'!$B$5:$B$2004,A108,'Test Runs'!$C$5:$C$2004,"Retest",'Test Runs'!$D$5:$D$2004,"Android",'Test Runs'!$I$5:$I$2004,U108)&gt;0)),"Reconciled","Mismatch"))</x:f>
        <x:v>Pending</x:v>
      </x:c>
    </x:row>
    <x:row r="109" ht="120" customHeight="1">
      <x:c r="A109" s="58" t="str">
        <x:v>HLT-023</x:v>
      </x:c>
      <x:c r="B109" s="58" t="str">
        <x:v>Offline photos for a new metric</x:v>
      </x:c>
      <x:c r="C109" s="58" t="str">
        <x:v>Save a new offline metric with photos</x:v>
      </x:c>
      <x:c r="D109" s="58" t="str">
        <x:v>As an offline user, I want photos attached to a newly created pending check-in to survive until sync.</x:v>
      </x:c>
      <x:c r="E109" s="58" t="str">
        <x:v>If the metric still has a body_metrics outbox entry, photos are staged locally and reported pending. The photo-list payload supplies pending previews as base64 data URLs, merged ahead of cloud photos by pose, so binary JPEG bytes do not pass through the native string bridge. Upload follows successful metric sync and canonical-ID remapping. A failed cloud list returns pending-only success when pending data exists; without pending it forwards the failure.</x:v>
      </x:c>
      <x:c r="F109" s="58" t="str">
        <x:v>iOS, Android</x:v>
      </x:c>
      <x:c r="G109" s="58" t="str">
        <x:v>Signed-in app offline; brand-new dated metric; 1–3 photos; two offline retakes of the same pose.</x:v>
      </x:c>
      <x:c r="H109" s="58" t="str">
        <x:v>Disable network, save new metric/photos, relaunch and view pending images; stage a second same-pose retake; reconnect/sync and verify pending badge clears and final cloud image remains.</x:v>
      </x:c>
      <x:c r="I109" s="58" t="str">
        <x:v>Repeat.</x:v>
      </x:c>
      <x:c r="J109" s="58" t="str">
        <x:v>Covered: ProgressPhotoTest.php staging, serving, merging, post-sync upload, and canonical reconciliation-related sync tests.</x:v>
      </x:c>
      <x:c r="K109" s="58" t="str">
        <x:v>/Users/mason/Sites/Buff/app/Services/BodyMetricPhotoUploader.php:24-35 upload, :69-112 pending serving, :133-163 stage; /Users/mason/Sites/Buff/app/Http/Controllers/BodyMetricPhotoController.php:39-65; /Users/mason/Sites/Buff/app/Services/BuffSyncService.php:369-381</x:v>
      </x:c>
      <x:c r="L109" s="58" t="str">
        <x:v>Mapped</x:v>
      </x:c>
      <x:c r="M109" s="58" t="str">
        <x:v>Ready</x:v>
      </x:c>
      <x:c r="N109" s="58" t="str">
        <x:v>Not Run</x:v>
      </x:c>
      <x:c r="O109" s="58" t="str">
        <x:v>Failed</x:v>
      </x:c>
      <x:c r="P109" s="58" t="str">
        <x:v>Android: /Users/mason/.codex/visualizations/2026/09/01/01a05def-1c0d-76d1-abc6-07c63a443582/emulator-runs/initial/android/HLT-023-pending-photo-native-crash.json — The metric/photo staged offline, but loading its local pending JPEG hit JNI NewStringUTF with binary byte 0xff and terminated the app with SIGABRT.</x:v>
      </x:c>
      <x:c r="Q109" s="58" t="str">
        <x:v>DEF-067</x:v>
      </x:c>
      <x:c r="R109" s="58" t="str">
        <x:v>Fixed</x:v>
      </x:c>
      <x:c r="S109" s="58" t="str"/>
      <x:c r="T109" s="58" t="str">
        <x:v>Not Run</x:v>
      </x:c>
      <x:c r="U109" s="58" t="str">
        <x:v>Passed</x:v>
      </x:c>
      <x:c r="V109" s="58" t="str">
        <x:v>Android: /Users/mason/.codex/visualizations/2026/09/06/01a07722-2d43-7910-aa74-f3a7d9489dc2/release-qa/DEF-067-offline-saved.json
/Users/mason/.codex/visualizations/2026/09/06/01a07722-2d43-7910-aa74-f3a7d9489dc2/release-qa/DEF-067-offline-saved.png
/Users/mason/.codex/visualizations/2026/09/06/01a07722-2d43-7910-aa74-f3a7d9489dc2/release-qa/DEF-067-cold-offline.json
/Users/mason/.codex/visualizations/2026/09/06/01a07722-2d43-7910-aa74-f3a7d9489dc2/release-qa/DEF-067-reconnected.json — Injected a synthetic JPEG through the real file input/change handler, saved a new QA measurement offline, and opened its native WebView photo sheet. JPEG rendered without a crash. QA-only force-stop/relaunch changed PID7874 to10379; no default network, same photo rendered at640px with the same8739-character data URL. Reconnect uploaded the photo: HTTP200, front pose, HTTPS cloud URL, pending=false.</x:v>
      </x:c>
      <x:c r="W109" s="58" t="str">
        <x:f>IF(AND(OR(N109="Passed",N109="Failed",N109="Not Applicable"),OR(O109="Passed",O109="Failed",O109="Not Applicable"),OR(N109="Passed",N109="Failed",O109="Passed",O109="Failed"),OR(T109="Passed",T109="Not Applicable"),OR(U109="Passed",U109="Not Applicable"),OR(T109="Passed",U109="Passed"),Y109="Reconciled",Z109="Reconciled",IF(Q109&lt;&gt;"",R109="Fixed",TRUE)),"Verified",IF(OR(T109="Failed",U109="Failed"),"Retest Failed",IF(OR(N109="Failed",O109="Failed",Q109&lt;&gt;""),"Defect Found",IF(AND(OR(N109="Passed",N109="Not Applicable"),OR(O109="Passed",O109="Not Applicable"),OR(N109="Passed",O109="Passed")),"Initial Pass","Not Complete"))))</x:f>
        <x:v>Defect Found</x:v>
      </x:c>
      <x:c r="X109" s="58" t="str">
        <x:v>Likely preview defect: pending batches are read oldest-first and merged unique-by-pose, so multiple offline retakes can show the oldest pose until all batches flush; storage exhaustion is another failure mode.</x:v>
      </x:c>
      <x:c r="Y109" s="58" t="str">
        <x:f>IF(OR(N109="Not Run",O109="Not Run"),"Pending",IF(AND(OR(N109="Not Applicable",COUNTIFS('Test Runs'!$B$5:$B$2004,A109,'Test Runs'!$C$5:$C$2004,"Initial",'Test Runs'!$D$5:$D$2004,"iOS",'Test Runs'!$I$5:$I$2004,N109)&gt;0),OR(O109="Not Applicable",COUNTIFS('Test Runs'!$B$5:$B$2004,A109,'Test Runs'!$C$5:$C$2004,"Initial",'Test Runs'!$D$5:$D$2004,"Android",'Test Runs'!$I$5:$I$2004,O109)&gt;0)),"Reconciled","Mismatch"))</x:f>
        <x:v>Pending</x:v>
      </x:c>
      <x:c r="Z109" s="58" t="str">
        <x:f>IF(OR(T109="Not Run",U109="Not Run"),"Pending",IF(AND(OR(T109="Not Applicable",COUNTIFS('Test Runs'!$B$5:$B$2004,A109,'Test Runs'!$C$5:$C$2004,"Retest",'Test Runs'!$D$5:$D$2004,"iOS",'Test Runs'!$I$5:$I$2004,T109)&gt;0),OR(U109="Not Applicable",COUNTIFS('Test Runs'!$B$5:$B$2004,A109,'Test Runs'!$C$5:$C$2004,"Retest",'Test Runs'!$D$5:$D$2004,"Android",'Test Runs'!$I$5:$I$2004,U109)&gt;0)),"Reconciled","Mismatch"))</x:f>
        <x:v>Pending</x:v>
      </x:c>
    </x:row>
    <x:row r="110" ht="120" customHeight="1">
      <x:c r="A110" s="58" t="str">
        <x:v>HLT-024</x:v>
      </x:c>
      <x:c r="B110" s="58" t="str">
        <x:v>Pending-photo retry and cleanup</x:v>
      </x:c>
      <x:c r="C110" s="58" t="str">
        <x:v>Automatic sync after staged photo</x:v>
      </x:c>
      <x:c r="D110" s="58" t="str">
        <x:v>As a user, I want failed staged uploads retried safely and cleaned up when no longer valid.</x:v>
      </x:c>
      <x:c r="E110" s="58" t="str">
        <x:v>Each successful account sync attempts every eligible staged batch; failures increment attempts and persist last_error without a retry cap; successful upload deletes staged files/row; missing staged files discard the batch; deleting the metric/account discards staged files.</x:v>
      </x:c>
      <x:c r="F110" s="58" t="str">
        <x:v>iOS, Android</x:v>
      </x:c>
      <x:c r="G110" s="58" t="str">
        <x:v>Staged batch; force 500/network error, then success; manually absent file; delete metric/account.</x:v>
      </x:c>
      <x:c r="H110" s="58" t="str">
        <x:v>Reconnect with server failure then recovery; verify pending persists then clears; delete pending metric and verify no photo remains.</x:v>
      </x:c>
      <x:c r="I110" s="58" t="str">
        <x:v>Repeat.</x:v>
      </x:c>
      <x:c r="J110" s="58" t="str">
        <x:v>Covered: ProgressPhotoTest.php failed upload retention, successful flush, metric deletion; account wipe coverage elsewhere.</x:v>
      </x:c>
      <x:c r="K110" s="58" t="str">
        <x:v>/Users/mason/Sites/Buff/app/Services/BodyMetricPhotoUploader.php:38-64 flushPending, :114-127 discard, :165-180 discard implementation; /Users/mason/Sites/Buff/app/Models/PendingBodyMetricPhotoUpload.php</x:v>
      </x:c>
      <x:c r="L110" s="58" t="str">
        <x:v>Mapped</x:v>
      </x:c>
      <x:c r="M110" s="58" t="str">
        <x:v>Ready</x:v>
      </x:c>
      <x:c r="N110" s="58" t="str">
        <x:v>Not Run</x:v>
      </x:c>
      <x:c r="O110" s="58" t="str">
        <x:v>Blocked</x:v>
      </x:c>
      <x:c r="P110" s="58" t="str">
        <x:v>Android: /Users/mason/.codex/visualizations/2026/09/01/01a05def-1c0d-76d1-abc6-07c63a443582/emulator-runs/initial/android/HLT-023-pending-photo-native-crash.json
/Users/mason/.codex/visualizations/2026/09/01/01a05def-1c0d-76d1-abc6-07c63a443582/emulator-runs/initial/android-guest/progress-observations-batch-020-draft.json — After validated reconnect and process recovery, the staged row cleared, the date exposed one ordinary non-pending cloud front JPEG, and account sync reported pending=0.</x:v>
      </x:c>
      <x:c r="Q110" s="58" t="str"/>
      <x:c r="R110" s="58" t="str">
        <x:v>Not Needed</x:v>
      </x:c>
      <x:c r="S110" s="58" t="str"/>
      <x:c r="T110" s="58" t="str">
        <x:v>Not Run</x:v>
      </x:c>
      <x:c r="U110" s="58" t="str">
        <x:v>Not Run</x:v>
      </x:c>
      <x:c r="V110" s="58" t="str"/>
      <x:c r="W110" s="58" t="str">
        <x:f>IF(AND(OR(N110="Passed",N110="Failed",N110="Not Applicable"),OR(O110="Passed",O110="Failed",O110="Not Applicable"),OR(N110="Passed",N110="Failed",O110="Passed",O110="Failed"),OR(T110="Passed",T110="Not Applicable"),OR(U110="Passed",U110="Not Applicable"),OR(T110="Passed",U110="Passed"),Y110="Reconciled",Z110="Reconciled",IF(Q110&lt;&gt;"",R110="Fixed",TRUE)),"Verified",IF(OR(T110="Failed",U110="Failed"),"Retest Failed",IF(OR(N110="Failed",O110="Failed",Q110&lt;&gt;""),"Defect Found",IF(AND(OR(N110="Passed",N110="Not Applicable"),OR(O110="Passed",O110="Not Applicable"),OR(N110="Passed",O110="Passed")),"Initial Pass","Not Complete"))))</x:f>
        <x:v>Not Complete</x:v>
      </x:c>
      <x:c r="X110" s="58" t="str">
        <x:v>Risk: infinite retries have no backoff/user control, and last_error/attempt count is not surfaced in the UI.</x:v>
      </x:c>
      <x:c r="Y110" s="58" t="str">
        <x:f>IF(OR(N110="Not Run",O110="Not Run"),"Pending",IF(AND(OR(N110="Not Applicable",COUNTIFS('Test Runs'!$B$5:$B$2004,A110,'Test Runs'!$C$5:$C$2004,"Initial",'Test Runs'!$D$5:$D$2004,"iOS",'Test Runs'!$I$5:$I$2004,N110)&gt;0),OR(O110="Not Applicable",COUNTIFS('Test Runs'!$B$5:$B$2004,A110,'Test Runs'!$C$5:$C$2004,"Initial",'Test Runs'!$D$5:$D$2004,"Android",'Test Runs'!$I$5:$I$2004,O110)&gt;0)),"Reconciled","Mismatch"))</x:f>
        <x:v>Pending</x:v>
      </x:c>
      <x:c r="Z110" s="58" t="str">
        <x:f>IF(OR(T110="Not Run",U110="Not Run"),"Pending",IF(AND(OR(T110="Not Applicable",COUNTIFS('Test Runs'!$B$5:$B$2004,A110,'Test Runs'!$C$5:$C$2004,"Retest",'Test Runs'!$D$5:$D$2004,"iOS",'Test Runs'!$I$5:$I$2004,T110)&gt;0),OR(U110="Not Applicable",COUNTIFS('Test Runs'!$B$5:$B$2004,A110,'Test Runs'!$C$5:$C$2004,"Retest",'Test Runs'!$D$5:$D$2004,"Android",'Test Runs'!$I$5:$I$2004,U110)&gt;0)),"Reconciled","Mismatch"))</x:f>
        <x:v>Pending</x:v>
      </x:c>
    </x:row>
    <x:row r="111" ht="120" customHeight="1">
      <x:c r="A111" s="58" t="str">
        <x:v>HLT-025</x:v>
      </x:c>
      <x:c r="B111" s="58" t="str">
        <x:v>Offline photos for an existing metric</x:v>
      </x:c>
      <x:c r="C111" s="58" t="str">
        <x:v>Historical synced metric -&gt; Add photos while offline</x:v>
      </x:c>
      <x:c r="D111" s="58" t="str">
        <x:v>As an offline user, I want adding a photo to an already-synced metric to be predictable.</x:v>
      </x:c>
      <x:c r="E111" s="58" t="str">
        <x:v>A photo added to an already-synced metric uploads directly while connected. If that request fails to connect, Buff stores the photo and pose in the existing durable pending-upload queue and returns pending success. Pending photos remain available through a later request and must survive app closure/relaunch. A subsequent successful account sync uploads them and removes the staged files and row. HTTP 401 and 422 failures remain visible and do not create a pending upload. Metrics still in the sync outbox keep their existing immediate-staging behavior.</x:v>
      </x:c>
      <x:c r="F111" s="58" t="str">
        <x:v>iOS, Android</x:v>
      </x:c>
      <x:c r="G111" s="58" t="str">
        <x:v>A historical synced metric with no metric outbox entry, a selected valid photo and pose, controlled connectivity loss, then restored connectivity. Separate controlled HTTP 401 and 422 responses. Keep the Android emulator awake and unlocked during online recovery so OS background restrictions do not mimic an app connection failure.</x:v>
      </x:c>
      <x:c r="H111" s="58" t="str">
        <x:v>Open the historical metric, disconnect networking, add a photo and verify pending success plus a visible pending preview. Close and relaunch Buff before reconnecting, reopen the metric, and verify the same photo and pose remain. Restore networking and complete account sync, then confirm the cloud photo is visible and the pending queue/files are removed. Repeat direct upload with controlled 401 and 422 responses and verify an actionable error with no new pending upload.</x:v>
      </x:c>
      <x:c r="I111" s="58" t="str">
        <x:v>Repeat the offline, relaunch, reconnect/flush and 401/422 checks on Android. Keep the emulator awake/unlocked for connected requests. Record an actual process relaunch separately from source tests that only use subsequent HTTP requests.</x:v>
      </x:c>
      <x:c r="J111" s="58" t="str">
        <x:v>No focused automated test for this asymmetry; direct-proxy and pending paths are separately covered.</x:v>
      </x:c>
      <x:c r="K111" s="58" t="str">
        <x:v>/Users/mason/Sites/Buff/app/Services/BodyMetricPhotoUploader.php:24-35, :206-212; /Users/mason/Sites/Buff/resources/js/Pages/Progress.vue:770-785</x:v>
      </x:c>
      <x:c r="L111" s="58" t="str">
        <x:v>Mapped</x:v>
      </x:c>
      <x:c r="M111" s="58" t="str">
        <x:v>Ready</x:v>
      </x:c>
      <x:c r="N111" s="58" t="str">
        <x:v>Not Run</x:v>
      </x:c>
      <x:c r="O111" s="58" t="str">
        <x:v>Passed</x:v>
      </x:c>
      <x:c r="P111" s="58" t="str">
        <x:v>Android: /Users/mason/.codex/visualizations/2026/09/01/01a05def-1c0d-76d1-abc6-07c63a443582/emulator-runs/initial/android-guest/progress-observations-batch-020-draft.json — For an already-synced historical metric with no outbox/pending row, an intercepted photo POST failure showed the expected connection error and retained the selected front blob only in current UI memory; force-stop/relaunch cleared selection and the remote list stayed empty.</x:v>
      </x:c>
      <x:c r="Q111" s="58" t="str">
        <x:v>DEF-083</x:v>
      </x:c>
      <x:c r="R111" s="58" t="str">
        <x:v>Fixed</x:v>
      </x:c>
      <x:c r="S111" s="58" t="str"/>
      <x:c r="T111" s="58" t="str">
        <x:v>Blocked</x:v>
      </x:c>
      <x:c r="U111" s="58" t="str">
        <x:v>Passed</x:v>
      </x:c>
      <x:c r="V111" s="58" t="str">
        <x:v>Android: /Users/mason/.codex/visualizations/2026/09/06/01a07722-2d43-7910-aa74-f3a7d9489dc2/release-qa/DEF-083-offline-saved.json
/Users/mason/.codex/visualizations/2026/09/06/01a07722-2d43-7910-aa74-f3a7d9489dc2/release-qa/DEF-083-cold-offline.json
/Users/mason/.codex/visualizations/2026/09/06/01a07722-2d43-7910-aa74-f3a7d9489dc2/release-qa/DEF-083-reconnected.json — Added a new synthetic JPEG via photo-sheet library input to the already-synced QA measurement. Offline GET returned a durable pending photo. QA-only cold restart PID10379→11232 with no default network preserved the same pending ID and8719-character JPEG, rendered640px. Reconnect returned200 with an HTTPS cloud photo and pending=false.
iOS: /Users/mason/.codex/visualizations/2026/09/06/01a07722-2d43-7910-aa74-f3a7d9489dc2/release-qa/DEF-083-ios-staged.png
/Users/mason/.codex/visualizations/2026/09/06/01a07722-2d43-7910-aa74-f3a7d9489dc2/release-qa/DEF-083-ios-cold-offline.png
/Users/mason/.codex/visualizations/2026/09/06/01a07722-2d43-7910-aa74-f3a7d9489dc2/release-qa/DEF-083-ios-cloud-before-reconnect.json
/Users/mason/.codex/visualizations/2026/09/06/01a07722-2d43-7910-aa74-f3a7d9489dc2/release-qa/DEF-083-ios-cloud-reconnected.json — Staged a synthetic JPEG on synced September 4 metric during real app-scoped HTTPS connection failure. Native preview survived cold relaunch. Removed proxy via normal relaunch; independent Android API confirmed new cloud HTTPS photo. Existing data preserved.</x:v>
      </x:c>
      <x:c r="W111" s="58" t="str">
        <x:f>IF(AND(OR(N111="Passed",N111="Failed",N111="Not Applicable"),OR(O111="Passed",O111="Failed",O111="Not Applicable"),OR(N111="Passed",N111="Failed",O111="Passed",O111="Failed"),OR(T111="Passed",T111="Not Applicable"),OR(U111="Passed",U111="Not Applicable"),OR(T111="Passed",U111="Passed"),Y111="Reconciled",Z111="Reconciled",IF(Q111&lt;&gt;"",R111="Fixed",TRUE)),"Verified",IF(OR(T111="Failed",U111="Failed"),"Retest Failed",IF(OR(N111="Failed",O111="Failed",Q111&lt;&gt;""),"Defect Found",IF(AND(OR(N111="Passed",N111="Not Applicable"),OR(O111="Passed",O111="Not Applicable"),OR(N111="Passed",O111="Passed")),"Initial Pass","Not Complete"))))</x:f>
        <x:v>Defect Found</x:v>
      </x:c>
      <x:c r="X111" s="58" t="str">
        <x:v>Likely product defect: offline support depends on unrelated metric-sync state, so new and existing check-ins behave differently.</x:v>
      </x:c>
      <x:c r="Y111" s="58" t="str">
        <x:f>IF(OR(N111="Not Run",O111="Not Run"),"Pending",IF(AND(OR(N111="Not Applicable",COUNTIFS('Test Runs'!$B$5:$B$2004,A111,'Test Runs'!$C$5:$C$2004,"Initial",'Test Runs'!$D$5:$D$2004,"iOS",'Test Runs'!$I$5:$I$2004,N111)&gt;0),OR(O111="Not Applicable",COUNTIFS('Test Runs'!$B$5:$B$2004,A111,'Test Runs'!$C$5:$C$2004,"Initial",'Test Runs'!$D$5:$D$2004,"Android",'Test Runs'!$I$5:$I$2004,O111)&gt;0)),"Reconciled","Mismatch"))</x:f>
        <x:v>Pending</x:v>
      </x:c>
      <x:c r="Z111" s="58" t="str">
        <x:f>IF(OR(T111="Not Run",U111="Not Run"),"Pending",IF(AND(OR(T111="Not Applicable",COUNTIFS('Test Runs'!$B$5:$B$2004,A111,'Test Runs'!$C$5:$C$2004,"Retest",'Test Runs'!$D$5:$D$2004,"iOS",'Test Runs'!$I$5:$I$2004,T111)&gt;0),OR(U111="Not Applicable",COUNTIFS('Test Runs'!$B$5:$B$2004,A111,'Test Runs'!$C$5:$C$2004,"Retest",'Test Runs'!$D$5:$D$2004,"Android",'Test Runs'!$I$5:$I$2004,U111)&gt;0)),"Reconciled","Mismatch"))</x:f>
        <x:v>Reconciled</x:v>
      </x:c>
    </x:row>
    <x:row r="112" ht="120" customHeight="1">
      <x:c r="A112" s="58" t="str">
        <x:v>HLT-026</x:v>
      </x:c>
      <x:c r="B112" s="58" t="str">
        <x:v>Photo cloud integrity</x:v>
      </x:c>
      <x:c r="C112" s="58" t="str">
        <x:v>POST /api/v1/body-metrics/{id}/photos</x:v>
      </x:c>
      <x:c r="D112" s="58" t="str">
        <x:v>As a user, I want progress-photo batches private, capped, and atomic during races/failures.</x:v>
      </x:c>
      <x:c r="E112" s="58" t="str">
        <x:v>Server requires an authenticated, non-deleted body metric owned by the user; permits max three photos/poses and one per pose per user+metric; a per-user/metric lock waits five seconds then returns 409; batch or replacement failures roll back database/files and preserve old pose photos; photo routes are authenticated but not subscription-gated.</x:v>
      </x:c>
      <x:c r="F112" s="58" t="str">
        <x:v>Server contract consumed by iOS/Android</x:v>
      </x:c>
      <x:c r="G112" s="58" t="str">
        <x:v>Two accounts, deleted/missing metric, &gt;3/duplicate poses, simultaneous uploads, forced storage failure.</x:v>
      </x:c>
      <x:c r="H112" s="58" t="str">
        <x:v>Trigger two uploads quickly, invalid/deleted metric, and account switch; verify 409/404/422 and unchanged prior photos.</x:v>
      </x:c>
      <x:c r="I112" s="58" t="str">
        <x:v>Repeat.</x:v>
      </x:c>
      <x:c r="J112" s="58" t="str">
        <x:v>Strong: server BodyMetricPhotoTest.php covers cap/type/pose, ownership, locks, atomic rollback, replacement, cleanup.</x:v>
      </x:c>
      <x:c r="K112" s="58" t="str">
        <x:v>/Users/mason/Sites/buff-server/app/Http/Controllers/Api/V1/BodyMetricPhotoController.php:17-50; /Users/mason/Sites/buff-server/app/Http/Requests/Api/V1/StoreBodyMetricPhotosRequest.php:22-46; /Users/mason/Sites/buff-server/app/Services/BodyMetricPhotoService.php:26-158; /Users/mason/Sites/buff-server/database/migrations/2026_08_24_115407_scope_body_metric_photo_pose_to_user.php</x:v>
      </x:c>
      <x:c r="L112" s="58" t="str">
        <x:v>Mapped</x:v>
      </x:c>
      <x:c r="M112" s="58" t="str">
        <x:v>Ready</x:v>
      </x:c>
      <x:c r="N112" s="58" t="str">
        <x:v>Not Run</x:v>
      </x:c>
      <x:c r="O112" s="58" t="str">
        <x:v>Blocked</x:v>
      </x:c>
      <x:c r="P112" s="58" t="str">
        <x:v>Android: /Users/mason/.codex/visualizations/2026/09/01/01a05def-1c0d-76d1-abc6-07c63a443582/emulator-runs/initial/android/HLT-026-existing-photo-batch.png
/Users/mason/.codex/visualizations/2026/09/01/01a05def-1c0d-76d1-abc6-07c63a443582/emulator-runs/initial/android/ACC-054-063-076-HLT-013-047-NUT-109-111-blocker-observations.json — The 2026-09-02 photo dialog loaded complete 480x640 Front and Side images. A nonexistent metric UUID returned JSON 404 without revealing photo data.</x:v>
      </x:c>
      <x:c r="Q112" s="58" t="str"/>
      <x:c r="R112" s="58" t="str">
        <x:v>Not Needed</x:v>
      </x:c>
      <x:c r="S112" s="58" t="str"/>
      <x:c r="T112" s="58" t="str">
        <x:v>Not Run</x:v>
      </x:c>
      <x:c r="U112" s="58" t="str">
        <x:v>Not Run</x:v>
      </x:c>
      <x:c r="V112" s="58" t="str"/>
      <x:c r="W112" s="58" t="str">
        <x:f>IF(AND(OR(N112="Passed",N112="Failed",N112="Not Applicable"),OR(O112="Passed",O112="Failed",O112="Not Applicable"),OR(N112="Passed",N112="Failed",O112="Passed",O112="Failed"),OR(T112="Passed",T112="Not Applicable"),OR(U112="Passed",U112="Not Applicable"),OR(T112="Passed",U112="Passed"),Y112="Reconciled",Z112="Reconciled",IF(Q112&lt;&gt;"",R112="Fixed",TRUE)),"Verified",IF(OR(T112="Failed",U112="Failed"),"Retest Failed",IF(OR(N112="Failed",O112="Failed",Q112&lt;&gt;""),"Defect Found",IF(AND(OR(N112="Passed",N112="Not Applicable"),OR(O112="Passed",O112="Not Applicable"),OR(N112="Passed",O112="Passed")),"Initial Pass","Not Complete"))))</x:f>
        <x:v>Not Complete</x:v>
      </x:c>
      <x:c r="X112" s="58" t="str">
        <x:v>Low server risk; client collapses many 422 details to generic response.message.</x:v>
      </x:c>
      <x:c r="Y112" s="58" t="str">
        <x:f>IF(OR(N112="Not Run",O112="Not Run"),"Pending",IF(AND(OR(N112="Not Applicable",COUNTIFS('Test Runs'!$B$5:$B$2004,A112,'Test Runs'!$C$5:$C$2004,"Initial",'Test Runs'!$D$5:$D$2004,"iOS",'Test Runs'!$I$5:$I$2004,N112)&gt;0),OR(O112="Not Applicable",COUNTIFS('Test Runs'!$B$5:$B$2004,A112,'Test Runs'!$C$5:$C$2004,"Initial",'Test Runs'!$D$5:$D$2004,"Android",'Test Runs'!$I$5:$I$2004,O112)&gt;0)),"Reconciled","Mismatch"))</x:f>
        <x:v>Pending</x:v>
      </x:c>
      <x:c r="Z112" s="58" t="str">
        <x:f>IF(OR(T112="Not Run",U112="Not Run"),"Pending",IF(AND(OR(T112="Not Applicable",COUNTIFS('Test Runs'!$B$5:$B$2004,A112,'Test Runs'!$C$5:$C$2004,"Retest",'Test Runs'!$D$5:$D$2004,"iOS",'Test Runs'!$I$5:$I$2004,T112)&gt;0),OR(U112="Not Applicable",COUNTIFS('Test Runs'!$B$5:$B$2004,A112,'Test Runs'!$C$5:$C$2004,"Retest",'Test Runs'!$D$5:$D$2004,"Android",'Test Runs'!$I$5:$I$2004,U112)&gt;0)),"Reconciled","Mismatch"))</x:f>
        <x:v>Pending</x:v>
      </x:c>
    </x:row>
    <x:row r="113" ht="120" customHeight="1">
      <x:c r="A113" s="58" t="str">
        <x:v>HLT-027</x:v>
      </x:c>
      <x:c r="B113" s="58" t="str">
        <x:v>Photo loading failures</x:v>
      </x:c>
      <x:c r="C113" s="58" t="str">
        <x:v>Progress page load and history photo sheet</x:v>
      </x:c>
      <x:c r="D113" s="58" t="str">
        <x:v>As a user, I want photo network failures distinguished from “no photos.”</x:v>
      </x:c>
      <x:c r="E113" s="58" t="str">
        <x:v>Progress starts photo loads for visible history rows and coalesces concurrent loads. Successful results are cached; failed requests are not cached as empty. Opening a failed photo sheet shows a load error, and reopening can retry without reloading the page. Background history preloading settles failures without preventing other dates from loading.</x:v>
      </x:c>
      <x:c r="F113" s="58" t="str">
        <x:v>iOS, Android</x:v>
      </x:c>
      <x:c r="G113" s="58" t="str">
        <x:v>Many history metrics with cloud photos; offline/500 response.</x:v>
      </x:c>
      <x:c r="H113" s="58" t="str">
        <x:v>Open Progress with photo-list failure, then open a failed date and verify the visible load error. Reconnect and reopen the sheet without a page reload; verify a fresh request and recovered photos. Inspect load behavior with many dates.</x:v>
      </x:c>
      <x:c r="I113" s="58" t="str">
        <x:v>Repeat Android and verify a failed first request cannot permanently hide saved photos or ghost overlays.</x:v>
      </x:c>
      <x:c r="J113" s="58" t="str">
        <x:v>No focused failure/retry or request-volume automated test found.</x:v>
      </x:c>
      <x:c r="K113" s="58" t="str">
        <x:v>/Users/mason/Sites/Buff/resources/js/Pages/Progress.vue:242-276 loadPhotosForMetric/loadHistoryPhotos, :685-703 showPhotos, :805-809 eager watcher</x:v>
      </x:c>
      <x:c r="L113" s="58" t="str">
        <x:v>Mapped</x:v>
      </x:c>
      <x:c r="M113" s="58" t="str">
        <x:v>Ready</x:v>
      </x:c>
      <x:c r="N113" s="58" t="str">
        <x:v>Not Run</x:v>
      </x:c>
      <x:c r="O113" s="58" t="str">
        <x:v>Failed</x:v>
      </x:c>
      <x:c r="P113" s="58" t="str">
        <x:v>Android: /Users/mason/.codex/visualizations/2026/09/01/01a05def-1c0d-76d1-abc6-07c63a443582/emulator-runs/initial/android-guest/progress-observations-batch-020-draft.json — Seven offline photo-list failures were cached empty; after validated reconnect the dated sheet issued no new request and falsely showed 'No photos for this measurement yet.'</x:v>
      </x:c>
      <x:c r="Q113" s="58" t="str">
        <x:v>DEF-068</x:v>
      </x:c>
      <x:c r="R113" s="58" t="str">
        <x:v>In Progress</x:v>
      </x:c>
      <x:c r="S113" s="58" t="str"/>
      <x:c r="T113" s="58" t="str">
        <x:v>Not Run</x:v>
      </x:c>
      <x:c r="U113" s="58" t="str">
        <x:v>Not Run</x:v>
      </x:c>
      <x:c r="V113" s="58" t="str"/>
      <x:c r="W113" s="58" t="str">
        <x:f>IF(AND(OR(N113="Passed",N113="Failed",N113="Not Applicable"),OR(O113="Passed",O113="Failed",O113="Not Applicable"),OR(N113="Passed",N113="Failed",O113="Passed",O113="Failed"),OR(T113="Passed",T113="Not Applicable"),OR(U113="Passed",U113="Not Applicable"),OR(T113="Passed",U113="Passed"),Y113="Reconciled",Z113="Reconciled",IF(Q113&lt;&gt;"",R113="Fixed",TRUE)),"Verified",IF(OR(T113="Failed",U113="Failed"),"Retest Failed",IF(OR(N113="Failed",O113="Failed",Q113&lt;&gt;""),"Defect Found",IF(AND(OR(N113="Passed",N113="Not Applicable"),OR(O113="Passed",O113="Not Applicable"),OR(N113="Passed",O113="Passed")),"Initial Pass","Not Complete"))))</x:f>
        <x:v>Defect Found</x:v>
      </x:c>
      <x:c r="X113" s="58" t="str">
        <x:v>Likely UX/performance defect: errors masquerade as an empty state and N history rows produce N eager API requests.</x:v>
      </x:c>
      <x:c r="Y113" s="58" t="str">
        <x:f>IF(OR(N113="Not Run",O113="Not Run"),"Pending",IF(AND(OR(N113="Not Applicable",COUNTIFS('Test Runs'!$B$5:$B$2004,A113,'Test Runs'!$C$5:$C$2004,"Initial",'Test Runs'!$D$5:$D$2004,"iOS",'Test Runs'!$I$5:$I$2004,N113)&gt;0),OR(O113="Not Applicable",COUNTIFS('Test Runs'!$B$5:$B$2004,A113,'Test Runs'!$C$5:$C$2004,"Initial",'Test Runs'!$D$5:$D$2004,"Android",'Test Runs'!$I$5:$I$2004,O113)&gt;0)),"Reconciled","Mismatch"))</x:f>
        <x:v>Pending</x:v>
      </x:c>
      <x:c r="Z113" s="58" t="str">
        <x:f>IF(OR(T113="Not Run",U113="Not Run"),"Pending",IF(AND(OR(T113="Not Applicable",COUNTIFS('Test Runs'!$B$5:$B$2004,A113,'Test Runs'!$C$5:$C$2004,"Retest",'Test Runs'!$D$5:$D$2004,"iOS",'Test Runs'!$I$5:$I$2004,T113)&gt;0),OR(U113="Not Applicable",COUNTIFS('Test Runs'!$B$5:$B$2004,A113,'Test Runs'!$C$5:$C$2004,"Retest",'Test Runs'!$D$5:$D$2004,"Android",'Test Runs'!$I$5:$I$2004,U113)&gt;0)),"Reconciled","Mismatch"))</x:f>
        <x:v>Pending</x:v>
      </x:c>
    </x:row>
    <x:row r="114" ht="120" customHeight="1">
      <x:c r="A114" s="58" t="str">
        <x:v>HLT-028</x:v>
      </x:c>
      <x:c r="B114" s="58" t="str">
        <x:v>Goal defaults and saved values</x:v>
      </x:c>
      <x:c r="C114" s="58" t="str">
        <x:v>Progress -&gt; Edit goals -&gt; /goals</x:v>
      </x:c>
      <x:c r="D114" s="58" t="str">
        <x:v>As a user, I want sensible goal defaults and my latest saved targets.</x:v>
      </x:c>
      <x:c r="E114" s="58" t="str">
        <x:v>With no goal, editor shows 2000 kcal, 170g protein, 195g carbs, 60g fat, no body targets; otherwise it loads the latest updated DailyGoal synced model; saving updates that row or creates one.</x:v>
      </x:c>
      <x:c r="F114" s="58" t="str">
        <x:v>iOS, Android</x:v>
      </x:c>
      <x:c r="G114" s="58" t="str">
        <x:v>No-goal direct route and existing goal variant.</x:v>
      </x:c>
      <x:c r="H114" s="58" t="str">
        <x:v>Open editor in both states; save a change and reopen.</x:v>
      </x:c>
      <x:c r="I114" s="58" t="str">
        <x:v>Repeat.</x:v>
      </x:c>
      <x:c r="J114" s="58" t="str">
        <x:v>Covered: GoalTest.php default, saved editor, create and update tests.</x:v>
      </x:c>
      <x:c r="K114" s="58" t="str">
        <x:v>/Users/mason/Sites/Buff/app/Http/Controllers/GoalController.php:16-42 edit, :73-79 update; /Users/mason/Sites/Buff/app/Models/DailyGoal.php; /Users/mason/Sites/Buff/resources/js/Pages/Goals.vue</x:v>
      </x:c>
      <x:c r="L114" s="58" t="str">
        <x:v>Mapped</x:v>
      </x:c>
      <x:c r="M114" s="58" t="str">
        <x:v>Ready</x:v>
      </x:c>
      <x:c r="N114" s="58" t="str">
        <x:v>Not Run</x:v>
      </x:c>
      <x:c r="O114" s="58" t="str">
        <x:v>Blocked</x:v>
      </x:c>
      <x:c r="P114" s="58" t="str">
        <x:v>Android: /Users/mason/.codex/visualizations/2026/09/01/01a05def-1c0d-76d1-abc6-07c63a443582/emulator-runs/initial/android-guest/progress-observations-batch-020-draft.json — The existing 2,200 kcal / 165 g protein / 220 g carbs / 73.33 g fat / 70 kg target loaded, Save stayed disabled until dirty, and valid save/reopen preserved the values.</x:v>
      </x:c>
      <x:c r="Q114" s="58" t="str"/>
      <x:c r="R114" s="58" t="str">
        <x:v>Not Needed</x:v>
      </x:c>
      <x:c r="S114" s="58" t="str"/>
      <x:c r="T114" s="58" t="str">
        <x:v>Not Run</x:v>
      </x:c>
      <x:c r="U114" s="58" t="str">
        <x:v>Not Run</x:v>
      </x:c>
      <x:c r="V114" s="58" t="str"/>
      <x:c r="W114" s="58" t="str">
        <x:f>IF(AND(OR(N114="Passed",N114="Failed",N114="Not Applicable"),OR(O114="Passed",O114="Failed",O114="Not Applicable"),OR(N114="Passed",N114="Failed",O114="Passed",O114="Failed"),OR(T114="Passed",T114="Not Applicable"),OR(U114="Passed",U114="Not Applicable"),OR(T114="Passed",U114="Passed"),Y114="Reconciled",Z114="Reconciled",IF(Q114&lt;&gt;"",R114="Fixed",TRUE)),"Verified",IF(OR(T114="Failed",U114="Failed"),"Retest Failed",IF(OR(N114="Failed",O114="Failed",Q114&lt;&gt;""),"Defect Found",IF(AND(OR(N114="Passed",N114="Not Applicable"),OR(O114="Passed",O114="Not Applicable"),OR(N114="Passed",O114="Passed")),"Initial Pass","Not Complete"))))</x:f>
        <x:v>Not Complete</x:v>
      </x:c>
      <x:c r="X114" s="58" t="str">
        <x:v>Low.</x:v>
      </x:c>
      <x:c r="Y114" s="58" t="str">
        <x:f>IF(OR(N114="Not Run",O114="Not Run"),"Pending",IF(AND(OR(N114="Not Applicable",COUNTIFS('Test Runs'!$B$5:$B$2004,A114,'Test Runs'!$C$5:$C$2004,"Initial",'Test Runs'!$D$5:$D$2004,"iOS",'Test Runs'!$I$5:$I$2004,N114)&gt;0),OR(O114="Not Applicable",COUNTIFS('Test Runs'!$B$5:$B$2004,A114,'Test Runs'!$C$5:$C$2004,"Initial",'Test Runs'!$D$5:$D$2004,"Android",'Test Runs'!$I$5:$I$2004,O114)&gt;0)),"Reconciled","Mismatch"))</x:f>
        <x:v>Pending</x:v>
      </x:c>
      <x:c r="Z114" s="58" t="str">
        <x:f>IF(OR(T114="Not Run",U114="Not Run"),"Pending",IF(AND(OR(T114="Not Applicable",COUNTIFS('Test Runs'!$B$5:$B$2004,A114,'Test Runs'!$C$5:$C$2004,"Retest",'Test Runs'!$D$5:$D$2004,"iOS",'Test Runs'!$I$5:$I$2004,T114)&gt;0),OR(U114="Not Applicable",COUNTIFS('Test Runs'!$B$5:$B$2004,A114,'Test Runs'!$C$5:$C$2004,"Retest",'Test Runs'!$D$5:$D$2004,"Android",'Test Runs'!$I$5:$I$2004,U114)&gt;0)),"Reconciled","Mismatch"))</x:f>
        <x:v>Pending</x:v>
      </x:c>
    </x:row>
    <x:row r="115" ht="942" hidden="0" customHeight="1">
      <x:c r="A115" s="58" t="str">
        <x:v>HLT-029</x:v>
      </x:c>
      <x:c r="B115" s="58" t="str">
        <x:v>Calorie and macro editing</x:v>
      </x:c>
      <x:c r="C115" s="58" t="str">
        <x:v>Goals -&gt; Daily targets editor</x:v>
      </x:c>
      <x:c r="D115" s="58" t="str">
        <x:v>As a user, I want calorie controls plus preset or custom macro splits.</x:v>
      </x:c>
      <x:c r="E115" s="58" t="str">
        <x:v>Calories change directly or by +/-50. Balanced 30/40/30, High protein 40/30/30, Higher fat 30/30/40 and custom 5% wheels regenerate grams; fat absorbs rounding residual. Opening the custom editor positions the wheels without intermediate smooth-scroll changes overwriting the current split. Protein/Carbs wheels are labelled listboxes with selected percentage options. Save requires dirty and representable values.</x:v>
      </x:c>
      <x:c r="F115" s="58" t="str">
        <x:v>iOS, Android</x:v>
      </x:c>
      <x:c r="G115" s="58" t="str">
        <x:v>Odd and boundary calorie values; each preset and custom split. Include a custom split with a zero-percent column, then a different preset, then return to Custom without touching a wheel.</x:v>
      </x:c>
      <x:c r="H115" s="58" t="str">
        <x:v>Change calories, select each preset, then open Custom and verify the split remains unchanged. Scroll/click extremes, inspect spoken wheel/option labels and selected state, verify grams and Save validity. Also create Custom 0/0/100, select Balanced, return to Custom without scrolling, and compare visible percentages/generated grams with the form's actual save values. If saving is coordinated, verify persisted values after reopen match the displayed split; otherwise leave unsaved and restore the original selection.</x:v>
      </x:c>
      <x:c r="I115" s="58" t="str">
        <x:v>Repeat with TalkBack, including opening Custom from 30/40/30 without touching a wheel. Add the same zero-column Custom → Balanced → Custom sequence without wheel movement; compare displayed and submitted values, restoring the original goal if a verification save occurs.</x:v>
      </x:c>
      <x:c r="J115" s="58" t="str">
        <x:v>Covered: goalMacros.test.ts and GoalTest.php odd-calorie/preset payload test.</x:v>
      </x:c>
      <x:c r="K115" s="58" t="str">
        <x:v>/Users/mason/Sites/Buff/resources/js/Components/DailyTargetsEditor.vue:14-146 logic, :153-340 UI; /Users/mason/Sites/Buff/resources/js/goalMacros.ts:13-65</x:v>
      </x:c>
      <x:c r="L115" s="58" t="str">
        <x:v>Mapped</x:v>
      </x:c>
      <x:c r="M115" s="58" t="str">
        <x:v>Ready</x:v>
      </x:c>
      <x:c r="N115" s="58" t="str">
        <x:v>Not Run</x:v>
      </x:c>
      <x:c r="O115" s="58" t="str">
        <x:v>Failed</x:v>
      </x:c>
      <x:c r="P115" s="58" t="str">
        <x:v>Android: /Users/mason/.codex/visualizations/2026/09/01/01a05def-1c0d-76d1-abc6-07c63a443582/emulator-runs/initial/android-guest/HLT-029-custom-split-resets-to-fat-100.png
/Users/mason/.codex/visualizations/2026/09/01/01a05def-1c0d-76d1-abc6-07c63a443582/emulator-runs/initial/android-guest/dom-observations-batch-014.json — Calories and all three presets rendered with correct generated grams, but Custom immediately changed 30/40/30 to 0/0/100 and its wheels were not exposed as labelled selected controls.</x:v>
      </x:c>
      <x:c r="Q115" s="58" t="str">
        <x:v>DEF-041
DEF-047
DEF-090</x:v>
      </x:c>
      <x:c r="R115" s="58" t="str">
        <x:v>In Progress</x:v>
      </x:c>
      <x:c r="S115" s="58" t="str"/>
      <x:c r="T115" s="58" t="str">
        <x:v>Failed</x:v>
      </x:c>
      <x:c r="U115" s="58" t="str">
        <x:v>Failed</x:v>
      </x:c>
      <x:c r="V115" s="58" t="str">
        <x:v>iOS: /Users/mason/.codex/visualizations/2026/09/01/01a05def-1c0d-76d1-abc6-07c63a443582/emulator-runs/retest/ios/HLT-029-batch009-observations.json
/Users/mason/.codex/visualizations/2026/09/01/01a05def-1c0d-76d1-abc6-07c63a443582/emulator-runs/retest/ios/HLT-029-custom-initial304030.png
/Users/mason/.codex/visualizations/2026/09/01/01a05def-1c0d-76d1-abc6-07c63a443582/emulator-runs/retest/ios/HLT-029-custom-zero00100.png
/Users/mason/.codex/visualizations/2026/09/01/01a05def-1c0d-76d1-abc6-07c63a443582/emulator-runs/retest/ios/HLT-029-custom-reopened-model-mismatch.png
/Users/mason/.codex/visualizations/2026/09/01/01a05def-1c0d-76d1-abc6-07c63a443582/emulator-runs/retest/ios/HLT-029-custom-mismatch-visible-totals.png
/Users/mason/.codex/visualizations/2026/09/01/01a05def-1c0d-76d1-abc6-07c63a443582/emulator-runs/retest/ios/HLT-029-custom-mismatch-save-disabled.png
/Users/mason/.codex/visualizations/2026/09/01/01a05def-1c0d-76d1-abc6-07c63a443582/emulator-runs/retest/ios/HLT-029-unsaved-exit-restored-balanced.png — Goals opened at 2100 kcal with Balanced 30/40/30. The first Custom opening preserved the split and showed labelled, selected percentage options. Adjusting Custom to 0/0/100 produced matching bound P 0g / C 0g / F 233.33g and enabled Save. Selecting Balanced restored P 157.5g / C 210g / F 70g and disabled Save. Returning to Custom without wheel movement displayed 0/0/100 and 0g / 0g / 233g, but the bound model stayed Balanced and Save remained disabled. The mismatch persisted after 37 seconds. Leaving through Home and reopening restored the saved Balanced plan; Today retained the original 500 kcal meal and sync pending 0.
Android: /Users/mason/.codex/visualizations/2026/09/01/01a05def-1c0d-76d1-abc6-07c63a443582/emulator-runs/retest/android/HLT-029-custom-initial-304030.json
/Users/mason/.codex/visualizations/2026/09/01/01a05def-1c0d-76d1-abc6-07c63a443582/emulator-runs/retest/android/HLT-029-custom-zero-zero-100.json
/Users/mason/.codex/visualizations/2026/09/01/01a05def-1c0d-76d1-abc6-07c63a443582/emulator-runs/retest/android/HLT-029-return-balanced.json
/Users/mason/.codex/visualizations/2026/09/01/01a05def-1c0d-76d1-abc6-07c63a443582/emulator-runs/retest/android/HLT-029-custom-reentry-model-mismatch.json
/Users/mason/.codex/visualizations/2026/09/01/01a05def-1c0d-76d1-abc6-07c63a443582/emulator-runs/retest/android/HLT-029-custom-reentry-settled.json
/Users/mason/.codex/visualizations/2026/09/01/01a05def-1c0d-76d1-abc6-07c63a443582/emulator-runs/retest/android/HLT-029-custom-reentry-zero-wheels.png
/Users/mason/.codex/visualizations/2026/09/01/01a05def-1c0d-76d1-abc6-07c63a443582/emulator-runs/retest/android/HLT-029-custom-reentry-save-disabled.png
/Users/mason/.codex/visualizations/2026/09/01/01a05def-1c0d-76d1-abc6-07c63a443582/emulator-runs/retest/android/HLT-029-back-home-preserved.json
/Users/mason/.codex/visualizations/2026/09/01/01a05def-1c0d-76d1-abc6-07c63a443582/emulator-runs/retest/android/HLT-029-reopen-original-goals.json — Initial Custom preserved the saved Balanced 30/40/30 and 157.5/210/70 g. Touch-scrolling both labelled wheels to zero produced 0/0/100, form values 0/0/233.33 g and enabled Save. Balanced restored the original form values and disabled Save. Reentering Custom without moving a wheel displayed 0/0/100 and 0/0/233 g, with selected zero options and scrollTop 0, but the form-bound child props still held 157.5/210/70 g and Save remained disabled. The mismatch persisted in a later settled snapshot. Android Back returned Home; reopening Goals restored Balanced with unchanged persisted targets. No goal-save request was made.</x:v>
      </x:c>
      <x:c r="W115" s="58" t="str">
        <x:f>IF(AND(OR(N115="Passed",N115="Failed",N115="Not Applicable"),OR(O115="Passed",O115="Failed",O115="Not Applicable"),OR(N115="Passed",N115="Failed",O115="Passed",O115="Failed"),OR(T115="Passed",T115="Not Applicable"),OR(U115="Passed",U115="Not Applicable"),OR(T115="Passed",U115="Passed"),Y115="Reconciled",Z115="Reconciled",IF(Q115&lt;&gt;"",R115="Fixed",TRUE)),"Verified",IF(OR(T115="Failed",U115="Failed"),"Retest Failed",IF(OR(N115="Failed",O115="Failed",Q115&lt;&gt;""),"Defect Found",IF(AND(OR(N115="Passed",N115="Not Applicable"),OR(O115="Passed",O115="Not Applicable"),OR(N115="Passed",O115="Passed")),"Initial Pass","Not Complete"))))</x:f>
        <x:v>Retest Failed</x:v>
      </x:c>
      <x:c r="X115" s="58" t="str">
        <x:v>Low; custom wheel interaction needs emulator visual/touch validation. Additional source-derived risk, not an emulator-confirmed defect: selectPreset calls applySplit, but selectCustom only changes activePreset and positions scrollers. A zero-percent scroller may already be at scrollTop 0 and need not emit scroll, so the visible custom grams could diverge from the save model. Exercise this sequence before declaring the editor fully verified.</x:v>
      </x:c>
      <x:c r="Y115" s="58" t="str">
        <x:f>IF(OR(N115="Not Run",O115="Not Run"),"Pending",IF(AND(OR(N115="Not Applicable",COUNTIFS('Test Runs'!$B$5:$B$2004,A115,'Test Runs'!$C$5:$C$2004,"Initial",'Test Runs'!$D$5:$D$2004,"iOS",'Test Runs'!$I$5:$I$2004,N115)&gt;0),OR(O115="Not Applicable",COUNTIFS('Test Runs'!$B$5:$B$2004,A115,'Test Runs'!$C$5:$C$2004,"Initial",'Test Runs'!$D$5:$D$2004,"Android",'Test Runs'!$I$5:$I$2004,O115)&gt;0)),"Reconciled","Mismatch"))</x:f>
        <x:v>Pending</x:v>
      </x:c>
      <x:c r="Z115" s="58" t="str">
        <x:f>IF(OR(T115="Not Run",U115="Not Run"),"Pending",IF(AND(OR(T115="Not Applicable",COUNTIFS('Test Runs'!$B$5:$B$2004,A115,'Test Runs'!$C$5:$C$2004,"Retest",'Test Runs'!$D$5:$D$2004,"iOS",'Test Runs'!$I$5:$I$2004,T115)&gt;0),OR(U115="Not Applicable",COUNTIFS('Test Runs'!$B$5:$B$2004,A115,'Test Runs'!$C$5:$C$2004,"Retest",'Test Runs'!$D$5:$D$2004,"Android",'Test Runs'!$I$5:$I$2004,U115)&gt;0)),"Reconciled","Mismatch"))</x:f>
        <x:v>Reconciled</x:v>
      </x:c>
    </x:row>
    <x:row r="116" ht="120" customHeight="1">
      <x:c r="A116" s="58" t="str">
        <x:v>HLT-030</x:v>
      </x:c>
      <x:c r="B116" s="58" t="str">
        <x:v>Goal validation</x:v>
      </x:c>
      <x:c r="C116" s="58" t="str">
        <x:v>Goals -&gt; Save</x:v>
      </x:c>
      <x:c r="D116" s="58" t="str">
        <x:v>As a user, I want impossible calorie/macro goals rejected without corrupting the saved goal.</x:v>
      </x:c>
      <x:c r="E116" s="58" t="str">
        <x:v>Calories must be integer 1–20,000, each macro 0–1000g, and rounded 4/4/9 macro calories must exactly equal calorie goal; client disables unrepresentable 5% splits or gram overflow; server returns a calorie-field error with calculated macro total.</x:v>
      </x:c>
      <x:c r="F116" s="58" t="str">
        <x:v>iOS, Android</x:v>
      </x:c>
      <x:c r="G116" s="58" t="str">
        <x:v>Invalid manual request payloads; max/min UI values; prior saved goal; remotely synced 0 or &gt;20,000 kcal goal.</x:v>
      </x:c>
      <x:c r="H116" s="58" t="str">
        <x:v>Try boundaries and tampered mismatch; verify errors and prior goal remains; pull an out-of-editor-range cloud goal and try to save it.</x:v>
      </x:c>
      <x:c r="I116" s="58" t="str">
        <x:v>Repeat.</x:v>
      </x:c>
      <x:c r="J116" s="58" t="str">
        <x:v>Covered: GoalTest.php mismatch, bounds, body target presence; goalMacros.test.ts ceilings/representability.</x:v>
      </x:c>
      <x:c r="K116" s="58" t="str">
        <x:v>/Users/mason/Sites/Buff/app/Http/Controllers/GoalController.php:45-66; /Users/mason/Sites/Buff/app/Services/NutritionCalculator.php:10-18; /Users/mason/Sites/Buff/resources/js/goalMacros.ts:45-65; /Users/mason/Sites/buff-server/config/buff.php:41 daily_goals rules</x:v>
      </x:c>
      <x:c r="L116" s="58" t="str">
        <x:v>Mapped</x:v>
      </x:c>
      <x:c r="M116" s="58" t="str">
        <x:v>Ready</x:v>
      </x:c>
      <x:c r="N116" s="58" t="str">
        <x:v>Not Run</x:v>
      </x:c>
      <x:c r="O116" s="58" t="str">
        <x:v>Blocked</x:v>
      </x:c>
      <x:c r="P116" s="58" t="str">
        <x:v>Android: /Users/mason/.codex/visualizations/2026/09/01/01a05def-1c0d-76d1-abc6-07c63a443582/emulator-runs/initial/android-guest/progress-observations-batch-020-draft.json — Calories 0 and 20,001 disabled Save; a tampered mismatch returned 422 with the exact 1,700-kcal macro-total error and left the persisted 2,200/165/220/73.33 goal unchanged.</x:v>
      </x:c>
      <x:c r="Q116" s="58" t="str"/>
      <x:c r="R116" s="58" t="str">
        <x:v>Not Needed</x:v>
      </x:c>
      <x:c r="S116" s="58" t="str"/>
      <x:c r="T116" s="58" t="str">
        <x:v>Not Run</x:v>
      </x:c>
      <x:c r="U116" s="58" t="str">
        <x:v>Not Run</x:v>
      </x:c>
      <x:c r="V116" s="58" t="str"/>
      <x:c r="W116" s="58" t="str">
        <x:f>IF(AND(OR(N116="Passed",N116="Failed",N116="Not Applicable"),OR(O116="Passed",O116="Failed",O116="Not Applicable"),OR(N116="Passed",N116="Failed",O116="Passed",O116="Failed"),OR(T116="Passed",T116="Not Applicable"),OR(U116="Passed",U116="Not Applicable"),OR(T116="Passed",U116="Passed"),Y116="Reconciled",Z116="Reconciled",IF(Q116&lt;&gt;"",R116="Fixed",TRUE)),"Verified",IF(OR(T116="Failed",U116="Failed"),"Retest Failed",IF(OR(N116="Failed",O116="Failed",Q116&lt;&gt;""),"Defect Found",IF(AND(OR(N116="Passed",N116="Not Applicable"),OR(O116="Passed",O116="Not Applicable"),OR(N116="Passed",O116="Passed")),"Initial Pass","Not Complete"))))</x:f>
        <x:v>Not Complete</x:v>
      </x:c>
      <x:c r="X116" s="58" t="str">
        <x:v>Contract mismatch: cloud sync accepts 0–100,000 kcal while the editor accepts 1–20,000, so a remotely valid goal may be impossible to resave unchanged locally.</x:v>
      </x:c>
      <x:c r="Y116" s="58" t="str">
        <x:f>IF(OR(N116="Not Run",O116="Not Run"),"Pending",IF(AND(OR(N116="Not Applicable",COUNTIFS('Test Runs'!$B$5:$B$2004,A116,'Test Runs'!$C$5:$C$2004,"Initial",'Test Runs'!$D$5:$D$2004,"iOS",'Test Runs'!$I$5:$I$2004,N116)&gt;0),OR(O116="Not Applicable",COUNTIFS('Test Runs'!$B$5:$B$2004,A116,'Test Runs'!$C$5:$C$2004,"Initial",'Test Runs'!$D$5:$D$2004,"Android",'Test Runs'!$I$5:$I$2004,O116)&gt;0)),"Reconciled","Mismatch"))</x:f>
        <x:v>Pending</x:v>
      </x:c>
      <x:c r="Z116" s="58" t="str">
        <x:f>IF(OR(T116="Not Run",U116="Not Run"),"Pending",IF(AND(OR(T116="Not Applicable",COUNTIFS('Test Runs'!$B$5:$B$2004,A116,'Test Runs'!$C$5:$C$2004,"Retest",'Test Runs'!$D$5:$D$2004,"iOS",'Test Runs'!$I$5:$I$2004,T116)&gt;0),OR(U116="Not Applicable",COUNTIFS('Test Runs'!$B$5:$B$2004,A116,'Test Runs'!$C$5:$C$2004,"Retest",'Test Runs'!$D$5:$D$2004,"Android",'Test Runs'!$I$5:$I$2004,U116)&gt;0)),"Reconciled","Mismatch"))</x:f>
        <x:v>Pending</x:v>
      </x:c>
    </x:row>
    <x:row r="117" ht="120" customHeight="1">
      <x:c r="A117" s="58" t="str">
        <x:v>HLT-031</x:v>
      </x:c>
      <x:c r="B117" s="58" t="str">
        <x:v>Body targets</x:v>
      </x:c>
      <x:c r="C117" s="58" t="str">
        <x:v>Goals -&gt; Body goals</x:v>
      </x:c>
      <x:c r="D117" s="58" t="str">
        <x:v>As a user, I want optional target weight and body-fat goals reflected in Progress.</x:v>
      </x:c>
      <x:c r="E117" s="58" t="str">
        <x:v>Both body-goal keys must be present on save but may be null. Target weight is 20-1000kg in both local and sync validation; UI uses equivalent preferred-unit bounds, visible invalid feedback and disables Save outside bounds. Body-fat target is 1-80%. Non-null targets drive goal lines and target-relative delta color.</x:v>
      </x:c>
      <x:c r="F117" s="58" t="str">
        <x:v>iOS, Android</x:v>
      </x:c>
      <x:c r="G117" s="58" t="str">
        <x:v>Set/clear targets above/below current; 19.9/20/1000/1000.1kg and corresponding lb values</x:v>
      </x:c>
      <x:c r="H117" s="58" t="str">
        <x:v>Set targets and inspect chart/color; clear and verify lines disappear. Test lower/upper kg/lb boundaries and confirm invalid target cannot save, then save/sync valid 20kg boundary.</x:v>
      </x:c>
      <x:c r="I117" s="58" t="str">
        <x:v>Repeat boundary, clear and sync checks on Android.</x:v>
      </x:c>
      <x:c r="J117" s="58" t="str">
        <x:v>Covered: GoalTest.php body target requirements/bounds; progress chart tests.</x:v>
      </x:c>
      <x:c r="K117" s="58" t="str">
        <x:v>/Users/mason/Sites/Buff/app/Http/Controllers/GoalController.php:47-54; /Users/mason/Sites/Buff/resources/js/Pages/Goals.vue:25-78; /Users/mason/Sites/Buff/resources/js/Pages/Progress.vue:167-213; /Users/mason/Sites/buff-server/config/buff.php:41 daily_goals rules</x:v>
      </x:c>
      <x:c r="L117" s="58" t="str">
        <x:v>Mapped</x:v>
      </x:c>
      <x:c r="M117" s="58" t="str">
        <x:v>Ready</x:v>
      </x:c>
      <x:c r="N117" s="58" t="str">
        <x:v>Not Run</x:v>
      </x:c>
      <x:c r="O117" s="58" t="str">
        <x:v>Failed</x:v>
      </x:c>
      <x:c r="P117" s="58" t="str">
        <x:v>Android: /Users/mason/.codex/visualizations/2026/09/01/01a05def-1c0d-76d1-abc6-07c63a443582/emulator-runs/initial/android-guest/progress-observations-batch-020-draft.json — Valid 75 kg/20% targets rendered Goal lines and summaries. A locally accepted 10 kg/20% target showed success but cloud sync stayed pending with the server's 20-1000 kg validation error.</x:v>
      </x:c>
      <x:c r="Q117" s="58" t="str">
        <x:v>DEF-069</x:v>
      </x:c>
      <x:c r="R117" s="58" t="str">
        <x:v>Fixed</x:v>
      </x:c>
      <x:c r="S117" s="58" t="str"/>
      <x:c r="T117" s="58" t="str">
        <x:v>Blocked</x:v>
      </x:c>
      <x:c r="U117" s="58" t="str">
        <x:v>Blocked</x:v>
      </x:c>
      <x:c r="V117" s="58" t="str">
        <x:v>Android: /Users/mason/.codex/visualizations/2026/09/06/01a07722-2d43-7910-aa74-f3a7d9489dc2/release-qa/DEF-069-android-target-bound.json — Narrow defect Passed:10kg displays20–1000kg error and disables Save. Draft discarded without saving. Other unit/boundary/target-line cases deferred.
iOS: /Users/mason/.codex/visualizations/2026/09/06/01a07722-2d43-7910-aa74-f3a7d9489dc2/release-qa/DEF-069-ios-target-bound.png — Narrow defect Passed:10kg displays20–1000kg error and disables Save. Field cleared without saving. Other unit/boundary/target-line cases deferred.</x:v>
      </x:c>
      <x:c r="W117" s="58" t="str">
        <x:f>IF(AND(OR(N117="Passed",N117="Failed",N117="Not Applicable"),OR(O117="Passed",O117="Failed",O117="Not Applicable"),OR(N117="Passed",N117="Failed",O117="Passed",O117="Failed"),OR(T117="Passed",T117="Not Applicable"),OR(U117="Passed",U117="Not Applicable"),OR(T117="Passed",U117="Passed"),Y117="Reconciled",Z117="Reconciled",IF(Q117&lt;&gt;"",R117="Fixed",TRUE)),"Verified",IF(OR(T117="Failed",U117="Failed"),"Retest Failed",IF(OR(N117="Failed",O117="Failed",Q117&lt;&gt;""),"Defect Found",IF(AND(OR(N117="Passed",N117="Not Applicable"),OR(O117="Passed",O117="Not Applicable"),OR(N117="Passed",O117="Passed")),"Initial Pass","Not Complete"))))</x:f>
        <x:v>Defect Found</x:v>
      </x:c>
      <x:c r="X117" s="58" t="str">
        <x:v>Historical source finding: Likely sync-contract defect: local target weight 1–19.99 kg is accepted but server requires 20 kg, leaving the goal unsynced. Current GoalController and Goals.vue use 20–1000 kg with preferred-unit conversion. The initial low-target sync failure remains historical evidence; valid/invalid boundary emulator retests are still required.</x:v>
      </x:c>
      <x:c r="Y117" s="58" t="str">
        <x:f>IF(OR(N117="Not Run",O117="Not Run"),"Pending",IF(AND(OR(N117="Not Applicable",COUNTIFS('Test Runs'!$B$5:$B$2004,A117,'Test Runs'!$C$5:$C$2004,"Initial",'Test Runs'!$D$5:$D$2004,"iOS",'Test Runs'!$I$5:$I$2004,N117)&gt;0),OR(O117="Not Applicable",COUNTIFS('Test Runs'!$B$5:$B$2004,A117,'Test Runs'!$C$5:$C$2004,"Initial",'Test Runs'!$D$5:$D$2004,"Android",'Test Runs'!$I$5:$I$2004,O117)&gt;0)),"Reconciled","Mismatch"))</x:f>
        <x:v>Pending</x:v>
      </x:c>
      <x:c r="Z117" s="58" t="str">
        <x:f>IF(OR(T117="Not Run",U117="Not Run"),"Pending",IF(AND(OR(T117="Not Applicable",COUNTIFS('Test Runs'!$B$5:$B$2004,A117,'Test Runs'!$C$5:$C$2004,"Retest",'Test Runs'!$D$5:$D$2004,"iOS",'Test Runs'!$I$5:$I$2004,T117)&gt;0),OR(U117="Not Applicable",COUNTIFS('Test Runs'!$B$5:$B$2004,A117,'Test Runs'!$C$5:$C$2004,"Retest",'Test Runs'!$D$5:$D$2004,"Android",'Test Runs'!$I$5:$I$2004,U117)&gt;0)),"Reconciled","Mismatch"))</x:f>
        <x:v>Reconciled</x:v>
      </x:c>
    </x:row>
    <x:row r="118" ht="120" customHeight="1">
      <x:c r="A118" s="58" t="str">
        <x:v>HLT-032</x:v>
      </x:c>
      <x:c r="B118" s="58" t="str">
        <x:v>Goal offline and multi-device sync</x:v>
      </x:c>
      <x:c r="C118" s="58" t="str">
        <x:v>Goals save -&gt; account sync</x:v>
      </x:c>
      <x:c r="D118" s="58" t="str">
        <x:v>As a user, I want goal edits to sync across devices predictably.</x:v>
      </x:c>
      <x:c r="E118" s="58" t="str">
        <x:v>DailyGoal is a synced record; local writes work offline; server validates canonical fields and resolves same-ID updates by timestamp/device ID; latest updated goal is used for Progress and Today calculations.</x:v>
      </x:c>
      <x:c r="F118" s="58" t="str">
        <x:v>iOS, Android, server</x:v>
      </x:c>
      <x:c r="G118" s="58" t="str">
        <x:v>Two devices edit one goal offline.</x:v>
      </x:c>
      <x:c r="H118" s="58" t="str">
        <x:v>Save differing goals offline on iOS/Android, sync in both orders, verify both converge and Today/Progress update.</x:v>
      </x:c>
      <x:c r="I118" s="58" t="str">
        <x:v>Repeat reciprocal winner.</x:v>
      </x:c>
      <x:c r="J118" s="58" t="str">
        <x:v>Partial: general sync/server conflict tests; no goal-specific two-emulator test.</x:v>
      </x:c>
      <x:c r="K118" s="58" t="str">
        <x:v>/Users/mason/Sites/Buff/config/buff.php:23 DailyGoal sync mapping; /Users/mason/Sites/Buff/app/Services/BuffSyncService.php:90-142; /Users/mason/Sites/buff-server/config/buff.php:41 daily_goals; /Users/mason/Sites/buff-server/app/Services/SyncService.php:160 wins</x:v>
      </x:c>
      <x:c r="L118" s="58" t="str">
        <x:v>Mapped</x:v>
      </x:c>
      <x:c r="M118" s="58" t="str">
        <x:v>Ready</x:v>
      </x:c>
      <x:c r="N118" s="58" t="str">
        <x:v>Not Run</x:v>
      </x:c>
      <x:c r="O118" s="58" t="str">
        <x:v>Blocked</x:v>
      </x:c>
      <x:c r="P118" s="58" t="str">
        <x:v>Android: /Users/mason/.codex/visualizations/2026/09/01/01a05def-1c0d-76d1-abc6-07c63a443582/emulator-runs/initial/android/NUT-013-018-094-105-106-observations.json
/Users/mason/.codex/visualizations/2026/09/01/01a05def-1c0d-76d1-abc6-07c63a443582/emulator-runs/initial/android/ACC-054-063-076-HLT-013-047-NUT-109-111-blocker-observations.json — A calorie-goal edit from 2200 to 2250 immediately changed Today/Weekly calculations and the goal was restored to 2200 on Android.</x:v>
      </x:c>
      <x:c r="Q118" s="58" t="str"/>
      <x:c r="R118" s="58" t="str">
        <x:v>Not Needed</x:v>
      </x:c>
      <x:c r="S118" s="58" t="str"/>
      <x:c r="T118" s="58" t="str">
        <x:v>Not Run</x:v>
      </x:c>
      <x:c r="U118" s="58" t="str">
        <x:v>Not Run</x:v>
      </x:c>
      <x:c r="V118" s="58" t="str"/>
      <x:c r="W118" s="58" t="str">
        <x:f>IF(AND(OR(N118="Passed",N118="Failed",N118="Not Applicable"),OR(O118="Passed",O118="Failed",O118="Not Applicable"),OR(N118="Passed",N118="Failed",O118="Passed",O118="Failed"),OR(T118="Passed",T118="Not Applicable"),OR(U118="Passed",U118="Not Applicable"),OR(T118="Passed",U118="Passed"),Y118="Reconciled",Z118="Reconciled",IF(Q118&lt;&gt;"",R118="Fixed",TRUE)),"Verified",IF(OR(T118="Failed",U118="Failed"),"Retest Failed",IF(OR(N118="Failed",O118="Failed",Q118&lt;&gt;""),"Defect Found",IF(AND(OR(N118="Passed",N118="Not Applicable"),OR(O118="Passed",O118="Not Applicable"),OR(N118="Passed",O118="Passed")),"Initial Pass","Not Complete"))))</x:f>
        <x:v>Not Complete</x:v>
      </x:c>
      <x:c r="X118" s="58" t="str">
        <x:v>Risk: silent last-write-wins can overwrite a user’s goal without conflict notice.</x:v>
      </x:c>
      <x:c r="Y118" s="58" t="str">
        <x:f>IF(OR(N118="Not Run",O118="Not Run"),"Pending",IF(AND(OR(N118="Not Applicable",COUNTIFS('Test Runs'!$B$5:$B$2004,A118,'Test Runs'!$C$5:$C$2004,"Initial",'Test Runs'!$D$5:$D$2004,"iOS",'Test Runs'!$I$5:$I$2004,N118)&gt;0),OR(O118="Not Applicable",COUNTIFS('Test Runs'!$B$5:$B$2004,A118,'Test Runs'!$C$5:$C$2004,"Initial",'Test Runs'!$D$5:$D$2004,"Android",'Test Runs'!$I$5:$I$2004,O118)&gt;0)),"Reconciled","Mismatch"))</x:f>
        <x:v>Pending</x:v>
      </x:c>
      <x:c r="Z118" s="58" t="str">
        <x:f>IF(OR(T118="Not Run",U118="Not Run"),"Pending",IF(AND(OR(T118="Not Applicable",COUNTIFS('Test Runs'!$B$5:$B$2004,A118,'Test Runs'!$C$5:$C$2004,"Retest",'Test Runs'!$D$5:$D$2004,"iOS",'Test Runs'!$I$5:$I$2004,T118)&gt;0),OR(U118="Not Applicable",COUNTIFS('Test Runs'!$B$5:$B$2004,A118,'Test Runs'!$C$5:$C$2004,"Retest",'Test Runs'!$D$5:$D$2004,"Android",'Test Runs'!$I$5:$I$2004,U118)&gt;0)),"Reconciled","Mismatch"))</x:f>
        <x:v>Pending</x:v>
      </x:c>
    </x:row>
    <x:row r="119" ht="120" customHeight="1">
      <x:c r="A119" s="58" t="str">
        <x:v>HLT-033</x:v>
      </x:c>
      <x:c r="B119" s="58" t="str">
        <x:v>Body profile editing</x:v>
      </x:c>
      <x:c r="C119" s="58" t="str">
        <x:v>Settings -&gt; Body profile</x:v>
      </x:c>
      <x:c r="D119" s="58" t="str">
        <x:v>As a user, I want to edit or clear age, sex, height, and activity independently of goals.</x:v>
      </x:c>
      <x:c r="E119" s="58" t="str">
        <x:v>BodyProfile is a singleton synced record; every field is present but nullable on Settings save. Height is 50-260cm, age 13-120, sex male/female, and activity has five levels. Sex/activity can be cleared with Not set. Metric input exposes 50-260 bounds; imperial feet/inches convert to cm on Save. Clearing profile does not clear body targets.</x:v>
      </x:c>
      <x:c r="F119" s="58" t="str">
        <x:v>iOS, Android</x:v>
      </x:c>
      <x:c r="G119" s="58" t="str">
        <x:v>Complete profile, partially blank profile, imperial units, existing body targets; remotely synced height 261–300 cm.</x:v>
      </x:c>
      <x:c r="H119" s="58" t="str">
        <x:v>Edit every field, switch to imperial, clear all, verify targets remain and Progress recalculates/hides energy; pull a &gt;260 cm cloud profile and try to resave.</x:v>
      </x:c>
      <x:c r="I119" s="58" t="str">
        <x:v>Repeat.</x:v>
      </x:c>
      <x:c r="J119" s="58" t="str">
        <x:v>Covered: SettingsTest.php update/separate sync, clearing, required/present/bounds; bodyUnits.test.ts.</x:v>
      </x:c>
      <x:c r="K119" s="58" t="str">
        <x:v>/Users/mason/Sites/Buff/app/Http/Controllers/SettingsController.php:57-63, :164-169; /Users/mason/Sites/Buff/app/Models/BodyProfile.php:31-61; /Users/mason/Sites/Buff/resources/js/Pages/Settings/BodyProfile.vue:24-56; /Users/mason/Sites/Buff/resources/js/Components/BodyProfileEditor.vue:12-106; /Users/mason/Sites/buff-server/config/buff.php:126 body_profiles rules</x:v>
      </x:c>
      <x:c r="L119" s="58" t="str">
        <x:v>Mapped</x:v>
      </x:c>
      <x:c r="M119" s="58" t="str">
        <x:v>Ready</x:v>
      </x:c>
      <x:c r="N119" s="58" t="str">
        <x:v>Not Run</x:v>
      </x:c>
      <x:c r="O119" s="58" t="str">
        <x:v>Failed</x:v>
      </x:c>
      <x:c r="P119" s="58" t="str">
        <x:v>Android: /Users/mason/.codex/visualizations/2026/09/01/01a05def-1c0d-76d1-abc6-07c63a443582/emulator-runs/initial/android-guest/ACC-036-body-height-client-server-min-mismatch.png
/Users/mason/.codex/visualizations/2026/09/01/01a05def-1c0d-76d1-abc6-07c63a443582/emulator-runs/initial/android-guest/ACC-036-optional-profile-fields-cannot-clear.png — Body-profile inputs fed the energy calculations and saved valid values, but the centimetre affordance exposed the wrong bounds and nullable sex/activity fields could not be cleared.</x:v>
      </x:c>
      <x:c r="Q119" s="58" t="str">
        <x:v>DEF-044
DEF-045</x:v>
      </x:c>
      <x:c r="R119" s="58" t="str">
        <x:v>In Progress</x:v>
      </x:c>
      <x:c r="S119" s="58" t="str"/>
      <x:c r="T119" s="58" t="str">
        <x:v>Not Run</x:v>
      </x:c>
      <x:c r="U119" s="58" t="str">
        <x:v>Not Run</x:v>
      </x:c>
      <x:c r="V119" s="58" t="str"/>
      <x:c r="W119" s="58" t="str">
        <x:f>IF(AND(OR(N119="Passed",N119="Failed",N119="Not Applicable"),OR(O119="Passed",O119="Failed",O119="Not Applicable"),OR(N119="Passed",N119="Failed",O119="Passed",O119="Failed"),OR(T119="Passed",T119="Not Applicable"),OR(U119="Passed",U119="Not Applicable"),OR(T119="Passed",U119="Passed"),Y119="Reconciled",Z119="Reconciled",IF(Q119&lt;&gt;"",R119="Fixed",TRUE)),"Verified",IF(OR(T119="Failed",U119="Failed"),"Retest Failed",IF(OR(N119="Failed",O119="Failed",Q119&lt;&gt;""),"Defect Found",IF(AND(OR(N119="Passed",N119="Not Applicable"),OR(O119="Passed",O119="Not Applicable"),OR(N119="Passed",O119="Passed")),"Initial Pass","Not Complete"))))</x:f>
        <x:v>Defect Found</x:v>
      </x:c>
      <x:c r="X119" s="58" t="str">
        <x:v>UX/contract mismatch: cm input advertises min=1 while local validation rejects below 50, and cloud sync permits height through 300 cm while local editing stops at 260. Shared emulator scenario: reuse the same run evidence as ACC-036.</x:v>
      </x:c>
      <x:c r="Y119" s="58" t="str">
        <x:f>IF(OR(N119="Not Run",O119="Not Run"),"Pending",IF(AND(OR(N119="Not Applicable",COUNTIFS('Test Runs'!$B$5:$B$2004,A119,'Test Runs'!$C$5:$C$2004,"Initial",'Test Runs'!$D$5:$D$2004,"iOS",'Test Runs'!$I$5:$I$2004,N119)&gt;0),OR(O119="Not Applicable",COUNTIFS('Test Runs'!$B$5:$B$2004,A119,'Test Runs'!$C$5:$C$2004,"Initial",'Test Runs'!$D$5:$D$2004,"Android",'Test Runs'!$I$5:$I$2004,O119)&gt;0)),"Reconciled","Mismatch"))</x:f>
        <x:v>Pending</x:v>
      </x:c>
      <x:c r="Z119" s="58" t="str">
        <x:f>IF(OR(T119="Not Run",U119="Not Run"),"Pending",IF(AND(OR(T119="Not Applicable",COUNTIFS('Test Runs'!$B$5:$B$2004,A119,'Test Runs'!$C$5:$C$2004,"Retest",'Test Runs'!$D$5:$D$2004,"iOS",'Test Runs'!$I$5:$I$2004,T119)&gt;0),OR(U119="Not Applicable",COUNTIFS('Test Runs'!$B$5:$B$2004,A119,'Test Runs'!$C$5:$C$2004,"Retest",'Test Runs'!$D$5:$D$2004,"Android",'Test Runs'!$I$5:$I$2004,U119)&gt;0)),"Reconciled","Mismatch"))</x:f>
        <x:v>Pending</x:v>
      </x:c>
    </x:row>
    <x:row r="120" ht="120" customHeight="1">
      <x:c r="A120" s="58" t="str">
        <x:v>HLT-034</x:v>
      </x:c>
      <x:c r="B120" s="58" t="str">
        <x:v>Energy calculation inputs</x:v>
      </x:c>
      <x:c r="C120" s="58" t="str">
        <x:v>Progress energy card and onboarding plan</x:v>
      </x:c>
      <x:c r="D120" s="58" t="str">
        <x:v>As a user, I want calorie estimates based on my body/profile data.</x:v>
      </x:c>
      <x:c r="E120" s="58" t="str">
        <x:v>Adult BMR is 10w+6.25h-5age plus +5 male/-161 female, multiplied by activity 1.2/1.375/1.55/1.725/1.9; incomplete or nonpositive inputs yield no estimate; onboarding calorie adjustments use 7700 kcal/kg/week capped at 20% maintenance and round to nearest 50.</x:v>
      </x:c>
      <x:c r="F120" s="58" t="str">
        <x:v>iOS, Android</x:v>
      </x:c>
      <x:c r="G120" s="58" t="str">
        <x:v>Known reference profiles across activity levels.</x:v>
      </x:c>
      <x:c r="H120" s="58" t="str">
        <x:v>Enter reference profiles and compare BMR/TDEE/plan outputs; clear each dependency individually.</x:v>
      </x:c>
      <x:c r="I120" s="58" t="str">
        <x:v>Repeat.</x:v>
      </x:c>
      <x:c r="J120" s="58" t="str">
        <x:v>Covered: EnergyEstimatorTest.php all main formula/incomplete/adult/teen cases.</x:v>
      </x:c>
      <x:c r="K120" s="58" t="str">
        <x:v>/Users/mason/Sites/Buff/app/Services/EnergyEstimator.php:15-39 estimate, :45-77 dailyCalories; /Users/mason/Sites/Buff/app/ActivityLevel.php; /Users/mason/Sites/Buff/app/Http/Controllers/OnboardingController.php:72-100</x:v>
      </x:c>
      <x:c r="L120" s="58" t="str">
        <x:v>Mapped</x:v>
      </x:c>
      <x:c r="M120" s="58" t="str">
        <x:v>Ready</x:v>
      </x:c>
      <x:c r="N120" s="58" t="str">
        <x:v>Not Run</x:v>
      </x:c>
      <x:c r="O120" s="58" t="str">
        <x:v>Passed</x:v>
      </x:c>
      <x:c r="P120" s="58" t="str">
        <x:v>Android: /Users/mason/.codex/visualizations/2026/09/01/01a05def-1c0d-76d1-abc6-07c63a443582/emulator-runs/initial/android-guest/ACC-028-adult-age30-lose-plan.png — The completed 80 kg, 180 cm, age-30 male moderate profile produced 2750 maintenance and a capped/rounded 2200-kcal loss goal with 165/220/73.33 macros, matching the code formulas.</x:v>
      </x:c>
      <x:c r="Q120" s="58" t="str"/>
      <x:c r="R120" s="58" t="str">
        <x:v>Not Needed</x:v>
      </x:c>
      <x:c r="S120" s="58" t="str"/>
      <x:c r="T120" s="58" t="str">
        <x:v>Blocked</x:v>
      </x:c>
      <x:c r="U120" s="58" t="str">
        <x:v>Not Run</x:v>
      </x:c>
      <x:c r="V120" s="58" t="str">
        <x:v>iOS: /Users/mason/.codex/visualizations/2026/09/01/01a05def-1c0d-76d1-abc6-07c63a443582/emulator-runs/retest/ios/HLT-039-created-weight75.png — Progress displayed BMR 1,755 and estimated daily energy 2,106 kcal for the saved 25-year-old male-equation, 180 cm, 75 kg sedentary fixture. These match 10*75 + 6.25*180 - 5*25 + 5 = 1,755 and 1,755*1.2 = 2,106. Onboarding rounded the maintenance goal to 2,100 kcal.</x:v>
      </x:c>
      <x:c r="W120" s="58" t="str">
        <x:f>IF(AND(OR(N120="Passed",N120="Failed",N120="Not Applicable"),OR(O120="Passed",O120="Failed",O120="Not Applicable"),OR(N120="Passed",N120="Failed",O120="Passed",O120="Failed"),OR(T120="Passed",T120="Not Applicable"),OR(U120="Passed",U120="Not Applicable"),OR(T120="Passed",U120="Passed"),Y120="Reconciled",Z120="Reconciled",IF(Q120&lt;&gt;"",R120="Fixed",TRUE)),"Verified",IF(OR(T120="Failed",U120="Failed"),"Retest Failed",IF(OR(N120="Failed",O120="Failed",Q120&lt;&gt;""),"Defect Found",IF(AND(OR(N120="Passed",N120="Not Applicable"),OR(O120="Passed",O120="Not Applicable"),OR(N120="Passed",O120="Passed")),"Initial Pass","Not Complete"))))</x:f>
        <x:v>Not Complete</x:v>
      </x:c>
      <x:c r="X120" s="58" t="str">
        <x:v>Product risk: formula is an estimate but Progress labels may be interpreted as measured energy needs.</x:v>
      </x:c>
      <x:c r="Y120" s="58" t="str">
        <x:f>IF(OR(N120="Not Run",O120="Not Run"),"Pending",IF(AND(OR(N120="Not Applicable",COUNTIFS('Test Runs'!$B$5:$B$2004,A120,'Test Runs'!$C$5:$C$2004,"Initial",'Test Runs'!$D$5:$D$2004,"iOS",'Test Runs'!$I$5:$I$2004,N120)&gt;0),OR(O120="Not Applicable",COUNTIFS('Test Runs'!$B$5:$B$2004,A120,'Test Runs'!$C$5:$C$2004,"Initial",'Test Runs'!$D$5:$D$2004,"Android",'Test Runs'!$I$5:$I$2004,O120)&gt;0)),"Reconciled","Mismatch"))</x:f>
        <x:v>Pending</x:v>
      </x:c>
      <x:c r="Z120" s="58" t="str">
        <x:f>IF(OR(T120="Not Run",U120="Not Run"),"Pending",IF(AND(OR(T120="Not Applicable",COUNTIFS('Test Runs'!$B$5:$B$2004,A120,'Test Runs'!$C$5:$C$2004,"Retest",'Test Runs'!$D$5:$D$2004,"iOS",'Test Runs'!$I$5:$I$2004,T120)&gt;0),OR(U120="Not Applicable",COUNTIFS('Test Runs'!$B$5:$B$2004,A120,'Test Runs'!$C$5:$C$2004,"Retest",'Test Runs'!$D$5:$D$2004,"Android",'Test Runs'!$I$5:$I$2004,U120)&gt;0)),"Reconciled","Mismatch"))</x:f>
        <x:v>Pending</x:v>
      </x:c>
    </x:row>
    <x:row r="121" ht="120" customHeight="1">
      <x:c r="A121" s="58" t="str">
        <x:v>HLT-035</x:v>
      </x:c>
      <x:c r="B121" s="58" t="str">
        <x:v>Onboarding draft and navigation</x:v>
      </x:c>
      <x:c r="C121" s="58" t="str">
        <x:v>First launch -&gt; /onboarding</x:v>
      </x:c>
      <x:c r="D121" s="58" t="str">
        <x:v>As a new user, I want onboarding progress restored if I leave mid-flow.</x:v>
      </x:c>
      <x:c r="E121" s="58" t="str">
        <x:v>Wizard draft, active step, custom-plan mode, and response are stored in localStorage under account ID or local; steps adapt to teen/goal; draft clears on successful completion/logout cleanup; validation redirects to the relevant step.</x:v>
      </x:c>
      <x:c r="F121" s="58" t="str">
        <x:v>iOS, Android</x:v>
      </x:c>
      <x:c r="G121" s="58" t="str">
        <x:v>Fresh account; interrupt at every step; account switch.</x:v>
      </x:c>
      <x:c r="H121" s="58" t="str">
        <x:v>Enter partial values, kill/relaunch, navigate back/forward, switch account, finish and verify draft cleared.</x:v>
      </x:c>
      <x:c r="I121" s="58" t="str">
        <x:v>Repeat.</x:v>
      </x:c>
      <x:c r="J121" s="58" t="str">
        <x:v>Partial: OnboardingTest.php server flow; no localStorage/wizard component test found.</x:v>
      </x:c>
      <x:c r="K121" s="58" t="str">
        <x:v>/Users/mason/Sites/Buff/resources/js/Pages/Onboarding.vue:84-142 draft/steps, :278-364 completion/watchers</x:v>
      </x:c>
      <x:c r="L121" s="58" t="str">
        <x:v>Mapped</x:v>
      </x:c>
      <x:c r="M121" s="58" t="str">
        <x:v>Ready</x:v>
      </x:c>
      <x:c r="N121" s="58" t="str">
        <x:v>Not Run</x:v>
      </x:c>
      <x:c r="O121" s="58" t="str">
        <x:v>Failed</x:v>
      </x:c>
      <x:c r="P121" s="58" t="str">
        <x:v>Android: /Users/mason/.codex/visualizations/2026/09/01/01a05def-1c0d-76d1-abc6-07c63a443582/emulator-runs/initial/android-guest/ACC-025-draft-before-process-death.png
/Users/mason/.codex/visualizations/2026/09/01/01a05def-1c0d-76d1-abc6-07c63a443582/emulator-runs/initial/android-guest/ACC-025-draft-resumed-after-process-death.png
/Users/mason/.codex/visualizations/2026/09/01/01a05def-1c0d-76d1-abc6-07c63a443582/emulator-runs/initial/android-guest/dom-observations-batch-014.json — Ordinary height-step process death restored exact step/data and successful completion cleared the draft. Interrupting the plan-loading state instead corrupted the response and targets on resume.</x:v>
      </x:c>
      <x:c r="Q121" s="58" t="str">
        <x:v>DEF-043</x:v>
      </x:c>
      <x:c r="R121" s="58" t="str">
        <x:v>Fixed</x:v>
      </x:c>
      <x:c r="S121" s="58" t="str"/>
      <x:c r="T121" s="58" t="str">
        <x:v>Not Run</x:v>
      </x:c>
      <x:c r="U121" s="58" t="str">
        <x:v>Not Run</x:v>
      </x:c>
      <x:c r="V121" s="58" t="str"/>
      <x:c r="W121" s="58" t="str">
        <x:f>IF(AND(OR(N121="Passed",N121="Failed",N121="Not Applicable"),OR(O121="Passed",O121="Failed",O121="Not Applicable"),OR(N121="Passed",N121="Failed",O121="Passed",O121="Failed"),OR(T121="Passed",T121="Not Applicable"),OR(U121="Passed",U121="Not Applicable"),OR(T121="Passed",U121="Passed"),Y121="Reconciled",Z121="Reconciled",IF(Q121&lt;&gt;"",R121="Fixed",TRUE)),"Verified",IF(OR(T121="Failed",U121="Failed"),"Retest Failed",IF(OR(N121="Failed",O121="Failed",Q121&lt;&gt;""),"Defect Found",IF(AND(OR(N121="Passed",N121="Not Applicable"),OR(O121="Passed",O121="Not Applicable"),OR(N121="Passed",O121="Passed")),"Initial Pass","Not Complete"))))</x:f>
        <x:v>Defect Found</x:v>
      </x:c>
      <x:c r="X121" s="58" t="str">
        <x:v>Risk: sensitive body/goal draft remains unencrypted in WebView localStorage until completion/cleanup. Shared emulator scenario: reuse the same run evidence as ACC-025–ACC-031.</x:v>
      </x:c>
      <x:c r="Y121" s="58" t="str">
        <x:f>IF(OR(N121="Not Run",O121="Not Run"),"Pending",IF(AND(OR(N121="Not Applicable",COUNTIFS('Test Runs'!$B$5:$B$2004,A121,'Test Runs'!$C$5:$C$2004,"Initial",'Test Runs'!$D$5:$D$2004,"iOS",'Test Runs'!$I$5:$I$2004,N121)&gt;0),OR(O121="Not Applicable",COUNTIFS('Test Runs'!$B$5:$B$2004,A121,'Test Runs'!$C$5:$C$2004,"Initial",'Test Runs'!$D$5:$D$2004,"Android",'Test Runs'!$I$5:$I$2004,O121)&gt;0)),"Reconciled","Mismatch"))</x:f>
        <x:v>Pending</x:v>
      </x:c>
      <x:c r="Z121" s="58" t="str">
        <x:f>IF(OR(T121="Not Run",U121="Not Run"),"Pending",IF(AND(OR(T121="Not Applicable",COUNTIFS('Test Runs'!$B$5:$B$2004,A121,'Test Runs'!$C$5:$C$2004,"Retest",'Test Runs'!$D$5:$D$2004,"iOS",'Test Runs'!$I$5:$I$2004,T121)&gt;0),OR(U121="Not Applicable",COUNTIFS('Test Runs'!$B$5:$B$2004,A121,'Test Runs'!$C$5:$C$2004,"Retest",'Test Runs'!$D$5:$D$2004,"Android",'Test Runs'!$I$5:$I$2004,U121)&gt;0)),"Reconciled","Mismatch"))</x:f>
        <x:v>Pending</x:v>
      </x:c>
    </x:row>
    <x:row r="122" ht="120" customHeight="1">
      <x:c r="A122" s="58" t="str">
        <x:v>HLT-036</x:v>
      </x:c>
      <x:c r="B122" s="58" t="str">
        <x:v>Adult onboarding plan</x:v>
      </x:c>
      <x:c r="C122" s="58" t="str">
        <x:v>Onboarding -&gt; goal/pace -&gt; plan</x:v>
      </x:c>
      <x:c r="D122" s="58" t="str">
        <x:v>As an adult, I want a personalized lose, maintain, or gain starting plan.</x:v>
      </x:c>
      <x:c r="E122" s="58" t="str">
        <x:v>Recorded age above 18 with a non-maintain goal requires weekly pace 0.05-1kg. The UI requires target 20-1000kg with valid lose/gain direction. Maintain skips target/pace; full adult profile invokes the estimator, caps deficit/surplus at 20%, rounds calories to 50, assigns 30/40/residual macros and returns editable estimate copy.</x:v>
      </x:c>
      <x:c r="F122" s="58" t="str">
        <x:v>iOS, Android</x:v>
      </x:c>
      <x:c r="G122" s="58" t="str">
        <x:v>Complete profiles age 19+; lose/maintain/gain; target boundaries/direction; extreme pace</x:v>
      </x:c>
      <x:c r="H122" s="58" t="str">
        <x:v>Complete all three goal paths, verify direction/pace validation and calorie cap; customize plan before finish.</x:v>
      </x:c>
      <x:c r="I122" s="58" t="str">
        <x:v>Repeat.</x:v>
      </x:c>
      <x:c r="J122" s="58" t="str">
        <x:v>Covered: OnboardingTest.php personalized adult plan; EnergyEstimatorTest.php adult recommendations.</x:v>
      </x:c>
      <x:c r="K122" s="58" t="str">
        <x:v>/Users/mason/Sites/Buff/app/Http/Controllers/OnboardingController.php:57-101; /Users/mason/Sites/Buff/app/Services/EnergyEstimator.php:45-77; /Users/mason/Sites/Buff/resources/js/Pages/Onboarding.vue:134-193, :240-313</x:v>
      </x:c>
      <x:c r="L122" s="58" t="str">
        <x:v>Mapped</x:v>
      </x:c>
      <x:c r="M122" s="58" t="str">
        <x:v>Ready</x:v>
      </x:c>
      <x:c r="N122" s="58" t="str">
        <x:v>Not Run</x:v>
      </x:c>
      <x:c r="O122" s="58" t="str">
        <x:v>Failed</x:v>
      </x:c>
      <x:c r="P122" s="58" t="str">
        <x:v>Android: /Users/mason/.codex/visualizations/2026/09/01/01a05def-1c0d-76d1-abc6-07c63a443582/emulator-runs/initial/android-guest/ACC-027-target-zero-next-enabled.png
/Users/mason/.codex/visualizations/2026/09/01/01a05def-1c0d-76d1-abc6-07c63a443582/emulator-runs/initial/android-guest/ACC-028-adult-age30-lose-plan.png
/Users/mason/.codex/visualizations/2026/09/01/01a05def-1c0d-76d1-abc6-07c63a443582/emulator-runs/initial/android-guest/ACC-028-age18-adolescent-equation-adult-loss.png
/Users/mason/.codex/visualizations/2026/09/01/01a05def-1c0d-76d1-abc6-07c63a443582/emulator-runs/initial/android-guest/ACC-031-custom-split-resets-to-fat-100.png — The age-30 loss calculation and pace selection worked, but zero target advanced, age 18 mixed adult controls with the adolescent equation, and Custom reset the valid split to fat-only.</x:v>
      </x:c>
      <x:c r="Q122" s="58" t="str">
        <x:v>DEF-040
DEF-041
DEF-042</x:v>
      </x:c>
      <x:c r="R122" s="58" t="str">
        <x:v>In Progress</x:v>
      </x:c>
      <x:c r="S122" s="58" t="str"/>
      <x:c r="T122" s="58" t="str">
        <x:v>Not Run</x:v>
      </x:c>
      <x:c r="U122" s="58" t="str">
        <x:v>Not Run</x:v>
      </x:c>
      <x:c r="V122" s="58" t="str"/>
      <x:c r="W122" s="58" t="str">
        <x:f>IF(AND(OR(N122="Passed",N122="Failed",N122="Not Applicable"),OR(O122="Passed",O122="Failed",O122="Not Applicable"),OR(N122="Passed",N122="Failed",O122="Passed",O122="Failed"),OR(T122="Passed",T122="Not Applicable"),OR(U122="Passed",U122="Not Applicable"),OR(T122="Passed",U122="Passed"),Y122="Reconciled",Z122="Reconciled",IF(Q122&lt;&gt;"",R122="Fixed",TRUE)),"Verified",IF(OR(T122="Failed",U122="Failed"),"Retest Failed",IF(OR(N122="Failed",O122="Failed",Q122&lt;&gt;""),"Defect Found",IF(AND(OR(N122="Passed",N122="Not Applicable"),OR(O122="Passed",O122="Not Applicable"),OR(N122="Passed",O122="Passed")),"Initial Pass","Not Complete"))))</x:f>
        <x:v>Defect Found</x:v>
      </x:c>
      <x:c r="X122" s="58" t="str">
        <x:v>Low for core formula; target direction is client-only and server accepts a contradictory target if request is tampered. Shared emulator scenario: reuse the same run evidence as ACC-028.</x:v>
      </x:c>
      <x:c r="Y122" s="58" t="str">
        <x:f>IF(OR(N122="Not Run",O122="Not Run"),"Pending",IF(AND(OR(N122="Not Applicable",COUNTIFS('Test Runs'!$B$5:$B$2004,A122,'Test Runs'!$C$5:$C$2004,"Initial",'Test Runs'!$D$5:$D$2004,"iOS",'Test Runs'!$I$5:$I$2004,N122)&gt;0),OR(O122="Not Applicable",COUNTIFS('Test Runs'!$B$5:$B$2004,A122,'Test Runs'!$C$5:$C$2004,"Initial",'Test Runs'!$D$5:$D$2004,"Android",'Test Runs'!$I$5:$I$2004,O122)&gt;0)),"Reconciled","Mismatch"))</x:f>
        <x:v>Pending</x:v>
      </x:c>
      <x:c r="Z122" s="58" t="str">
        <x:f>IF(OR(T122="Not Run",U122="Not Run"),"Pending",IF(AND(OR(T122="Not Applicable",COUNTIFS('Test Runs'!$B$5:$B$2004,A122,'Test Runs'!$C$5:$C$2004,"Retest",'Test Runs'!$D$5:$D$2004,"iOS",'Test Runs'!$I$5:$I$2004,T122)&gt;0),OR(U122="Not Applicable",COUNTIFS('Test Runs'!$B$5:$B$2004,A122,'Test Runs'!$C$5:$C$2004,"Retest",'Test Runs'!$D$5:$D$2004,"Android",'Test Runs'!$I$5:$I$2004,U122)&gt;0)),"Reconciled","Mismatch"))</x:f>
        <x:v>Pending</x:v>
      </x:c>
    </x:row>
    <x:row r="123" ht="120" customHeight="1">
      <x:c r="A123" s="58" t="str">
        <x:v>HLT-037</x:v>
      </x:c>
      <x:c r="B123" s="58" t="str">
        <x:v>Teen onboarding plan</x:v>
      </x:c>
      <x:c r="C123" s="58" t="str">
        <x:v>Onboarding age 13–18</x:v>
      </x:c>
      <x:c r="D123" s="58" t="str">
        <x:v>As a 13–17-year-old, I want conservative maintenance-only guidance.</x:v>
      </x:c>
      <x:c r="E123" s="58" t="str">
        <x:v>Ages 13-18 skip target-weight and pace steps and clear those fields. Complete profiles use adolescent maintenance calories with teen_maintenance_only=true and a guardian/health-professional notice regardless of lose/maintain/gain selection. Adult pace and calorie adjustments begin at 19.</x:v>
      </x:c>
      <x:c r="F123" s="58" t="str">
        <x:v>iOS, Android</x:v>
      </x:c>
      <x:c r="G123" s="58" t="str">
        <x:v>Profiles age 13, 17, 18, 19 with all goal types.</x:v>
      </x:c>
      <x:c r="H123" s="58" t="str">
        <x:v>Verify ages 13/17/18 skip target/pace and keep maintenance for every goal; supply a valid pace in a test request and verify no adjustment. Compare age 19 lose/gain output and adult notice.</x:v>
      </x:c>
      <x:c r="I123" s="58" t="str">
        <x:v>Repeat.</x:v>
      </x:c>
      <x:c r="J123" s="58" t="str">
        <x:v>Covered: OnboardingTest.php teen recommendation; EnergyEstimatorTest.php adolescent; age-18 boundary not specifically covered.</x:v>
      </x:c>
      <x:c r="K123" s="58" t="str">
        <x:v>/Users/mason/Sites/Buff/resources/js/Pages/Onboarding.vue:134-143, :339-346; /Users/mason/Sites/Buff/app/Services/EnergyEstimator.php:60-76 and :99-100; /Users/mason/Sites/Buff/app/Http/Controllers/OnboardingController.php:93-100</x:v>
      </x:c>
      <x:c r="L123" s="58" t="str">
        <x:v>Mapped</x:v>
      </x:c>
      <x:c r="M123" s="58" t="str">
        <x:v>Ready</x:v>
      </x:c>
      <x:c r="N123" s="58" t="str">
        <x:v>Not Run</x:v>
      </x:c>
      <x:c r="O123" s="58" t="str">
        <x:v>Failed</x:v>
      </x:c>
      <x:c r="P123" s="58" t="str">
        <x:v>Android: /Users/mason/.codex/visualizations/2026/09/01/01a05def-1c0d-76d1-abc6-07c63a443582/emulator-runs/initial/android-guest/ACC-029-teen-age17-maintenance-only.png
/Users/mason/.codex/visualizations/2026/09/01/01a05def-1c0d-76d1-abc6-07c63a443582/emulator-runs/initial/android-guest/ACC-028-age18-adolescent-equation-adult-loss.png — Age 17 correctly skipped pace and stayed at maintenance with safety notice, but the requested 18/19 boundary review exposed inconsistent policy and equation thresholds at exactly 18.</x:v>
      </x:c>
      <x:c r="Q123" s="58" t="str">
        <x:v>DEF-042</x:v>
      </x:c>
      <x:c r="R123" s="58" t="str">
        <x:v>Fixed</x:v>
      </x:c>
      <x:c r="S123" s="58" t="str"/>
      <x:c r="T123" s="58" t="str">
        <x:v>Not Run</x:v>
      </x:c>
      <x:c r="U123" s="58" t="str">
        <x:v>Not Run</x:v>
      </x:c>
      <x:c r="V123" s="58" t="str"/>
      <x:c r="W123" s="58" t="str">
        <x:f>IF(AND(OR(N123="Passed",N123="Failed",N123="Not Applicable"),OR(O123="Passed",O123="Failed",O123="Not Applicable"),OR(N123="Passed",N123="Failed",O123="Passed",O123="Failed"),OR(T123="Passed",T123="Not Applicable"),OR(U123="Passed",U123="Not Applicable"),OR(T123="Passed",U123="Passed"),Y123="Reconciled",Z123="Reconciled",IF(Q123&lt;&gt;"",R123="Fixed",TRUE)),"Verified",IF(OR(T123="Failed",U123="Failed"),"Retest Failed",IF(OR(N123="Failed",O123="Failed",Q123&lt;&gt;""),"Defect Found",IF(AND(OR(N123="Passed",N123="Not Applicable"),OR(O123="Passed",O123="Not Applicable"),OR(N123="Passed",O123="Passed")),"Initial Pass","Not Complete"))))</x:f>
        <x:v>Defect Found</x:v>
      </x:c>
      <x:c r="X123" s="58" t="str">
        <x:v>Likely logic defect: age 18 is treated as adult for goal adjustment/UI but adolescent for maintenance formula. Shared emulator scenario: reuse the same run evidence as ACC-029.</x:v>
      </x:c>
      <x:c r="Y123" s="58" t="str">
        <x:f>IF(OR(N123="Not Run",O123="Not Run"),"Pending",IF(AND(OR(N123="Not Applicable",COUNTIFS('Test Runs'!$B$5:$B$2004,A123,'Test Runs'!$C$5:$C$2004,"Initial",'Test Runs'!$D$5:$D$2004,"iOS",'Test Runs'!$I$5:$I$2004,N123)&gt;0),OR(O123="Not Applicable",COUNTIFS('Test Runs'!$B$5:$B$2004,A123,'Test Runs'!$C$5:$C$2004,"Initial",'Test Runs'!$D$5:$D$2004,"Android",'Test Runs'!$I$5:$I$2004,O123)&gt;0)),"Reconciled","Mismatch"))</x:f>
        <x:v>Pending</x:v>
      </x:c>
      <x:c r="Z123" s="58" t="str">
        <x:f>IF(OR(T123="Not Run",U123="Not Run"),"Pending",IF(AND(OR(T123="Not Applicable",COUNTIFS('Test Runs'!$B$5:$B$2004,A123,'Test Runs'!$C$5:$C$2004,"Retest",'Test Runs'!$D$5:$D$2004,"iOS",'Test Runs'!$I$5:$I$2004,T123)&gt;0),OR(U123="Not Applicable",COUNTIFS('Test Runs'!$B$5:$B$2004,A123,'Test Runs'!$C$5:$C$2004,"Retest",'Test Runs'!$D$5:$D$2004,"Android",'Test Runs'!$I$5:$I$2004,U123)&gt;0)),"Reconciled","Mismatch"))</x:f>
        <x:v>Pending</x:v>
      </x:c>
    </x:row>
    <x:row r="124" ht="120" customHeight="1">
      <x:c r="A124" s="58" t="str">
        <x:v>HLT-038</x:v>
      </x:c>
      <x:c r="B124" s="58" t="str">
        <x:v>Incomplete-plan fallback</x:v>
      </x:c>
      <x:c r="C124" s="58" t="str">
        <x:v>Onboarding -&gt; plan with skipped profile fields</x:v>
      </x:c>
      <x:c r="D124" s="58" t="str">
        <x:v>As a new user, I want usable defaults when I skip optional profile data or estimate loading fails.</x:v>
      </x:c>
      <x:c r="E124" s="58" t="str">
        <x:v>Current weight and goal remain required. Missing age, sex, height, or activity returns editable 2000/170/195/60 defaults with personalized=false and an explanatory notice. The plan route is served by the on-device Laravel runtime and therefore works in airplane mode. A genuine local request failure should leave valid editable targets and display the refresh-failure message.</x:v>
      </x:c>
      <x:c r="F124" s="58" t="str">
        <x:v>iOS, Android</x:v>
      </x:c>
      <x:c r="G124" s="58" t="str">
        <x:v>Only current weight plus goal supplied; complete offline profile; forced local 422/500 or interruption while the plan response is pending</x:v>
      </x:c>
      <x:c r="H124" s="58" t="str">
        <x:v>Skip each optional profile field and verify safe defaults. Enable airplane mode with a complete profile and verify local personalization still works. Force a local 422/500 or interrupt plan loading and verify explicit feedback plus usable targets.</x:v>
      </x:c>
      <x:c r="I124" s="58" t="str">
        <x:v>Repeat each incomplete case and the airplane-mode local calculation. Force a local 422/500 and cold-resume during plan loading; verify the app retains usable targets and explains the failure.</x:v>
      </x:c>
      <x:c r="J124" s="58" t="str">
        <x:v>Covered: OnboardingTest.php incomplete fallback and required current weight.</x:v>
      </x:c>
      <x:c r="K124" s="58" t="str">
        <x:v>/Users/mason/Sites/Buff/app/Http/Controllers/OnboardingController.php:82-90; /Users/mason/Sites/Buff/resources/js/Pages/Onboarding.vue:251-274, :526-556</x:v>
      </x:c>
      <x:c r="L124" s="58" t="str">
        <x:v>Mapped</x:v>
      </x:c>
      <x:c r="M124" s="58" t="str">
        <x:v>Ready</x:v>
      </x:c>
      <x:c r="N124" s="58" t="str">
        <x:v>Not Run</x:v>
      </x:c>
      <x:c r="O124" s="58" t="str">
        <x:v>Failed</x:v>
      </x:c>
      <x:c r="P124" s="58" t="str">
        <x:v>Android: /Users/mason/.codex/visualizations/2026/09/01/01a05def-1c0d-76d1-abc6-07c63a443582/emulator-runs/initial/android-guest/ACC-030-incomplete-profile-safe-defaults.png
/Users/mason/.codex/visualizations/2026/09/01/01a05def-1c0d-76d1-abc6-07c63a443582/emulator-runs/initial/android-guest/ACC-030-offline-local-personalized-plan.png
/Users/mason/.codex/visualizations/2026/09/01/01a05def-1c0d-76d1-abc6-07c63a443582/emulator-runs/initial/android-guest/dom-observations-batch-014.json — Skipped age returned usable defaults and airplane-mode calculation remained local, but a real resume-time request failure rendered a corrupt simple plan instead of defaults plus the documented error message.</x:v>
      </x:c>
      <x:c r="Q124" s="58" t="str">
        <x:v>DEF-043</x:v>
      </x:c>
      <x:c r="R124" s="58" t="str">
        <x:v>Fixed</x:v>
      </x:c>
      <x:c r="S124" s="58" t="str"/>
      <x:c r="T124" s="58" t="str">
        <x:v>Not Run</x:v>
      </x:c>
      <x:c r="U124" s="58" t="str">
        <x:v>Not Run</x:v>
      </x:c>
      <x:c r="V124" s="58" t="str"/>
      <x:c r="W124" s="58" t="str">
        <x:f>IF(AND(OR(N124="Passed",N124="Failed",N124="Not Applicable"),OR(O124="Passed",O124="Failed",O124="Not Applicable"),OR(N124="Passed",N124="Failed",O124="Passed",O124="Failed"),OR(T124="Passed",T124="Not Applicable"),OR(U124="Passed",U124="Not Applicable"),OR(T124="Passed",U124="Passed"),Y124="Reconciled",Z124="Reconciled",IF(Q124&lt;&gt;"",R124="Fixed",TRUE)),"Verified",IF(OR(T124="Failed",U124="Failed"),"Retest Failed",IF(OR(N124="Failed",O124="Failed",Q124&lt;&gt;""),"Defect Found",IF(AND(OR(N124="Passed",N124="Not Applicable"),OR(O124="Passed",O124="Not Applicable"),OR(N124="Passed",O124="Passed")),"Initial Pass","Not Complete"))))</x:f>
        <x:v>Defect Found</x:v>
      </x:c>
      <x:c r="X124" s="58" t="str">
        <x:v>Airplane mode is expected to succeed because estimation is on-device. Risk: the generic catch retains existing targets; DEF-043 records the Android cold-resume path that stores a validation payload as the plan instead of showing the intended fallback.</x:v>
      </x:c>
      <x:c r="Y124" s="58" t="str">
        <x:f>IF(OR(N124="Not Run",O124="Not Run"),"Pending",IF(AND(OR(N124="Not Applicable",COUNTIFS('Test Runs'!$B$5:$B$2004,A124,'Test Runs'!$C$5:$C$2004,"Initial",'Test Runs'!$D$5:$D$2004,"iOS",'Test Runs'!$I$5:$I$2004,N124)&gt;0),OR(O124="Not Applicable",COUNTIFS('Test Runs'!$B$5:$B$2004,A124,'Test Runs'!$C$5:$C$2004,"Initial",'Test Runs'!$D$5:$D$2004,"Android",'Test Runs'!$I$5:$I$2004,O124)&gt;0)),"Reconciled","Mismatch"))</x:f>
        <x:v>Pending</x:v>
      </x:c>
      <x:c r="Z124" s="58" t="str">
        <x:f>IF(OR(T124="Not Run",U124="Not Run"),"Pending",IF(AND(OR(T124="Not Applicable",COUNTIFS('Test Runs'!$B$5:$B$2004,A124,'Test Runs'!$C$5:$C$2004,"Retest",'Test Runs'!$D$5:$D$2004,"iOS",'Test Runs'!$I$5:$I$2004,T124)&gt;0),OR(U124="Not Applicable",COUNTIFS('Test Runs'!$B$5:$B$2004,A124,'Test Runs'!$C$5:$C$2004,"Retest",'Test Runs'!$D$5:$D$2004,"Android",'Test Runs'!$I$5:$I$2004,U124)&gt;0)),"Reconciled","Mismatch"))</x:f>
        <x:v>Pending</x:v>
      </x:c>
    </x:row>
    <x:row r="125" ht="120" customHeight="1">
      <x:c r="A125" s="58" t="str">
        <x:v>HLT-039</x:v>
      </x:c>
      <x:c r="B125" s="58" t="str">
        <x:v>Onboarding completion</x:v>
      </x:c>
      <x:c r="C125" s="58" t="str">
        <x:v>Onboarding -&gt; Start Buff</x:v>
      </x:c>
      <x:c r="D125" s="58" t="str">
        <x:v>As a new user, I want finishing setup to atomically initialize Buff.</x:v>
      </x:c>
      <x:c r="E125" s="58" t="str">
        <x:v>One transaction first-creates DailyGoal, updates BodyProfile and the selected weight/height preferences (measurement unit follows the selected height unit), creates/updates today’s BodyMetric with current weight and null body fat/notes, then redirects home; exact macro calories are required; any failure rolls all writes back; any existing goal redirects future /onboarding visits home.</x:v>
      </x:c>
      <x:c r="F125" s="58" t="str">
        <x:v>iOS, Android</x:v>
      </x:c>
      <x:c r="G125" s="58" t="str">
        <x:v>Fresh account with complete/custom plan; forced write failure; concurrent existing goal. Include both kg/cm/cm and lb/in/in completion fixtures; neither unit choice changes canonical kg/cm metric storage.</x:v>
      </x:c>
      <x:c r="H125" s="58" t="str">
        <x:v>Finish and verify Goals, Body profile, Units, Progress today; revisit onboarding; test retry after simulated failure. Include lb/in onboarding and confirm Units stores lb/in/in while BodyMetric retains canonical kg and BodyProfile retains canonical cm.</x:v>
      </x:c>
      <x:c r="I125" s="58" t="str">
        <x:v>Repeat both metric and imperial completion variants on a separate onboarding QA fixture, retaining the same transactional and direct-revisit checks.</x:v>
      </x:c>
      <x:c r="J125" s="58" t="str">
        <x:v>Covered: OnboardingTest.php store, rollback, redirect, required/optional targets.</x:v>
      </x:c>
      <x:c r="K125" s="58" t="str">
        <x:v>/Users/mason/Sites/Buff/app/Http/Controllers/OnboardingController.php:104-165; /Users/mason/Sites/Buff/database/migrations/2026_08_20_134546_create_body_profiles_table.php</x:v>
      </x:c>
      <x:c r="L125" s="58" t="str">
        <x:v>Mapped</x:v>
      </x:c>
      <x:c r="M125" s="58" t="str">
        <x:v>Ready</x:v>
      </x:c>
      <x:c r="N125" s="58" t="str">
        <x:v>Not Run</x:v>
      </x:c>
      <x:c r="O125" s="58" t="str">
        <x:v>Passed</x:v>
      </x:c>
      <x:c r="P125" s="58" t="str">
        <x:v>Android: /Users/mason/.codex/visualizations/2026/09/01/01a05def-1c0d-76d1-abc6-07c63a443582/emulator-runs/initial/android-guest/ACC-031-onboarding-complete-home.png — One Start Buff submission created the 2200/165/220/73 goal, age-30 male 180-cm moderate profile, kg/cm/cm preferences, and today's 80-kg metric; Home/Goals/Profile/Units/Progress all matched, draft cleared, and direct /onboarding redirected home.</x:v>
      </x:c>
      <x:c r="Q125" s="58" t="str"/>
      <x:c r="R125" s="58" t="str">
        <x:v>Not Needed</x:v>
      </x:c>
      <x:c r="S125" s="58" t="str"/>
      <x:c r="T125" s="58" t="str">
        <x:v>Blocked</x:v>
      </x:c>
      <x:c r="U125" s="58" t="str">
        <x:v>Not Run</x:v>
      </x:c>
      <x:c r="V125" s="58" t="str">
        <x:v>iOS: /Users/mason/.codex/visualizations/2026/09/01/01a05def-1c0d-76d1-abc6-07c63a443582/emulator-runs/retest/ios/ACC-031-onboarding-complete-today.png
/Users/mason/.codex/visualizations/2026/09/01/01a05def-1c0d-76d1-abc6-07c63a443582/emulator-runs/retest/ios/HLT-039-created-weight75.png — Completing onboarding initialized the daily goals and today's 75 kg Progress entry, preserved metric height/weight and removed draft/registration-name storage. Today and Goals displayed the same saved target after navigation.</x:v>
      </x:c>
      <x:c r="W125" s="58" t="str">
        <x:f>IF(AND(OR(N125="Passed",N125="Failed",N125="Not Applicable"),OR(O125="Passed",O125="Failed",O125="Not Applicable"),OR(N125="Passed",N125="Failed",O125="Passed",O125="Failed"),OR(T125="Passed",T125="Not Applicable"),OR(U125="Passed",U125="Not Applicable"),OR(T125="Passed",U125="Passed"),Y125="Reconciled",Z125="Reconciled",IF(Q125&lt;&gt;"",R125="Fixed",TRUE)),"Verified",IF(OR(T125="Failed",U125="Failed"),"Retest Failed",IF(OR(N125="Failed",O125="Failed",Q125&lt;&gt;""),"Defect Found",IF(AND(OR(N125="Passed",N125="Not Applicable"),OR(O125="Passed",O125="Not Applicable"),OR(N125="Passed",O125="Passed")),"Initial Pass","Not Complete"))))</x:f>
        <x:v>Not Complete</x:v>
      </x:c>
      <x:c r="X125" s="58" t="str">
        <x:v>Risk: firstOrCreate does not update a concurrently created/existing goal but remaining profile/metric writes still apply. Shared emulator scenario: reuse the same run evidence as ACC-031.</x:v>
      </x:c>
      <x:c r="Y125" s="58" t="str">
        <x:f>IF(OR(N125="Not Run",O125="Not Run"),"Pending",IF(AND(OR(N125="Not Applicable",COUNTIFS('Test Runs'!$B$5:$B$2004,A125,'Test Runs'!$C$5:$C$2004,"Initial",'Test Runs'!$D$5:$D$2004,"iOS",'Test Runs'!$I$5:$I$2004,N125)&gt;0),OR(O125="Not Applicable",COUNTIFS('Test Runs'!$B$5:$B$2004,A125,'Test Runs'!$C$5:$C$2004,"Initial",'Test Runs'!$D$5:$D$2004,"Android",'Test Runs'!$I$5:$I$2004,O125)&gt;0)),"Reconciled","Mismatch"))</x:f>
        <x:v>Pending</x:v>
      </x:c>
      <x:c r="Z125" s="58" t="str">
        <x:f>IF(OR(T125="Not Run",U125="Not Run"),"Pending",IF(AND(OR(T125="Not Applicable",COUNTIFS('Test Runs'!$B$5:$B$2004,A125,'Test Runs'!$C$5:$C$2004,"Retest",'Test Runs'!$D$5:$D$2004,"iOS",'Test Runs'!$I$5:$I$2004,T125)&gt;0),OR(U125="Not Applicable",COUNTIFS('Test Runs'!$B$5:$B$2004,A125,'Test Runs'!$C$5:$C$2004,"Retest",'Test Runs'!$D$5:$D$2004,"Android",'Test Runs'!$I$5:$I$2004,U125)&gt;0)),"Reconciled","Mismatch"))</x:f>
        <x:v>Pending</x:v>
      </x:c>
    </x:row>
    <x:row r="126" ht="2275.199951171875" hidden="0" customHeight="1">
      <x:c r="A126" s="58" t="str">
        <x:v>HLT-040</x:v>
      </x:c>
      <x:c r="B126" s="58" t="str">
        <x:v>Manual workout creation</x:v>
      </x:c>
      <x:c r="C126" s="58" t="str">
        <x:v>Today -&gt; Add workout or /add?mode=workout&amp;date=YYYY-MM-DD</x:v>
      </x:c>
      <x:c r="D126" s="58" t="str">
        <x:v>As a user, I want to log a workout with title, calories, date, and time.</x:v>
      </x:c>
      <x:c r="E126" s="58" t="str">
        <x:v>Add mode initializes selected query date and current clock time, then POST creates source_type=manual and logged_at from date+HH:mm; success redirects to Today for that date with “Workout added.”</x:v>
      </x:c>
      <x:c r="F126" s="58" t="str">
        <x:v>iOS, Android</x:v>
      </x:c>
      <x:c r="G126" s="58" t="str">
        <x:v>Goal initialized; selected today and historical date.</x:v>
      </x:c>
      <x:c r="H126" s="58" t="str">
        <x:v>Add workout for today and a past date; verify title/time/calories/source behavior and selected-day redirect.</x:v>
      </x:c>
      <x:c r="I126" s="58" t="str">
        <x:v>Repeat.</x:v>
      </x:c>
      <x:c r="J126" s="58" t="str">
        <x:v>Covered: WorkoutEntryTest.php create and add-mode tests; DashboardTest.php shortcut redirect.</x:v>
      </x:c>
      <x:c r="K126" s="58" t="str">
        <x:v>/Users/mason/Sites/Buff/resources/js/Pages/Add.vue:254-258, :855-857, :1449-1493; /Users/mason/Sites/Buff/app/Http/Controllers/WorkoutController.php:14-32</x:v>
      </x:c>
      <x:c r="L126" s="58" t="str">
        <x:v>Mapped</x:v>
      </x:c>
      <x:c r="M126" s="58" t="str">
        <x:v>Ready</x:v>
      </x:c>
      <x:c r="N126" s="58" t="str">
        <x:v>Not Run</x:v>
      </x:c>
      <x:c r="O126" s="58" t="str">
        <x:v>Passed</x:v>
      </x:c>
      <x:c r="P126" s="58" t="str">
        <x:v>Android: /Users/mason/.codex/visualizations/2026/09/01/01a05def-1c0d-76d1-abc6-07c63a443582/emulator-runs/initial/android/HLT-040-evening-workout-before-save.png
/Users/mason/.codex/visualizations/2026/09/01/01a05def-1c0d-76d1-abc6-07c63a443582/emulator-runs/initial/android/HLT-040-morning-workout-before-save.png — The dated Add workout form initialized a time and created manual 181-kcal 18:45 and 120-kcal 07:15 records on future date 2026-09-02. Each save redirected to that exact Today date and persisted through navigation.</x:v>
      </x:c>
      <x:c r="Q126" s="58" t="str">
        <x:v>DEF-053
DEF-092</x:v>
      </x:c>
      <x:c r="R126" s="58" t="str">
        <x:v>In Progress</x:v>
      </x:c>
      <x:c r="S126" s="58" t="str"/>
      <x:c r="T126" s="58" t="str">
        <x:v>Blocked</x:v>
      </x:c>
      <x:c r="U126" s="58" t="str">
        <x:v>Blocked</x:v>
      </x:c>
      <x:c r="V126" s="58" t="str">
        <x:v>iOS: /Users/mason/.codex/visualizations/2026/09/01/01a05def-1c0d-76d1-abc6-07c63a443582/emulator-runs/retest/ios/HLT-040-042-batch010-observations.json
/Users/mason/.codex/visualizations/2026/09/01/01a05def-1c0d-76d1-abc6-07c63a443582/emulator-runs/retest/ios/HLT-040-today-current-time-default.png
/Users/mason/.codex/visualizations/2026/09/01/01a05def-1c0d-76d1-abc6-07c63a443582/emulator-runs/retest/ios/HLT-040-today-before-save.png
/Users/mason/.codex/visualizations/2026/09/01/01a05def-1c0d-76d1-abc6-07c63a443582/emulator-runs/retest/ios/HLT-040-today-created.png
/Users/mason/.codex/visualizations/2026/09/01/01a05def-1c0d-76d1-abc6-07c63a443582/emulator-runs/retest/ios/HLT-040-past-selected-date-default.png
/Users/mason/.codex/visualizations/2026/09/01/01a05def-1c0d-76d1-abc6-07c63a443582/emulator-runs/retest/ios/HLT-040-past-before-save.png
/Users/mason/.codex/visualizations/2026/09/01/01a05def-1c0d-76d1-abc6-07c63a443582/emulator-runs/retest/ios/HLT-040-past-created.png
/Users/mason/.codex/visualizations/2026/09/01/01a05def-1c0d-76d1-abc6-07c63a443582/emulator-runs/retest/ios/HLT-040-today-cold-launch-persisted.png
/Users/mason/.codex/visualizations/2026/09/01/01a05def-1c0d-76d1-abc6-07c63a443582/emulator-runs/retest/ios/HLT-042-cold-launch-persisted.png
/Users/mason/.codex/visualizations/2026/09/01/01a05def-1c0d-76d1-abc6-07c63a443582/emulator-runs/retest/ios/HLT-040-cross-device-today247.json
/Users/mason/.codex/visualizations/2026/09/01/01a05def-1c0d-76d1-abc6-07c63a443582/emulator-runs/retest/ios/HLT-040-cross-device-today247-totals.png
/Users/mason/.codex/visualizations/2026/09/01/01a05def-1c0d-76d1-abc6-07c63a443582/emulator-runs/retest/ios/HLT-040-cross-device-today247-rows.png — Created a manual workout on both required date branches. Sep 4 opened with current-time default 12:52; QA iOS today workout 2026-09-04 saved once with 124 kcal and that unchanged time, then redirected to Sep 4. Sep 1 opened with the selected historical date and current-time default 12:54; QA iOS workout 2026-09-01 saved once at 09:15 with 501 kcal, then redirected to Sep 1. Both responses reported Workout added.; the historical create also showed the native success toast. Returned summaries identified distinct manual-source UUIDs and exact dates/times/calories. Both records survived a cold launch, with the historical record retaining its subsequently edited values.
Android: /Users/mason/.codex/visualizations/2026/09/01/01a05def-1c0d-76d1-abc6-07c63a443582/emulator-runs/retest/android/HLT-040-historical-workout-defaults.json
/Users/mason/.codex/visualizations/2026/09/01/01a05def-1c0d-76d1-abc6-07c63a443582/emulator-runs/retest/android/HLT-040-historical-before-save.json
/Users/mason/.codex/visualizations/2026/09/01/01a05def-1c0d-76d1-abc6-07c63a443582/emulator-runs/retest/android/HLT-040-historical-created.json
/Users/mason/.codex/visualizations/2026/09/01/01a05def-1c0d-76d1-abc6-07c63a443582/emulator-runs/retest/android/HLT-042-historical-cold-reopen-persisted.json
/Users/mason/.codex/visualizations/2026/09/01/01a05def-1c0d-76d1-abc6-07c63a443582/emulator-runs/retest/android/HLT-040-today-workout-defaults.json
/Users/mason/.codex/visualizations/2026/09/01/01a05def-1c0d-76d1-abc6-07c63a443582/emulator-runs/retest/android/HLT-040-today-before-save.json
/Users/mason/.codex/visualizations/2026/09/01/01a05def-1c0d-76d1-abc6-07c63a443582/emulator-runs/retest/android/HLT-040-today-create-result.png
/Users/mason/.codex/visualizations/2026/09/01/01a05def-1c0d-76d1-abc6-07c63a443582/emulator-runs/retest/android/HLT-040-today-created.json
/Users/mason/.codex/visualizations/2026/09/01/01a05def-1c0d-76d1-abc6-07c63a443582/emulator-runs/retest/android/HLT-040-today-cold-reopen-persisted.json — Both required creation date branches passed. Sep 2 opened with the selected historical date and current-time default 12:51. QA Android workout 2026-09-02 saved with 501 kcal at 09:15 and redirected to Sep 2 with Workout added. and manual-source UUID 01a06c44-0268-72b0-8801-7813f44daf6f. Sep 4 opened with current-time default 13:03 while the device clock read 13:03:50. QA Android today workout 2026-09-04 saved with 123 kcal and the unchanged default time, redirected to Sep 4 and displayed a native Workout added. toast. Its manual-source UUID is 01a06c4e-1e30-71bc-89b9-c4d5544a03ec. Both records survived app force-stop/relaunch, the historical entry with its subsequently edited values. Today retained the existing 500-kcal meal and received the counterpart iOS 124-kcal workout, for exactly 247 burned, effective goal 2347 and 1847 remaining. Sync pending 0 and no error.
iOS: /Users/mason/.codex/visualizations/2026/09/01/01a05def-1c0d-76d1-abc6-07c63a443582/emulator-runs/retest/ios/DEF-092-add-time-layout.json
/Users/mason/.codex/visualizations/2026/09/01/01a05def-1c0d-76d1-abc6-07c63a443582/emulator-runs/retest/ios/DEF-092-add-time-layout.png
/Users/mason/.codex/visualizations/2026/09/01/01a05def-1c0d-76d1-abc6-07c63a443582/emulator-runs/retest/ios/DEF-092-after-cancel.json — Fresh Add workout form on iOS build 15 visibly clips the native time input at its right card boundary. At a 402×874 CSS-pixel viewport, the number input is 161×48 px border-box but the time input renders 191×74 px content-box despite the same computed 161×48 px dimensions. Its 12 px vertical and 14 px horizontal padding plus borders add 26 px height and 30 px width. Time extends 30 px beyond its 161 px label and 10 px beyond the clipping card edge. Native minimum sizing is 70×15 px and appearance is auto. No picker was opened or field changed; the form was cancelled without saving.
Android: /Users/mason/.codex/visualizations/2026/09/01/01a05def-1c0d-76d1-abc6-07c63a443582/emulator-runs/retest/android/DEF-092-b16-add-input.json
/Users/mason/.codex/visualizations/2026/09/01/01a05def-1c0d-76d1-abc6-07c63a443582/emulator-runs/retest/android/DEF-092-b16-add-input.png
/Users/mason/.codex/visualizations/2026/09/01/01a05def-1c0d-76d1-abc6-07c63a443582/emulator-runs/retest/android/DEF-092-b16-add-native-picker.png
/Users/mason/.codex/visualizations/2026/09/01/01a05def-1c0d-76d1-abc6-07c63a443582/emulator-runs/retest/android/DEF-092-b16-add-empty-time.json
/Users/mason/.codex/visualizations/2026/09/01/01a05def-1c0d-76d1-abc6-07c63a443582/emulator-runs/retest/android/DEF-092-b16-add-required-errors-settled.json
/Users/mason/.codex/visualizations/2026/09/01/01a05def-1c0d-76d1-abc6-07c63a443582/emulator-runs/retest/android/DEF-092-b16-add-required-errors.png
/Users/mason/.codex/visualizations/2026/09/01/01a05def-1c0d-76d1-abc6-07c63a443582/emulator-runs/retest/android/DEF-092-b16-after-cancel.json — 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
iOS: /Users/mason/.codex/visualizations/2026/09/01/01a05def-1c0d-76d1-abc6-07c63a443582/emulator-runs/retest/ios/DEF-092-b16-postfix-observations.json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 — 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W126" s="58" t="str">
        <x:f>IF(AND(OR(N126="Passed",N126="Failed",N126="Not Applicable"),OR(O126="Passed",O126="Failed",O126="Not Applicable"),OR(N126="Passed",N126="Failed",O126="Passed",O126="Failed"),OR(T126="Passed",T126="Not Applicable"),OR(U126="Passed",U126="Not Applicable"),OR(T126="Passed",U126="Passed"),Y126="Reconciled",Z126="Reconciled",IF(Q126&lt;&gt;"",R126="Fixed",TRUE)),"Verified",IF(OR(T126="Failed",U126="Failed"),"Retest Failed",IF(OR(N126="Failed",O126="Failed",Q126&lt;&gt;""),"Defect Found",IF(AND(OR(N126="Passed",N126="Not Applicable"),OR(O126="Passed",O126="Not Applicable"),OR(N126="Passed",O126="Passed")),"Initial Pass","Not Complete"))))</x:f>
        <x:v>Defect Found</x:v>
      </x:c>
      <x:c r="X126" s="58" t="str">
        <x:v>Minor UX risk: logging a past date defaults time to the current clock, not a date-appropriate value.</x:v>
      </x:c>
      <x:c r="Y126" s="58" t="str">
        <x:f>IF(OR(N126="Not Run",O126="Not Run"),"Pending",IF(AND(OR(N126="Not Applicable",COUNTIFS('Test Runs'!$B$5:$B$2004,A126,'Test Runs'!$C$5:$C$2004,"Initial",'Test Runs'!$D$5:$D$2004,"iOS",'Test Runs'!$I$5:$I$2004,N126)&gt;0),OR(O126="Not Applicable",COUNTIFS('Test Runs'!$B$5:$B$2004,A126,'Test Runs'!$C$5:$C$2004,"Initial",'Test Runs'!$D$5:$D$2004,"Android",'Test Runs'!$I$5:$I$2004,O126)&gt;0)),"Reconciled","Mismatch"))</x:f>
        <x:v>Pending</x:v>
      </x:c>
      <x:c r="Z126" s="58" t="str">
        <x:f>IF(OR(T126="Not Run",U126="Not Run"),"Pending",IF(AND(OR(T126="Not Applicable",COUNTIFS('Test Runs'!$B$5:$B$2004,A126,'Test Runs'!$C$5:$C$2004,"Retest",'Test Runs'!$D$5:$D$2004,"iOS",'Test Runs'!$I$5:$I$2004,T126)&gt;0),OR(U126="Not Applicable",COUNTIFS('Test Runs'!$B$5:$B$2004,A126,'Test Runs'!$C$5:$C$2004,"Retest",'Test Runs'!$D$5:$D$2004,"Android",'Test Runs'!$I$5:$I$2004,U126)&gt;0)),"Reconciled","Mismatch"))</x:f>
        <x:v>Reconciled</x:v>
      </x:c>
    </x:row>
    <x:row r="127" ht="585.5999755859375" hidden="0" customHeight="1">
      <x:c r="A127" s="58" t="str">
        <x:v>HLT-041</x:v>
      </x:c>
      <x:c r="B127" s="58" t="str">
        <x:v>Workout display and burn</x:v>
      </x:c>
      <x:c r="C127" s="58" t="str">
        <x:v>Today -&gt; Workouts card</x:v>
      </x:c>
      <x:c r="D127" s="58" t="str">
        <x:v>As a user, I want workouts shown on the selected day and included in burned calories.</x:v>
      </x:c>
      <x:c r="E127" s="58" t="str">
        <x:v>Daily summary filters workouts by date, orders by logged_at, sums calories, returns source metadata, and Today displays title/time/calories plus burned total; WorkoutEntry recognizes manual, Health Connect and Apple Health sources, but UI does not visually identify them.</x:v>
      </x:c>
      <x:c r="F127" s="58" t="str">
        <x:v>iOS, Android</x:v>
      </x:c>
      <x:c r="G127" s="58" t="str">
        <x:v>Multiple manual and imported workouts same date/time order.</x:v>
      </x:c>
      <x:c r="H127" s="58" t="str">
        <x:v>Verify ordering, total burn, date isolation and item rows; compare imported/manual appearance.</x:v>
      </x:c>
      <x:c r="I127" s="58" t="str">
        <x:v>Repeat.</x:v>
      </x:c>
      <x:c r="J127" s="58" t="str">
        <x:v>Covered: DashboardTest.php calorie/eat-back summaries; Health import tests; TodayWorkoutButtonTest.php static controls.</x:v>
      </x:c>
      <x:c r="K127" s="58" t="str">
        <x:v>/Users/mason/Sites/Buff/app/Services/DailySummaryService.php:28-39, :71-80; /Users/mason/Sites/Buff/app/Models/WorkoutEntry.php:5-44; /Users/mason/Sites/Buff/resources/js/Pages/Today.vue:770-835</x:v>
      </x:c>
      <x:c r="L127" s="58" t="str">
        <x:v>Mapped</x:v>
      </x:c>
      <x:c r="M127" s="58" t="str">
        <x:v>Ready</x:v>
      </x:c>
      <x:c r="N127" s="58" t="str">
        <x:v>Not Run</x:v>
      </x:c>
      <x:c r="O127" s="58" t="str">
        <x:v>Passed</x:v>
      </x:c>
      <x:c r="P127" s="58" t="str">
        <x:v>Android: /Users/mason/.codex/visualizations/2026/09/01/01a05def-1c0d-76d1-abc6-07c63a443582/emulator-runs/initial/android/HLT-041-workout-order-burn.png — Two manual workouts created in reverse time order rendered 07:15 then 18:45 with exact titles/calories and 301 total burned. Editing the later item to 06:30 re-sorted it first and updated total burn to 441.
Android: /Users/mason/.codex/visualizations/2026/09/01/01a05def-1c0d-76d1-abc6-07c63a443582/emulator-runs/initial/android/health-connect-real-fixture-observations.json
/Users/mason/.codex/visualizations/2026/09/01/01a05def-1c0d-76d1-abc6-07c63a443582/emulator-runs/initial/android/HLT-041-health-connect-workout-275.png
/Users/mason/.codex/visualizations/2026/09/01/01a05def-1c0d-76d1-abc6-07c63a443582/emulator-runs/initial/android/HLT-041-health-connect-workout-row-275.png — The official Health Connect Toolbox workout imported as QA toolbox cycle with health_connect source metadata, rendered at 12:52 with 275 kcal, and produced exactly 275 kcal Total burned.
Android: /Users/mason/.codex/visualizations/2026/09/01/01a05def-1c0d-76d1-abc6-07c63a443582/emulator-runs/initial/android/HLT-041-date-isolation-observations.json
/Users/mason/.codex/visualizations/2026/09/01/01a05def-1c0d-76d1-abc6-07c63a443582/emulator-runs/initial/android/HLT-041-date-isolation-sep1.png
/Users/mason/.codex/visualizations/2026/09/01/01a05def-1c0d-76d1-abc6-07c63a443582/emulator-runs/initial/android/HLT-041-date-isolation-sep2.png
/Users/mason/.codex/visualizations/2026/09/01/01a05def-1c0d-76d1-abc6-07c63a443582/emulator-runs/initial/android/health-connect-real-fixture-observations.json
/Users/mason/.codex/visualizations/2026/09/01/01a05def-1c0d-76d1-abc6-07c63a443582/emulator-runs/initial/android/HLT-041-health-connect-workout-row-275.png — Combined coverage showed the genuine Toolbox import with exact title, time, health_connect source metadata, and 275-kcal burn, then proved populated-date isolation: 1 September contained only QA date isolation at 06:30 for 77 kcal, while 2 September contained only Health Connect workouts at 10:00 for 50 kcal and 11:00 for 60 kcal, totaling 110 kcal with no first-date row. Manual and imported rows used the same generic dumbbell treatment with no visible source label.</x:v>
      </x:c>
      <x:c r="Q127" s="58" t="str">
        <x:v>DEF-091</x:v>
      </x:c>
      <x:c r="R127" s="58" t="str">
        <x:v>Open</x:v>
      </x:c>
      <x:c r="S127" s="58" t="str"/>
      <x:c r="T127" s="58" t="str">
        <x:v>Not Run</x:v>
      </x:c>
      <x:c r="U127" s="58" t="str">
        <x:v>Not Run</x:v>
      </x:c>
      <x:c r="V127" s="58" t="str"/>
      <x:c r="W127" s="58" t="str">
        <x:f>IF(AND(OR(N127="Passed",N127="Failed",N127="Not Applicable"),OR(O127="Passed",O127="Failed",O127="Not Applicable"),OR(N127="Passed",N127="Failed",O127="Passed",O127="Failed"),OR(T127="Passed",T127="Not Applicable"),OR(U127="Passed",U127="Not Applicable"),OR(T127="Passed",U127="Passed"),Y127="Reconciled",Z127="Reconciled",IF(Q127&lt;&gt;"",R127="Fixed",TRUE)),"Verified",IF(OR(T127="Failed",U127="Failed"),"Retest Failed",IF(OR(N127="Failed",O127="Failed",Q127&lt;&gt;""),"Defect Found",IF(AND(OR(N127="Passed",N127="Not Applicable"),OR(O127="Passed",O127="Not Applicable"),OR(N127="Passed",O127="Passed")),"Initial Pass","Not Complete"))))</x:f>
        <x:v>Defect Found</x:v>
      </x:c>
      <x:c r="X127" s="58" t="str">
        <x:v>Likely UX gap: imported workouts are indistinguishable from manual entries despite source data being provided.</x:v>
      </x:c>
      <x:c r="Y127" s="58" t="str">
        <x:f>IF(OR(N127="Not Run",O127="Not Run"),"Pending",IF(AND(OR(N127="Not Applicable",COUNTIFS('Test Runs'!$B$5:$B$2004,A127,'Test Runs'!$C$5:$C$2004,"Initial",'Test Runs'!$D$5:$D$2004,"iOS",'Test Runs'!$I$5:$I$2004,N127)&gt;0),OR(O127="Not Applicable",COUNTIFS('Test Runs'!$B$5:$B$2004,A127,'Test Runs'!$C$5:$C$2004,"Initial",'Test Runs'!$D$5:$D$2004,"Android",'Test Runs'!$I$5:$I$2004,O127)&gt;0)),"Reconciled","Mismatch"))</x:f>
        <x:v>Pending</x:v>
      </x:c>
      <x:c r="Z127" s="58" t="str">
        <x:f>IF(OR(T127="Not Run",U127="Not Run"),"Pending",IF(AND(OR(T127="Not Applicable",COUNTIFS('Test Runs'!$B$5:$B$2004,A127,'Test Runs'!$C$5:$C$2004,"Retest",'Test Runs'!$D$5:$D$2004,"iOS",'Test Runs'!$I$5:$I$2004,T127)&gt;0),OR(U127="Not Applicable",COUNTIFS('Test Runs'!$B$5:$B$2004,A127,'Test Runs'!$C$5:$C$2004,"Retest",'Test Runs'!$D$5:$D$2004,"Android",'Test Runs'!$I$5:$I$2004,U127)&gt;0)),"Reconciled","Mismatch"))</x:f>
        <x:v>Pending</x:v>
      </x:c>
    </x:row>
    <x:row r="128" ht="1932" hidden="0" customHeight="1">
      <x:c r="A128" s="58" t="str">
        <x:v>HLT-042</x:v>
      </x:c>
      <x:c r="B128" s="58" t="str">
        <x:v>Edit manual workout</x:v>
      </x:c>
      <x:c r="C128" s="58" t="str">
        <x:v>Workout actions -&gt; Edit</x:v>
      </x:c>
      <x:c r="D128" s="58" t="str">
        <x:v>As a user, I want to edit a workout’s title, burn, and time.</x:v>
      </x:c>
      <x:c r="E128" s="58" t="str">
        <x:v>Today action opens a sheet with title/calories/time for the selected summary date; valid save updates fields/source manual and closes on success; date is sent but not editable in the sheet.</x:v>
      </x:c>
      <x:c r="F128" s="58" t="str">
        <x:v>iOS, Android</x:v>
      </x:c>
      <x:c r="G128" s="58" t="str">
        <x:v>Existing manual workout.</x:v>
      </x:c>
      <x:c r="H128" s="58" t="str">
        <x:v>Edit each field, validate sheet stays on error and closes on success; verify date unchanged.</x:v>
      </x:c>
      <x:c r="I128" s="58" t="str">
        <x:v>Repeat.</x:v>
      </x:c>
      <x:c r="J128" s="58" t="str">
        <x:v>Covered: WorkoutEntryTest.php update; iosUxRegressions.test.ts editor close regression.</x:v>
      </x:c>
      <x:c r="K128" s="58" t="str">
        <x:v>/Users/mason/Sites/Buff/resources/js/Pages/Today.vue:551-579, :983-1018; /Users/mason/Sites/Buff/app/Http/Controllers/WorkoutController.php:34-56</x:v>
      </x:c>
      <x:c r="L128" s="58" t="str">
        <x:v>Mapped</x:v>
      </x:c>
      <x:c r="M128" s="58" t="str">
        <x:v>Ready</x:v>
      </x:c>
      <x:c r="N128" s="58" t="str">
        <x:v>Not Run</x:v>
      </x:c>
      <x:c r="O128" s="58" t="str">
        <x:v>Passed</x:v>
      </x:c>
      <x:c r="P128" s="58" t="str">
        <x:v>Android: /Users/mason/.codex/visualizations/2026/09/01/01a05def-1c0d-76d1-abc6-07c63a443582/emulator-runs/initial/android/HLT-042-edit-validation.png
/Users/mason/.codex/visualizations/2026/09/01/01a05def-1c0d-76d1-abc6-07c63a443582/emulator-runs/initial/android/HLT-042-workout-edited-reordered.png — Edit prefilled the exact title, 181 calories, and 18:45 time. Blank/10001 stayed open with both visible errors; valid QA Early Cycle/321/06:30 saved, closed, retained 2026-09-02, and reordered before 07:15.</x:v>
      </x:c>
      <x:c r="Q128" s="58" t="str">
        <x:v>DEF-053
DEF-091
DEF-092</x:v>
      </x:c>
      <x:c r="R128" s="58" t="str">
        <x:v>Open</x:v>
      </x:c>
      <x:c r="S128" s="58" t="str"/>
      <x:c r="T128" s="58" t="str">
        <x:v>Blocked</x:v>
      </x:c>
      <x:c r="U128" s="58" t="str">
        <x:v>Failed</x:v>
      </x:c>
      <x:c r="V128" s="58" t="str">
        <x:v>iOS: /Users/mason/.codex/visualizations/2026/09/01/01a05def-1c0d-76d1-abc6-07c63a443582/emulator-runs/retest/ios/HLT-040-042-batch010-observations.json
/Users/mason/.codex/visualizations/2026/09/01/01a05def-1c0d-76d1-abc6-07c63a443582/emulator-runs/retest/ios/HLT-042-editor-prefill.png
/Users/mason/.codex/visualizations/2026/09/01/01a05def-1c0d-76d1-abc6-07c63a443582/emulator-runs/retest/ios/HLT-042-blank-title-error.png
/Users/mason/.codex/visualizations/2026/09/01/01a05def-1c0d-76d1-abc6-07c63a443582/emulator-runs/retest/ios/HLT-042-corrected-title-error-cleared.png
/Users/mason/.codex/visualizations/2026/09/01/01a05def-1c0d-76d1-abc6-07c63a443582/emulator-runs/retest/ios/HLT-042-title-calorie-save-intermediate.png
/Users/mason/.codex/visualizations/2026/09/01/01a05def-1c0d-76d1-abc6-07c63a443582/emulator-runs/retest/ios/HLT-042-final-before-save.png
/Users/mason/.codex/visualizations/2026/09/01/01a05def-1c0d-76d1-abc6-07c63a443582/emulator-runs/retest/ios/HLT-042-final-saved.png
/Users/mason/.codex/visualizations/2026/09/01/01a05def-1c0d-76d1-abc6-07c63a443582/emulator-runs/retest/ios/HLT-042-cold-launch-persisted.png — The Sep 1 workout editor prefilled its exact title, 501 kcal and 09:15. Blank title submission kept the sheet open with an adjacent required-title alert and did not change the saved record. Correcting the title cleared the visible error before resubmission. The same UUID was updated to QA iOS workout corrected 2026-09-01 and 502 kcal, then reopened and changed to 10:45. Successful updates closed the sheet, retained manual source and Sep 1, and returned Workout updated.; a native update toast was observed. The dialog offered no editable date control. Fresh navigation after a cold launch retained the exact final title, 502 kcal, 10:45 and UUID.
Android: /Users/mason/.codex/visualizations/2026/09/01/01a05def-1c0d-76d1-abc6-07c63a443582/emulator-runs/retest/android/HLT-042-workout-editor-prefill.json
/Users/mason/.codex/visualizations/2026/09/01/01a05def-1c0d-76d1-abc6-07c63a443582/emulator-runs/retest/android/HLT-042-blank-title-rejected.json
/Users/mason/.codex/visualizations/2026/09/01/01a05def-1c0d-76d1-abc6-07c63a443582/emulator-runs/retest/android/HLT-042-title-corrected-error-cleared.json
/Users/mason/.codex/visualizations/2026/09/01/01a05def-1c0d-76d1-abc6-07c63a443582/emulator-runs/retest/android/HLT-042-corrected-before-save.json
/Users/mason/.codex/visualizations/2026/09/01/01a05def-1c0d-76d1-abc6-07c63a443582/emulator-runs/retest/android/HLT-042-updated-sheet-closed.png
/Users/mason/.codex/visualizations/2026/09/01/01a05def-1c0d-76d1-abc6-07c63a443582/emulator-runs/retest/android/HLT-042-updated-same-workout.json
/Users/mason/.codex/visualizations/2026/09/01/01a05def-1c0d-76d1-abc6-07c63a443582/emulator-runs/retest/android/HLT-042-android-native-frame.png
/Users/mason/.codex/visualizations/2026/09/01/01a05def-1c0d-76d1-abc6-07c63a443582/emulator-runs/retest/android/HLT-042-cold-launch-settled.png
/Users/mason/.codex/visualizations/2026/09/01/01a05def-1c0d-76d1-abc6-07c63a443582/emulator-runs/retest/android/HLT-042-historical-cold-reopen-persisted.json — The functional edit passed: Sep 2 editor prefilled the exact title, 501 kcal and 09:15 with no editable date. Blank title kept the sheet open and showed the required-title error. Correcting the title immediately cleared that error. Saving QA Android revised workout 2026-09-02, 502 kcal and 10:45 closed the sheet, showed Workout updated., retained manual source and the same Sep 2 UUID, and updated the effective target to 2602. A cold launch and fresh navigation retained the exact final values and sync pending 0. The overall visual result failed: Today displayed duplicated Snacks/workout fragments over the single current row. An independent native framebuffer capture confirmed corruption, and scrolling, Home navigation and cold launch did not fully recover. DEF-091 records the still-unconfirmed rendering cause.
iOS: /Users/mason/.codex/visualizations/2026/09/01/01a05def-1c0d-76d1-abc6-07c63a443582/emulator-runs/retest/ios/DEF-092-edit-time-layout.json
/Users/mason/.codex/visualizations/2026/09/01/01a05def-1c0d-76d1-abc6-07c63a443582/emulator-runs/retest/ios/DEF-092-edit-time-layout.png
/Users/mason/.codex/visualizations/2026/09/01/01a05def-1c0d-76d1-abc6-07c63a443582/emulator-runs/retest/ios/DEF-092-after-cancel.json — Fresh Edit workout sheet on iOS build 15 visibly clips the native time input at its right card boundary. At a 402×874 CSS-pixel viewport, the number input is 161×48 px border-box but the time input renders 191×74 px content-box despite the same computed 161×48 px dimensions. Its 12 px vertical and 14 px horizontal padding plus borders add 26 px height and 30 px width. Time extends 30 px beyond its 161 px label and 10 px beyond the clipping card edge. Native minimum sizing is 70×15 px and appearance is auto. No picker was opened or field changed; the form was cancelled without saving.
Android: /Users/mason/.codex/visualizations/2026/09/01/01a05def-1c0d-76d1-abc6-07c63a443582/emulator-runs/retest/android/DEF-092-b16-edit-input.json
/Users/mason/.codex/visualizations/2026/09/01/01a05def-1c0d-76d1-abc6-07c63a443582/emulator-runs/retest/android/DEF-092-b16-edit-input.png
/Users/mason/.codex/visualizations/2026/09/01/01a05def-1c0d-76d1-abc6-07c63a443582/emulator-runs/retest/android/DEF-092-b16-after-cancel.json — 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
iOS: /Users/mason/.codex/visualizations/2026/09/01/01a05def-1c0d-76d1-abc6-07c63a443582/emulator-runs/retest/ios/DEF-092-b16-postfix-observations.json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 — 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W128" s="58" t="str">
        <x:f>IF(AND(OR(N128="Passed",N128="Failed",N128="Not Applicable"),OR(O128="Passed",O128="Failed",O128="Not Applicable"),OR(N128="Passed",N128="Failed",O128="Passed",O128="Failed"),OR(T128="Passed",T128="Not Applicable"),OR(U128="Passed",U128="Not Applicable"),OR(T128="Passed",U128="Passed"),Y128="Reconciled",Z128="Reconciled",IF(Q128&lt;&gt;"",R128="Fixed",TRUE)),"Verified",IF(OR(T128="Failed",U128="Failed"),"Retest Failed",IF(OR(N128="Failed",O128="Failed",Q128&lt;&gt;""),"Defect Found",IF(AND(OR(N128="Passed",N128="Not Applicable"),OR(O128="Passed",O128="Not Applicable"),OR(N128="Passed",O128="Passed")),"Initial Pass","Not Complete"))))</x:f>
        <x:v>Retest Failed</x:v>
      </x:c>
      <x:c r="X128" s="58" t="str">
        <x:v>Risk: no visible date in edit sheet can be confusing while browsing a non-today day.</x:v>
      </x:c>
      <x:c r="Y128" s="58" t="str">
        <x:f>IF(OR(N128="Not Run",O128="Not Run"),"Pending",IF(AND(OR(N128="Not Applicable",COUNTIFS('Test Runs'!$B$5:$B$2004,A128,'Test Runs'!$C$5:$C$2004,"Initial",'Test Runs'!$D$5:$D$2004,"iOS",'Test Runs'!$I$5:$I$2004,N128)&gt;0),OR(O128="Not Applicable",COUNTIFS('Test Runs'!$B$5:$B$2004,A128,'Test Runs'!$C$5:$C$2004,"Initial",'Test Runs'!$D$5:$D$2004,"Android",'Test Runs'!$I$5:$I$2004,O128)&gt;0)),"Reconciled","Mismatch"))</x:f>
        <x:v>Pending</x:v>
      </x:c>
      <x:c r="Z128" s="58" t="str">
        <x:f>IF(OR(T128="Not Run",U128="Not Run"),"Pending",IF(AND(OR(T128="Not Applicable",COUNTIFS('Test Runs'!$B$5:$B$2004,A128,'Test Runs'!$C$5:$C$2004,"Retest",'Test Runs'!$D$5:$D$2004,"iOS",'Test Runs'!$I$5:$I$2004,T128)&gt;0),OR(U128="Not Applicable",COUNTIFS('Test Runs'!$B$5:$B$2004,A128,'Test Runs'!$C$5:$C$2004,"Retest",'Test Runs'!$D$5:$D$2004,"Android",'Test Runs'!$I$5:$I$2004,U128)&gt;0)),"Reconciled","Mismatch"))</x:f>
        <x:v>Reconciled</x:v>
      </x:c>
    </x:row>
    <x:row r="129" ht="120" customHeight="1">
      <x:c r="A129" s="58" t="str">
        <x:v>HLT-043</x:v>
      </x:c>
      <x:c r="B129" s="58" t="str">
        <x:v>Delete manual workout</x:v>
      </x:c>
      <x:c r="C129" s="58" t="str">
        <x:v>Workout actions -&gt; Delete</x:v>
      </x:c>
      <x:c r="D129" s="58" t="str">
        <x:v>As a user, I want to delete a workout after confirmation.</x:v>
      </x:c>
      <x:c r="E129" s="58" t="str">
        <x:v>Delete dialog removes the local synced workout and redirects to its date with “Workout removed”; a manual workout creates no ignore record; failed request leaves error/row.</x:v>
      </x:c>
      <x:c r="F129" s="58" t="str">
        <x:v>iOS, Android</x:v>
      </x:c>
      <x:c r="G129" s="58" t="str">
        <x:v>Manual workout; offline case.</x:v>
      </x:c>
      <x:c r="H129" s="58" t="str">
        <x:v>Cancel then confirm; verify burn/remaining totals update; delete offline and verify local-first behavior.</x:v>
      </x:c>
      <x:c r="I129" s="58" t="str">
        <x:v>Repeat.</x:v>
      </x:c>
      <x:c r="J129" s="58" t="str">
        <x:v>Partial: controller logic covered indirectly; no dedicated manual delete test name found.</x:v>
      </x:c>
      <x:c r="K129" s="58" t="str">
        <x:v>/Users/mason/Sites/Buff/resources/js/Pages/Today.vue:271-313 and :1024-1027; /Users/mason/Sites/Buff/app/Http/Controllers/WorkoutController.php:58-67</x:v>
      </x:c>
      <x:c r="L129" s="58" t="str">
        <x:v>Mapped</x:v>
      </x:c>
      <x:c r="M129" s="58" t="str">
        <x:v>Ready</x:v>
      </x:c>
      <x:c r="N129" s="58" t="str">
        <x:v>Not Run</x:v>
      </x:c>
      <x:c r="O129" s="58" t="str">
        <x:v>Failed</x:v>
      </x:c>
      <x:c r="P129" s="58" t="str">
        <x:v>Android: /Users/mason/.codex/visualizations/2026/09/01/01a05def-1c0d-76d1-abc6-07c63a443582/emulator-runs/initial/android/HLT-043-delete-confirmation.png
/Users/mason/.codex/visualizations/2026/09/01/01a05def-1c0d-76d1-abc6-07c63a443582/emulator-runs/initial/android/HLT-043-offline-delete-confirmation.png — Cancel preserved QA Early Cycle and 441 burned. Offline Confirm removed that exact manual workout, reduced burn to 120 and target/remaining to 2170/976, then persisted after reconnect. On the remaining workout’s confirmation, one Android Back navigated to /settings/exercise instead of closing the alert on Today; returning proved the workout was not deleted.</x:v>
      </x:c>
      <x:c r="Q129" s="58" t="str">
        <x:v>DEF-018</x:v>
      </x:c>
      <x:c r="R129" s="58" t="str">
        <x:v>In Progress</x:v>
      </x:c>
      <x:c r="S129" s="58" t="str"/>
      <x:c r="T129" s="58" t="str">
        <x:v>Not Run</x:v>
      </x:c>
      <x:c r="U129" s="58" t="str">
        <x:v>Not Run</x:v>
      </x:c>
      <x:c r="V129" s="58" t="str"/>
      <x:c r="W129" s="58" t="str">
        <x:f>IF(AND(OR(N129="Passed",N129="Failed",N129="Not Applicable"),OR(O129="Passed",O129="Failed",O129="Not Applicable"),OR(N129="Passed",N129="Failed",O129="Passed",O129="Failed"),OR(T129="Passed",T129="Not Applicable"),OR(U129="Passed",U129="Not Applicable"),OR(T129="Passed",U129="Passed"),Y129="Reconciled",Z129="Reconciled",IF(Q129&lt;&gt;"",R129="Fixed",TRUE)),"Verified",IF(OR(T129="Failed",U129="Failed"),"Retest Failed",IF(OR(N129="Failed",O129="Failed",Q129&lt;&gt;""),"Defect Found",IF(AND(OR(N129="Passed",N129="Not Applicable"),OR(O129="Passed",O129="Not Applicable"),OR(N129="Passed",O129="Passed")),"Initial Pass","Not Complete"))))</x:f>
        <x:v>Defect Found</x:v>
      </x:c>
      <x:c r="X129" s="58" t="str">
        <x:v>Low; add focused regression coverage for manual deletion/totals.</x:v>
      </x:c>
      <x:c r="Y129" s="58" t="str">
        <x:f>IF(OR(N129="Not Run",O129="Not Run"),"Pending",IF(AND(OR(N129="Not Applicable",COUNTIFS('Test Runs'!$B$5:$B$2004,A129,'Test Runs'!$C$5:$C$2004,"Initial",'Test Runs'!$D$5:$D$2004,"iOS",'Test Runs'!$I$5:$I$2004,N129)&gt;0),OR(O129="Not Applicable",COUNTIFS('Test Runs'!$B$5:$B$2004,A129,'Test Runs'!$C$5:$C$2004,"Initial",'Test Runs'!$D$5:$D$2004,"Android",'Test Runs'!$I$5:$I$2004,O129)&gt;0)),"Reconciled","Mismatch"))</x:f>
        <x:v>Pending</x:v>
      </x:c>
      <x:c r="Z129" s="58" t="str">
        <x:f>IF(OR(T129="Not Run",U129="Not Run"),"Pending",IF(AND(OR(T129="Not Applicable",COUNTIFS('Test Runs'!$B$5:$B$2004,A129,'Test Runs'!$C$5:$C$2004,"Retest",'Test Runs'!$D$5:$D$2004,"iOS",'Test Runs'!$I$5:$I$2004,T129)&gt;0),OR(U129="Not Applicable",COUNTIFS('Test Runs'!$B$5:$B$2004,A129,'Test Runs'!$C$5:$C$2004,"Retest",'Test Runs'!$D$5:$D$2004,"Android",'Test Runs'!$I$5:$I$2004,U129)&gt;0)),"Reconciled","Mismatch"))</x:f>
        <x:v>Pending</x:v>
      </x:c>
    </x:row>
    <x:row r="130" ht="120" customHeight="1">
      <x:c r="A130" s="58" t="str">
        <x:v>HLT-044</x:v>
      </x:c>
      <x:c r="B130" s="58" t="str">
        <x:v>Edit/delete imported workout</x:v>
      </x:c>
      <x:c r="C130" s="58" t="str">
        <x:v>Imported workout actions</x:v>
      </x:c>
      <x:c r="D130" s="58" t="str">
        <x:v>As a user, I want my changes to an imported health workout to persist.</x:v>
      </x:c>
      <x:c r="E130" s="58" t="str">
        <x:v>Before edit/delete, an ignore record keyed by source_type+external_id is first-created; edit converts source_type to manual while leaving external metadata columns populated; later imports skip ignored external ID; delete removes the workout and prevents reimport; same external ID on the other health source is not ignored.</x:v>
      </x:c>
      <x:c r="F130" s="58" t="str">
        <x:v>iOS, Android</x:v>
      </x:c>
      <x:c r="G130" s="58" t="str">
        <x:v>Imported HC and Apple workouts sharing external ID.</x:v>
      </x:c>
      <x:c r="H130" s="58" t="str">
        <x:v>Edit one imported workout, sync health twice, verify edit remains; delete another and verify it stays gone; verify other platform same ID remains.</x:v>
      </x:c>
      <x:c r="I130" s="58" t="str">
        <x:v>Repeat with opposite source.</x:v>
      </x:c>
      <x:c r="J130" s="58" t="str">
        <x:v>Covered: WorkoutEntryTest.php imported edit persistence; AppleHealthImportTest.php and HealthConnectImportTest.php ignore/delete/source-scoping tests.</x:v>
      </x:c>
      <x:c r="K130" s="58" t="str">
        <x:v>/Users/mason/Sites/Buff/app/Http/Controllers/WorkoutController.php:43-79; /Users/mason/Sites/Buff/app/Models/HealthConnectIgnoredWorkout.php; /Users/mason/Sites/Buff/app/Services/HealthConnectWorkoutImporter.php:20-35</x:v>
      </x:c>
      <x:c r="L130" s="58" t="str">
        <x:v>Mapped</x:v>
      </x:c>
      <x:c r="M130" s="58" t="str">
        <x:v>Ready</x:v>
      </x:c>
      <x:c r="N130" s="58" t="str">
        <x:v>Not Run</x:v>
      </x:c>
      <x:c r="O130" s="58" t="str">
        <x:v>Passed</x:v>
      </x:c>
      <x:c r="P130" s="58" t="str">
        <x:v>Android: /Users/mason/.codex/visualizations/2026/09/01/01a05def-1c0d-76d1-abc6-07c63a443582/emulator-runs/initial/android-guest/HLT-042-workout-edited-499.png — The current disposable profile showed Connect and contained only a manually created workout. No imported Health Connect workout was available, so edit/delete persistence, reimport suppression, and source-scoped external-ID behavior could not be exercised on device.
Android: /Users/mason/.codex/visualizations/2026/09/01/01a05def-1c0d-76d1-abc6-07c63a443582/emulator-runs/initial/android/health-connect-real-fixture-observations.json
/Users/mason/.codex/visualizations/2026/09/01/01a05def-1c0d-76d1-abc6-07c63a443582/emulator-runs/initial/android/HLT-044-imported-edit-sheet.png
/Users/mason/.codex/visualizations/2026/09/01/01a05def-1c0d-76d1-abc6-07c63a443582/emulator-runs/initial/android/HLT-044-imported-edit-saved.png
/Users/mason/.codex/visualizations/2026/09/01/01a05def-1c0d-76d1-abc6-07c63a443582/emulator-runs/initial/android/HLT-044-imported-delete-confirm.png
/Users/mason/.codex/visualizations/2026/09/01/01a05def-1c0d-76d1-abc6-07c63a443582/emulator-runs/initial/android/HLT-044-imported-delete-saved.png
/Users/mason/.codex/visualizations/2026/09/01/01a05def-1c0d-76d1-abc6-07c63a443582/emulator-runs/initial/android/HLT-044-imported-delete-saved-2.png — Editing the genuine imported row changed it to QA toolbox cycle edited, 276 kcal at 12:53, converted source_type to manual, retained its Health Connect source package, and two subsequent health syncs left exactly one edited row with no original reimport. Delete Cancel retained the imported row; Confirm removed it, and two more syncs left zero matching rows.</x:v>
      </x:c>
      <x:c r="Q130" s="58" t="str"/>
      <x:c r="R130" s="58" t="str">
        <x:v>Not Needed</x:v>
      </x:c>
      <x:c r="S130" s="58" t="str"/>
      <x:c r="T130" s="58" t="str">
        <x:v>Not Run</x:v>
      </x:c>
      <x:c r="U130" s="58" t="str">
        <x:v>Not Run</x:v>
      </x:c>
      <x:c r="V130" s="58" t="str"/>
      <x:c r="W130" s="58" t="str">
        <x:f>IF(AND(OR(N130="Passed",N130="Failed",N130="Not Applicable"),OR(O130="Passed",O130="Failed",O130="Not Applicable"),OR(N130="Passed",N130="Failed",O130="Passed",O130="Failed"),OR(T130="Passed",T130="Not Applicable"),OR(U130="Passed",U130="Not Applicable"),OR(T130="Passed",U130="Passed"),Y130="Reconciled",Z130="Reconciled",IF(Q130&lt;&gt;"",R130="Fixed",TRUE)),"Verified",IF(OR(T130="Failed",U130="Failed"),"Retest Failed",IF(OR(N130="Failed",O130="Failed",Q130&lt;&gt;""),"Defect Found",IF(AND(OR(N130="Passed",N130="Not Applicable"),OR(O130="Passed",O130="Not Applicable"),OR(N130="Passed",O130="Passed")),"Initial Pass","Not Complete"))))</x:f>
        <x:v>Not Complete</x:v>
      </x:c>
      <x:c r="X130" s="58" t="str">
        <x:v>Data-cleanliness risk: edited row becomes manual but retains external_id/source/package/timing metadata, which can mislead downstream consumers.</x:v>
      </x:c>
      <x:c r="Y130" s="58" t="str">
        <x:f>IF(OR(N130="Not Run",O130="Not Run"),"Pending",IF(AND(OR(N130="Not Applicable",COUNTIFS('Test Runs'!$B$5:$B$2004,A130,'Test Runs'!$C$5:$C$2004,"Initial",'Test Runs'!$D$5:$D$2004,"iOS",'Test Runs'!$I$5:$I$2004,N130)&gt;0),OR(O130="Not Applicable",COUNTIFS('Test Runs'!$B$5:$B$2004,A130,'Test Runs'!$C$5:$C$2004,"Initial",'Test Runs'!$D$5:$D$2004,"Android",'Test Runs'!$I$5:$I$2004,O130)&gt;0)),"Reconciled","Mismatch"))</x:f>
        <x:v>Pending</x:v>
      </x:c>
      <x:c r="Z130" s="58" t="str">
        <x:f>IF(OR(T130="Not Run",U130="Not Run"),"Pending",IF(AND(OR(T130="Not Applicable",COUNTIFS('Test Runs'!$B$5:$B$2004,A130,'Test Runs'!$C$5:$C$2004,"Retest",'Test Runs'!$D$5:$D$2004,"iOS",'Test Runs'!$I$5:$I$2004,T130)&gt;0),OR(U130="Not Applicable",COUNTIFS('Test Runs'!$B$5:$B$2004,A130,'Test Runs'!$C$5:$C$2004,"Retest",'Test Runs'!$D$5:$D$2004,"Android",'Test Runs'!$I$5:$I$2004,U130)&gt;0)),"Reconciled","Mismatch"))</x:f>
        <x:v>Pending</x:v>
      </x:c>
    </x:row>
    <x:row r="131" ht="120" customHeight="1">
      <x:c r="A131" s="58" t="str">
        <x:v>HLT-045</x:v>
      </x:c>
      <x:c r="B131" s="58" t="str">
        <x:v>Exercise calorie eat-back</x:v>
      </x:c>
      <x:c r="C131" s="58" t="str">
        <x:v>Settings -&gt; Exercise; Today summary</x:v>
      </x:c>
      <x:c r="D131" s="58" t="str">
        <x:v>As a user, I want to choose all, half, or none of workout calories added to food targets.</x:v>
      </x:c>
      <x:c r="E131" s="58" t="str">
        <x:v>Default is all; all adds full nonnegative burn, half adds rounded half, none adds zero; effective calorie goal and every macro scale proportionally, while burned total always shows all exercise; Settings autosaves latest rapid choice and exposes saving/saved/error.</x:v>
      </x:c>
      <x:c r="F131" s="58" t="str">
        <x:v>iOS, Android</x:v>
      </x:c>
      <x:c r="G131" s="58" t="str">
        <x:v>2000-kcal goal with known macros; workouts totaling odd/even calories; rapid selection/offline.</x:v>
      </x:c>
      <x:c r="H131" s="58" t="str">
        <x:v>Select all/half/none and verify Today calorie/macro remaining while burned stays fixed; rapidly tap options and simulate save failure.</x:v>
      </x:c>
      <x:c r="I131" s="58" t="str">
        <x:v>Repeat.</x:v>
      </x:c>
      <x:c r="J131" s="58" t="str">
        <x:v>Covered: DashboardTest.php all/half/none; NutritionCalculatorTest.php; SettingsTest.php; queuedSave.test.ts.</x:v>
      </x:c>
      <x:c r="K131" s="58" t="str">
        <x:v>/Users/mason/Sites/Buff/resources/js/Pages/Settings/Exercise.vue:19-77; /Users/mason/Sites/Buff/app/Services/NutritionCalculator.php:41-65; /Users/mason/Sites/Buff/app/Services/DailySummaryService.php:35-53; /Users/mason/Sites/Buff/resources/js/useQueuedSave.ts</x:v>
      </x:c>
      <x:c r="L131" s="58" t="str">
        <x:v>Mapped</x:v>
      </x:c>
      <x:c r="M131" s="58" t="str">
        <x:v>Ready</x:v>
      </x:c>
      <x:c r="N131" s="58" t="str">
        <x:v>Not Run</x:v>
      </x:c>
      <x:c r="O131" s="58" t="str">
        <x:v>Passed</x:v>
      </x:c>
      <x:c r="P131" s="58" t="str">
        <x:v>Android: /Users/mason/.codex/visualizations/2026/09/01/01a05def-1c0d-76d1-abc6-07c63a443582/emulator-runs/initial/android/HLT-045-all-eat-back-restored.png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 — All/Half/None each reached Saving then Saved, persisted across reload, kept burned at 301, and produced exact calorie/macro targets. A rapid All→Half→None→All sequence settled on All and reload showed its final values.</x:v>
      </x:c>
      <x:c r="Q131" s="58" t="str">
        <x:v>DEF-026</x:v>
      </x:c>
      <x:c r="R131" s="58" t="str">
        <x:v>In Progress</x:v>
      </x:c>
      <x:c r="S131" s="58" t="str"/>
      <x:c r="T131" s="58" t="str">
        <x:v>Not Run</x:v>
      </x:c>
      <x:c r="U131" s="58" t="str">
        <x:v>Not Run</x:v>
      </x:c>
      <x:c r="V131" s="58" t="str"/>
      <x:c r="W131" s="58" t="str">
        <x:f>IF(AND(OR(N131="Passed",N131="Failed",N131="Not Applicable"),OR(O131="Passed",O131="Failed",O131="Not Applicable"),OR(N131="Passed",N131="Failed",O131="Passed",O131="Failed"),OR(T131="Passed",T131="Not Applicable"),OR(U131="Passed",U131="Not Applicable"),OR(T131="Passed",U131="Passed"),Y131="Reconciled",Z131="Reconciled",IF(Q131&lt;&gt;"",R131="Fixed",TRUE)),"Verified",IF(OR(T131="Failed",U131="Failed"),"Retest Failed",IF(OR(N131="Failed",O131="Failed",Q131&lt;&gt;""),"Defect Found",IF(AND(OR(N131="Passed",N131="Not Applicable"),OR(O131="Passed",O131="Not Applicable"),OR(N131="Passed",O131="Passed")),"Initial Pass","Not Complete"))))</x:f>
        <x:v>Defect Found</x:v>
      </x:c>
      <x:c r="X131" s="58" t="str">
        <x:v>Risk: failed autosave leaves the selected visual choice even though persisted preference may be older until reload. Shared emulator scenario: reuse the same run evidence as ACC-037.</x:v>
      </x:c>
      <x:c r="Y131" s="58" t="str">
        <x:f>IF(OR(N131="Not Run",O131="Not Run"),"Pending",IF(AND(OR(N131="Not Applicable",COUNTIFS('Test Runs'!$B$5:$B$2004,A131,'Test Runs'!$C$5:$C$2004,"Initial",'Test Runs'!$D$5:$D$2004,"iOS",'Test Runs'!$I$5:$I$2004,N131)&gt;0),OR(O131="Not Applicable",COUNTIFS('Test Runs'!$B$5:$B$2004,A131,'Test Runs'!$C$5:$C$2004,"Initial",'Test Runs'!$D$5:$D$2004,"Android",'Test Runs'!$I$5:$I$2004,O131)&gt;0)),"Reconciled","Mismatch"))</x:f>
        <x:v>Pending</x:v>
      </x:c>
      <x:c r="Z131" s="58" t="str">
        <x:f>IF(OR(T131="Not Run",U131="Not Run"),"Pending",IF(AND(OR(T131="Not Applicable",COUNTIFS('Test Runs'!$B$5:$B$2004,A131,'Test Runs'!$C$5:$C$2004,"Retest",'Test Runs'!$D$5:$D$2004,"iOS",'Test Runs'!$I$5:$I$2004,T131)&gt;0),OR(U131="Not Applicable",COUNTIFS('Test Runs'!$B$5:$B$2004,A131,'Test Runs'!$C$5:$C$2004,"Retest",'Test Runs'!$D$5:$D$2004,"Android",'Test Runs'!$I$5:$I$2004,U131)&gt;0)),"Reconciled","Mismatch"))</x:f>
        <x:v>Pending</x:v>
      </x:c>
    </x:row>
    <x:row r="132" ht="928.7999877929688" hidden="0" customHeight="1">
      <x:c r="A132" s="58" t="str">
        <x:v>HLT-046</x:v>
      </x:c>
      <x:c r="B132" s="58" t="str">
        <x:v>Workout validation and dates</x:v>
      </x:c>
      <x:c r="C132" s="58" t="str">
        <x:v>Add/Edit workout form</x:v>
      </x:c>
      <x:c r="D132" s="58" t="str">
        <x:v>As a user, I want invalid manual workouts rejected.</x:v>
      </x:c>
      <x:c r="E132" s="58" t="str">
        <x:v>Workout date accepts any parseable date without past/future restriction; title is required &lt;=120, calories integer 1-10000, and time strict HH:mm. Add/Edit display field errors and clear title/calorie/time errors when those inputs change. Server sync still permits title &lt;=255 and calories 0-100000 for imported/cross-device records.</x:v>
      </x:c>
      <x:c r="F132" s="58" t="str">
        <x:v>iOS, Android</x:v>
      </x:c>
      <x:c r="G132" s="58" t="str">
        <x:v>Blank/121-char title, 0/10001/decimal burn, invalid time, future date; imported zero-calorie record.</x:v>
      </x:c>
      <x:c r="H132" s="58" t="str">
        <x:v>Exercise every validation boundary and future date; verify errors/no row.</x:v>
      </x:c>
      <x:c r="I132" s="58" t="str">
        <x:v>Repeat.</x:v>
      </x:c>
      <x:c r="J132" s="58" t="str">
        <x:v>WorkoutEntryTest.php now has 36 passing tests /311 assertions, including32 added create/edit validation cases: required fields, title type/max, calorie integer/range, strict time, valid/impossible dates, future ISO/non-ISO dates, accepted minimum/maximum boundaries, and no record/outbox writes on invalid requests. Health importer coverage still skips nonpositive calories. Wider cloud sync-contract boundaries and native field feedback are not covered by these endpoint tests. Source-check evidence: /Users/mason/.codex/visualizations/2026/09/01/01a05def-1c0d-76d1-abc6-07c63a443582/inventory/workout-validation-source-checks.json. Shared time-input appearance utility compilation and native caller checks also pass in iosUxRegressions.test.ts; they do not verify rendered geometry.</x:v>
      </x:c>
      <x:c r="K132" s="58" t="str">
        <x:v>/Users/mason/Sites/Buff/app/Http/Controllers/WorkoutController.php:16-21 and :36-41; /Users/mason/Sites/buff-server/config/buff.php:98 workout_entries sync rules</x:v>
      </x:c>
      <x:c r="L132" s="58" t="str">
        <x:v>Mapped</x:v>
      </x:c>
      <x:c r="M132" s="58" t="str">
        <x:v>Ready</x:v>
      </x:c>
      <x:c r="N132" s="58" t="str">
        <x:v>Not Run</x:v>
      </x:c>
      <x:c r="O132" s="58" t="str">
        <x:v>Blocked</x:v>
      </x:c>
      <x:c r="P132" s="58" t="str">
        <x:v>Android: /Users/mason/.codex/visualizations/2026/09/01/01a05def-1c0d-76d1-abc6-07c63a443582/emulator-runs/initial/android/HLT-046-workout-validation.png
/Users/mason/.codex/visualizations/2026/09/01/01a05def-1c0d-76d1-abc6-07c63a443582/emulator-runs/initial/android/HLT-042-edit-validation.png — Create and Edit both retained the form and visibly rejected blank title and 10001 calories; a valid future-date workout saved. No invalid row was created.
Android: /Users/mason/.codex/visualizations/2026/09/01/01a05def-1c0d-76d1-abc6-07c63a443582/emulator-runs/initial/android/HLT-046-workout-validation.png — Fresh UI and server submissions rejected blank and 121-character titles, 0, 10001, and decimal calories, and malformed time. The UI retained submitted values and displayed the validation errors without creating or updating a workout.</x:v>
      </x:c>
      <x:c r="Q132" s="58" t="str">
        <x:v>DEF-053
DEF-092</x:v>
      </x:c>
      <x:c r="R132" s="58" t="str">
        <x:v>In Progress</x:v>
      </x:c>
      <x:c r="S132" s="58" t="str"/>
      <x:c r="T132" s="58" t="str">
        <x:v>Blocked</x:v>
      </x:c>
      <x:c r="U132" s="58" t="str">
        <x:v>Blocked</x:v>
      </x:c>
      <x:c r="V132" s="58" t="str">
        <x:v>Android: /Users/mason/.codex/visualizations/2026/09/01/01a05def-1c0d-76d1-abc6-07c63a443582/inventory/retest-android-workout-validation-batch.json — Add/Edit title, calorie and time error recovery, numeric/title limits, future save and cold persistence passed; wider sync limits remain unverified.
iOS: /Users/mason/.codex/visualizations/2026/09/01/01a05def-1c0d-76d1-abc6-07c63a443582/emulator-runs/retest/ios/batch-011-draft.json — Title/calorie recovery, native limits, future save and cold persistence passed; real time-error and wider sync-limit branches remain unverified. Full per-case raw paths and observations are retained in these manifests.
Android: /Users/mason/.codex/visualizations/2026/09/01/01a05def-1c0d-76d1-abc6-07c63a443582/emulator-runs/retest/android/DEF-092-b16-add-native-picker.png
/Users/mason/.codex/visualizations/2026/09/01/01a05def-1c0d-76d1-abc6-07c63a443582/emulator-runs/retest/android/DEF-092-b16-add-empty-time.json
/Users/mason/.codex/visualizations/2026/09/01/01a05def-1c0d-76d1-abc6-07c63a443582/emulator-runs/retest/android/DEF-092-b16-add-required-errors-settled.json
/Users/mason/.codex/visualizations/2026/09/01/01a05def-1c0d-76d1-abc6-07c63a443582/emulator-runs/retest/android/DEF-092-b16-add-required-errors.png
/Users/mason/.codex/visualizations/2026/09/01/01a05def-1c0d-76d1-abc6-07c63a443582/emulator-runs/retest/android/DEF-092-b16-after-cancel.json — 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
iOS: /Users/mason/.codex/visualizations/2026/09/01/01a05def-1c0d-76d1-abc6-07c63a443582/emulator-runs/retest/ios/DEF-092-b16-postfix-observations.json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 — 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W132" s="58" t="str">
        <x:f>IF(AND(OR(N132="Passed",N132="Failed",N132="Not Applicable"),OR(O132="Passed",O132="Failed",O132="Not Applicable"),OR(N132="Passed",N132="Failed",O132="Passed",O132="Failed"),OR(T132="Passed",T132="Not Applicable"),OR(U132="Passed",U132="Not Applicable"),OR(T132="Passed",U132="Passed"),Y132="Reconciled",Z132="Reconciled",IF(Q132&lt;&gt;"",R132="Fixed",TRUE)),"Verified",IF(OR(T132="Failed",U132="Failed"),"Retest Failed",IF(OR(N132="Failed",O132="Failed",Q132&lt;&gt;""),"Defect Found",IF(AND(OR(N132="Passed",N132="Not Applicable"),OR(O132="Passed",O132="Not Applicable"),OR(N132="Passed",O132="Passed")),"Initial Pass","Not Complete"))))</x:f>
        <x:v>Defect Found</x:v>
      </x:c>
      <x:c r="X132" s="58" t="str">
        <x:v>Contract mismatch: a workout valid from another sync client (longer title or &gt;10k calories) cannot be edited locally without reducing it.
Build15 native validation retests: Android Add/Edit field recovery for title/calories/time, native bounds, future save and cold persistence passed; iOS title/calories, native bounds, midnight/23:59, future save and cold persistence passed. iOS real time-error feedback remains unverified. Both platform story results stay Blocked for wider imported/synced-title and calorie records, not because the executed local cases failed. After cold launch Android received the exact iOS Sep6 workout UUID01a06c70-9b59-708a-b465-ff3c7ff2746e at1kcal/00:00 with pending0; this normal-sized sync receipt does not close the wider-contract gap. Evidence: /Users/mason/.codex/visualizations/2026/09/01/01a05def-1c0d-76d1-abc6-07c63a443582/emulator-runs/retest/android/HLT-046-ios-future-received-after-cold-launch.json. Separate fresh Add/Edit visual checks failed with DEF-092 oversized/clipped time controls; its shared Input source fix has not been deployed to the emulators.</x:v>
      </x:c>
      <x:c r="Y132" s="58" t="str">
        <x:f>IF(OR(N132="Not Run",O132="Not Run"),"Pending",IF(AND(OR(N132="Not Applicable",COUNTIFS('Test Runs'!$B$5:$B$2004,A132,'Test Runs'!$C$5:$C$2004,"Initial",'Test Runs'!$D$5:$D$2004,"iOS",'Test Runs'!$I$5:$I$2004,N132)&gt;0),OR(O132="Not Applicable",COUNTIFS('Test Runs'!$B$5:$B$2004,A132,'Test Runs'!$C$5:$C$2004,"Initial",'Test Runs'!$D$5:$D$2004,"Android",'Test Runs'!$I$5:$I$2004,O132)&gt;0)),"Reconciled","Mismatch"))</x:f>
        <x:v>Pending</x:v>
      </x:c>
      <x:c r="Z132" s="58" t="str">
        <x:f>IF(OR(T132="Not Run",U132="Not Run"),"Pending",IF(AND(OR(T132="Not Applicable",COUNTIFS('Test Runs'!$B$5:$B$2004,A132,'Test Runs'!$C$5:$C$2004,"Retest",'Test Runs'!$D$5:$D$2004,"iOS",'Test Runs'!$I$5:$I$2004,T132)&gt;0),OR(U132="Not Applicable",COUNTIFS('Test Runs'!$B$5:$B$2004,A132,'Test Runs'!$C$5:$C$2004,"Retest",'Test Runs'!$D$5:$D$2004,"Android",'Test Runs'!$I$5:$I$2004,U132)&gt;0)),"Reconciled","Mismatch"))</x:f>
        <x:v>Reconciled</x:v>
      </x:c>
    </x:row>
    <x:row r="133" ht="120" customHeight="1">
      <x:c r="A133" s="58" t="str">
        <x:v>HLT-047</x:v>
      </x:c>
      <x:c r="B133" s="58" t="str">
        <x:v>Workout sync conflicts</x:v>
      </x:c>
      <x:c r="C133" s="58" t="str">
        <x:v>Account sync after workout/import/ignore changes</x:v>
      </x:c>
      <x:c r="D133" s="58" t="str">
        <x:v>As a multi-device user, I want workout and ignore changes synchronized.</x:v>
      </x:c>
      <x:c r="E133" s="58" t="str">
        <x:v>WorkoutEntry and ignored-workout rows sync independently using last-write-wins per record ID; server accepts manual/health_connect/apple_health sources and external metadata; deletions propagate; there is no server uniqueness by source+external ID, while importer updateOrCreate assumes local uniqueness semantically.</x:v>
      </x:c>
      <x:c r="F133" s="58" t="str">
        <x:v>iOS, Android, server</x:v>
      </x:c>
      <x:c r="G133" s="58" t="str">
        <x:v>Two devices plus same external health workout.</x:v>
      </x:c>
      <x:c r="H133" s="58" t="str">
        <x:v>Import on one device, sync to other, edit/delete offline on both, sync and verify deterministic final record/ignore behavior.</x:v>
      </x:c>
      <x:c r="I133" s="58" t="str">
        <x:v>Repeat reciprocal sequence.</x:v>
      </x:c>
      <x:c r="J133" s="58" t="str">
        <x:v>Partial: server SyncTest.php accepts Apple source/general conflicts; client import/ignore tests; no two-device health duplicate test.</x:v>
      </x:c>
      <x:c r="K133" s="58" t="str">
        <x:v>/Users/mason/Sites/Buff/config/buff.php:48-55; /Users/mason/Sites/buff-server/config/buff.php:98-130; /Users/mason/Sites/buff-server/app/Services/SyncService.php:20-139; /Users/mason/Sites/Buff/database/migrations/2026_05_20_000001_add_health_connect_fields_to_workout_entries_table.php:11-20</x:v>
      </x:c>
      <x:c r="L133" s="58" t="str">
        <x:v>Mapped</x:v>
      </x:c>
      <x:c r="M133" s="58" t="str">
        <x:v>Ready</x:v>
      </x:c>
      <x:c r="N133" s="58" t="str">
        <x:v>Not Run</x:v>
      </x:c>
      <x:c r="O133" s="58" t="str">
        <x:v>Blocked</x:v>
      </x:c>
      <x:c r="P133" s="58" t="str">
        <x:v>Android: /Users/mason/.codex/visualizations/2026/09/01/01a05def-1c0d-76d1-abc6-07c63a443582/emulator-runs/initial/android/HLT-049-today-health-connect-only.png
/Users/mason/.codex/visualizations/2026/09/01/01a05def-1c0d-76d1-abc6-07c63a443582/emulator-runs/initial/android/ACC-054-063-076-HLT-013-047-NUT-109-111-blocker-observations.json — Today displayed two imported Health Connect workouts, 50 and 60 kcal, on the single Android account after sync/import work.</x:v>
      </x:c>
      <x:c r="Q133" s="58" t="str"/>
      <x:c r="R133" s="58" t="str">
        <x:v>Not Needed</x:v>
      </x:c>
      <x:c r="S133" s="58" t="str"/>
      <x:c r="T133" s="58" t="str">
        <x:v>Not Run</x:v>
      </x:c>
      <x:c r="U133" s="58" t="str">
        <x:v>Not Run</x:v>
      </x:c>
      <x:c r="V133" s="58" t="str"/>
      <x:c r="W133" s="58" t="str">
        <x:f>IF(AND(OR(N133="Passed",N133="Failed",N133="Not Applicable"),OR(O133="Passed",O133="Failed",O133="Not Applicable"),OR(N133="Passed",N133="Failed",O133="Passed",O133="Failed"),OR(T133="Passed",T133="Not Applicable"),OR(U133="Passed",U133="Not Applicable"),OR(T133="Passed",U133="Passed"),Y133="Reconciled",Z133="Reconciled",IF(Q133&lt;&gt;"",R133="Fixed",TRUE)),"Verified",IF(OR(T133="Failed",U133="Failed"),"Retest Failed",IF(OR(N133="Failed",O133="Failed",Q133&lt;&gt;""),"Defect Found",IF(AND(OR(N133="Passed",N133="Not Applicable"),OR(O133="Passed",O133="Not Applicable"),OR(N133="Passed",O133="Passed")),"Initial Pass","Not Complete"))))</x:f>
        <x:v>Not Complete</x:v>
      </x:c>
      <x:c r="X133" s="58" t="str">
        <x:v>Risk: source+external_id is indexed but not unique locally/server-side, so cross-device duplicate record IDs could produce duplicate visible workouts.</x:v>
      </x:c>
      <x:c r="Y133" s="58" t="str">
        <x:f>IF(OR(N133="Not Run",O133="Not Run"),"Pending",IF(AND(OR(N133="Not Applicable",COUNTIFS('Test Runs'!$B$5:$B$2004,A133,'Test Runs'!$C$5:$C$2004,"Initial",'Test Runs'!$D$5:$D$2004,"iOS",'Test Runs'!$I$5:$I$2004,N133)&gt;0),OR(O133="Not Applicable",COUNTIFS('Test Runs'!$B$5:$B$2004,A133,'Test Runs'!$C$5:$C$2004,"Initial",'Test Runs'!$D$5:$D$2004,"Android",'Test Runs'!$I$5:$I$2004,O133)&gt;0)),"Reconciled","Mismatch"))</x:f>
        <x:v>Pending</x:v>
      </x:c>
      <x:c r="Z133" s="58" t="str">
        <x:f>IF(OR(T133="Not Run",U133="Not Run"),"Pending",IF(AND(OR(T133="Not Applicable",COUNTIFS('Test Runs'!$B$5:$B$2004,A133,'Test Runs'!$C$5:$C$2004,"Retest",'Test Runs'!$D$5:$D$2004,"iOS",'Test Runs'!$I$5:$I$2004,T133)&gt;0),OR(U133="Not Applicable",COUNTIFS('Test Runs'!$B$5:$B$2004,A133,'Test Runs'!$C$5:$C$2004,"Retest",'Test Runs'!$D$5:$D$2004,"Android",'Test Runs'!$I$5:$I$2004,U133)&gt;0)),"Reconciled","Mismatch"))</x:f>
        <x:v>Pending</x:v>
      </x:c>
    </x:row>
    <x:row r="134" ht="120" customHeight="1">
      <x:c r="A134" s="58" t="str">
        <x:v>HLT-048</x:v>
      </x:c>
      <x:c r="B134" s="58" t="str">
        <x:v>Native workout shortcut and refresh</x:v>
      </x:c>
      <x:c r="C134" s="58" t="str">
        <x:v>OS app icon shortcut; pull gesture</x:v>
      </x:c>
      <x:c r="D134" s="58" t="str">
        <x:v>As a user, I want OS shortcuts to open workout logging and pull-to-refresh current data.</x:v>
      </x:c>
      <x:c r="E134" s="58" t="str">
        <x:v>iOS home quick action and Android launcher shortcut target buff://add?mode=workout, which resolves to today’s add form; native pull-to-refresh reloads the WebView on both platforms, refreshing Progress/Today/status.</x:v>
      </x:c>
      <x:c r="F134" s="58" t="str">
        <x:v>iOS, Android</x:v>
      </x:c>
      <x:c r="G134" s="58" t="str">
        <x:v>Installed native build; Today and Progress pages.</x:v>
      </x:c>
      <x:c r="H134" s="58" t="str">
        <x:v>Long-press app icon -&gt; Add workout; verify mode/date; pull Progress/Today and verify full reload.</x:v>
      </x:c>
      <x:c r="I134" s="58" t="str">
        <x:v>Repeat with Android launcher shortcut/pull gesture.</x:v>
      </x:c>
      <x:c r="J134" s="58" t="str">
        <x:v>Covered: NativeShortcutHookTest.php; DashboardTest.php legacy shortcuts; no real launcher gesture automation.</x:v>
      </x:c>
      <x:c r="K134" s="58" t="str">
        <x:v>/Users/mason/Sites/Buff/native-plugins/native-refresh/src/Commands/InstallNativeShellIntegrationsCommand.php:70-109 iOS refresh, :195-218 iOS shortcuts, :273-324 Android refresh, :410-448 Android shortcuts</x:v>
      </x:c>
      <x:c r="L134" s="58" t="str">
        <x:v>Mapped</x:v>
      </x:c>
      <x:c r="M134" s="58" t="str">
        <x:v>Ready</x:v>
      </x:c>
      <x:c r="N134" s="58" t="str">
        <x:v>Not Run</x:v>
      </x:c>
      <x:c r="O134" s="58" t="str">
        <x:v>Passed</x:v>
      </x:c>
      <x:c r="P134" s="58" t="str">
        <x:v>Android: /Users/mason/.codex/visualizations/2026/09/01/01a05def-1c0d-76d1-abc6-07c63a443582/emulator-runs/initial/android/HLT-048-launcher-shortcuts.png
/Users/mason/.codex/visualizations/2026/09/01/01a05def-1c0d-76d1-abc6-07c63a443582/emulator-runs/initial/android/HLT-048-launcher-workout-destination.png — Long-pressing the launcher icon exposed Add to Buff, Scan barcode, and Add workout. Tapping Add workout opened /add?mode=workout on 1 September 2026. Pull-to-refresh on Today and Progress changed performance.timeOrigin while preserving each exact URL and ending at scrollY 0.</x:v>
      </x:c>
      <x:c r="Q134" s="58" t="str"/>
      <x:c r="R134" s="58" t="str">
        <x:v>Not Needed</x:v>
      </x:c>
      <x:c r="S134" s="58" t="str"/>
      <x:c r="T134" s="58" t="str">
        <x:v>Not Run</x:v>
      </x:c>
      <x:c r="U134" s="58" t="str">
        <x:v>Not Run</x:v>
      </x:c>
      <x:c r="V134" s="58" t="str"/>
      <x:c r="W134" s="58" t="str">
        <x:f>IF(AND(OR(N134="Passed",N134="Failed",N134="Not Applicable"),OR(O134="Passed",O134="Failed",O134="Not Applicable"),OR(N134="Passed",N134="Failed",O134="Passed",O134="Failed"),OR(T134="Passed",T134="Not Applicable"),OR(U134="Passed",U134="Not Applicable"),OR(T134="Passed",U134="Passed"),Y134="Reconciled",Z134="Reconciled",IF(Q134&lt;&gt;"",R134="Fixed",TRUE)),"Verified",IF(OR(T134="Failed",U134="Failed"),"Retest Failed",IF(OR(N134="Failed",O134="Failed",Q134&lt;&gt;""),"Defect Found",IF(AND(OR(N134="Passed",N134="Not Applicable"),OR(O134="Passed",O134="Not Applicable"),OR(N134="Passed",O134="Passed")),"Initial Pass","Not Complete"))))</x:f>
        <x:v>Not Complete</x:v>
      </x:c>
      <x:c r="X134" s="58" t="str">
        <x:v>Low; shortcut always targets today and cannot preserve a previously selected day.</x:v>
      </x:c>
      <x:c r="Y134" s="58" t="str">
        <x:f>IF(OR(N134="Not Run",O134="Not Run"),"Pending",IF(AND(OR(N134="Not Applicable",COUNTIFS('Test Runs'!$B$5:$B$2004,A134,'Test Runs'!$C$5:$C$2004,"Initial",'Test Runs'!$D$5:$D$2004,"iOS",'Test Runs'!$I$5:$I$2004,N134)&gt;0),OR(O134="Not Applicable",COUNTIFS('Test Runs'!$B$5:$B$2004,A134,'Test Runs'!$C$5:$C$2004,"Initial",'Test Runs'!$D$5:$D$2004,"Android",'Test Runs'!$I$5:$I$2004,O134)&gt;0)),"Reconciled","Mismatch"))</x:f>
        <x:v>Pending</x:v>
      </x:c>
      <x:c r="Z134" s="58" t="str">
        <x:f>IF(OR(T134="Not Run",U134="Not Run"),"Pending",IF(AND(OR(T134="Not Applicable",COUNTIFS('Test Runs'!$B$5:$B$2004,A134,'Test Runs'!$C$5:$C$2004,"Retest",'Test Runs'!$D$5:$D$2004,"iOS",'Test Runs'!$I$5:$I$2004,T134)&gt;0),OR(U134="Not Applicable",COUNTIFS('Test Runs'!$B$5:$B$2004,A134,'Test Runs'!$C$5:$C$2004,"Retest",'Test Runs'!$D$5:$D$2004,"Android",'Test Runs'!$I$5:$I$2004,U134)&gt;0)),"Reconciled","Mismatch"))</x:f>
        <x:v>Pending</x:v>
      </x:c>
    </x:row>
    <x:row r="135" ht="120" customHeight="1">
      <x:c r="A135" s="58" t="str">
        <x:v>HLT-049</x:v>
      </x:c>
      <x:c r="B135" s="58" t="str">
        <x:v>Health integration platform routing</x:v>
      </x:c>
      <x:c r="C135" s="58" t="str">
        <x:v>Settings -&gt; Health; Today Workouts</x:v>
      </x:c>
      <x:c r="D135" s="58" t="str">
        <x:v>As a user, I want only the health provider supported by my platform.</x:v>
      </x:c>
      <x:c r="E135" s="58" t="str">
        <x:v>Settings /health renders only when native platform is iOS or Android, otherwise redirects; Today prefers Apple Health on iOS and Health Connect on Android; platform controllers expose Status/Connect/Sync (plus HC Disconnect), bridges return unsupported off-platform, and plugins declare iOS 18 / Android API 33 minimum native packaging.</x:v>
      </x:c>
      <x:c r="F135" s="58" t="str">
        <x:v>iOS, Android</x:v>
      </x:c>
      <x:c r="G135" s="58" t="str">
        <x:v>iOS 18 simulator, Android API 33+ emulator, non-native request.</x:v>
      </x:c>
      <x:c r="H135" s="58" t="str">
        <x:v>Verify only Apple Health labels/actions and no disconnect; direct HC endpoints return unsupported.</x:v>
      </x:c>
      <x:c r="I135" s="58" t="str">
        <x:v>Verify only Health Connect labels/actions; direct Apple endpoints return unsupported.</x:v>
      </x:c>
      <x:c r="J135" s="58" t="str">
        <x:v>Covered: AppleHealthBridgeTest.php, HealthConnectBridgeTest.php, SettingsTest.php Android health page.</x:v>
      </x:c>
      <x:c r="K135" s="58" t="str">
        <x:v>/Users/mason/Sites/Buff/app/Http/Controllers/SettingsController.php:84-97; /Users/mason/Sites/Buff/app/Http/Controllers/AppleHealthController.php:8-49; /Users/mason/Sites/Buff/app/Http/Controllers/HealthConnectController.php:8-59; /Users/mason/Sites/Buff/resources/js/Pages/Today.vue:190-201; /Users/mason/Sites/Buff/app/Services/AppleHealthBridge.php:38-47; /Users/mason/Sites/Buff/app/Services/HealthConnectBridge.php:38-47; /Users/mason/Sites/Buff/native-plugins/apple-health/nativephp.json:1-36; /Users/mason/Sites/Buff/native-plugins/health-connect/nativephp.json:1-47</x:v>
      </x:c>
      <x:c r="L135" s="58" t="str">
        <x:v>Mapped</x:v>
      </x:c>
      <x:c r="M135" s="58" t="str">
        <x:v>Ready</x:v>
      </x:c>
      <x:c r="N135" s="58" t="str">
        <x:v>Not Run</x:v>
      </x:c>
      <x:c r="O135" s="58" t="str">
        <x:v>Passed</x:v>
      </x:c>
      <x:c r="P135" s="58" t="str">
        <x:v>Android: /Users/mason/.codex/visualizations/2026/09/01/01a05def-1c0d-76d1-abc6-07c63a443582/emulator-runs/initial/android/HLT-049-android-health-connect-only.png
/Users/mason/.codex/visualizations/2026/09/01/01a05def-1c0d-76d1-abc6-07c63a443582/emulator-runs/initial/android/HLT-049-today-health-connect-only.png
/Users/mason/.codex/visualizations/2026/09/01/01a05def-1c0d-76d1-abc6-07c63a443582/emulator-runs/initial/android/ACC-009-070-071-075-HLT-049-observations.json — /settings/health rendered only Health Connect, Connected, last sync, Sync now, and Disconnect, with zero Apple labels. GET /apple-health/status returned HTTP 200 with is_ios=false, supported=false, available=false, status unsupported, and 'Apple Health is only available on iOS.' Today showed two Health Connect workout rows and Sync with no Apple Health UI.</x:v>
      </x:c>
      <x:c r="Q135" s="58" t="str"/>
      <x:c r="R135" s="58" t="str">
        <x:v>Not Needed</x:v>
      </x:c>
      <x:c r="S135" s="58" t="str"/>
      <x:c r="T135" s="58" t="str">
        <x:v>Not Run</x:v>
      </x:c>
      <x:c r="U135" s="58" t="str">
        <x:v>Not Run</x:v>
      </x:c>
      <x:c r="V135" s="58" t="str"/>
      <x:c r="W135" s="58" t="str">
        <x:f>IF(AND(OR(N135="Passed",N135="Failed",N135="Not Applicable"),OR(O135="Passed",O135="Failed",O135="Not Applicable"),OR(N135="Passed",N135="Failed",O135="Passed",O135="Failed"),OR(T135="Passed",T135="Not Applicable"),OR(U135="Passed",U135="Not Applicable"),OR(T135="Passed",U135="Passed"),Y135="Reconciled",Z135="Reconciled",IF(Q135&lt;&gt;"",R135="Fixed",TRUE)),"Verified",IF(OR(T135="Failed",U135="Failed"),"Retest Failed",IF(OR(N135="Failed",O135="Failed",Q135&lt;&gt;""),"Defect Found",IF(AND(OR(N135="Passed",N135="Not Applicable"),OR(O135="Passed",O135="Not Applicable"),OR(N135="Passed",O135="Passed")),"Initial Pass","Not Complete"))))</x:f>
        <x:v>Not Complete</x:v>
      </x:c>
      <x:c r="X135" s="58" t="str">
        <x:v>Risk: plugin minimum iOS 18 excludes earlier OS versions even though HealthKit exists there; product requirement should be confirmed. Shared emulator scenario: reuse the same run evidence as ACC-043.</x:v>
      </x:c>
      <x:c r="Y135" s="58" t="str">
        <x:f>IF(OR(N135="Not Run",O135="Not Run"),"Pending",IF(AND(OR(N135="Not Applicable",COUNTIFS('Test Runs'!$B$5:$B$2004,A135,'Test Runs'!$C$5:$C$2004,"Initial",'Test Runs'!$D$5:$D$2004,"iOS",'Test Runs'!$I$5:$I$2004,N135)&gt;0),OR(O135="Not Applicable",COUNTIFS('Test Runs'!$B$5:$B$2004,A135,'Test Runs'!$C$5:$C$2004,"Initial",'Test Runs'!$D$5:$D$2004,"Android",'Test Runs'!$I$5:$I$2004,O135)&gt;0)),"Reconciled","Mismatch"))</x:f>
        <x:v>Pending</x:v>
      </x:c>
      <x:c r="Z135" s="58" t="str">
        <x:f>IF(OR(T135="Not Run",U135="Not Run"),"Pending",IF(AND(OR(T135="Not Applicable",COUNTIFS('Test Runs'!$B$5:$B$2004,A135,'Test Runs'!$C$5:$C$2004,"Retest",'Test Runs'!$D$5:$D$2004,"iOS",'Test Runs'!$I$5:$I$2004,T135)&gt;0),OR(U135="Not Applicable",COUNTIFS('Test Runs'!$B$5:$B$2004,A135,'Test Runs'!$C$5:$C$2004,"Retest",'Test Runs'!$D$5:$D$2004,"Android",'Test Runs'!$I$5:$I$2004,U135)&gt;0)),"Reconciled","Mismatch"))</x:f>
        <x:v>Pending</x:v>
      </x:c>
    </x:row>
    <x:row r="136" ht="120" customHeight="1">
      <x:c r="A136" s="58" t="str">
        <x:v>HLT-050</x:v>
      </x:c>
      <x:c r="B136" s="58" t="str">
        <x:v>Health status refresh</x:v>
      </x:c>
      <x:c r="C136" s="58" t="str">
        <x:v>Today or Settings -&gt; Health integration controls</x:v>
      </x:c>
      <x:c r="D136" s="58" t="str">
        <x:v>As a user, I want health connection and imported workouts refreshed after permission/sync/resume.</x:v>
      </x:c>
      <x:c r="E136" s="58" t="str">
        <x:v>Today and Health Settings fetch native status on mount, window focus and visible resume. Both poll permission_requested and sync_queued for up to 20 one-second attempts. Today reloads summary/week when success/status/imported/deleted markers change; Settings updates its provider status after queued sync without requiring a focus change.</x:v>
      </x:c>
      <x:c r="F136" s="58" t="str">
        <x:v>iOS, Android</x:v>
      </x:c>
      <x:c r="G136" s="58" t="str">
        <x:v>Connected, permission-pending, and sync-queued provider; background/foreground transitions.</x:v>
      </x:c>
      <x:c r="H136" s="58" t="str">
        <x:v>Start connect and sync from Today and Settings, including background/return. Verify both poll and clear queued status without leaving the screen, while Today totals reload after import.</x:v>
      </x:c>
      <x:c r="I136" s="58" t="str">
        <x:v>Repeat Today/Settings permission and queued-sync polling paths.</x:v>
      </x:c>
      <x:c r="J136" s="58" t="str">
        <x:v>Partial: HealthConnectTodayRefreshTest.php static logic; real lifecycle polling untested.</x:v>
      </x:c>
      <x:c r="K136" s="58" t="str">
        <x:v>/Users/mason/Sites/Buff/resources/js/Pages/Today.vue:319-451, :601-626; /Users/mason/Sites/Buff/resources/js/Pages/Settings/Health.vue:103-208</x:v>
      </x:c>
      <x:c r="L136" s="58" t="str">
        <x:v>Mapped</x:v>
      </x:c>
      <x:c r="M136" s="58" t="str">
        <x:v>Ready</x:v>
      </x:c>
      <x:c r="N136" s="58" t="str">
        <x:v>Not Run</x:v>
      </x:c>
      <x:c r="O136" s="58" t="str">
        <x:v>Failed</x:v>
      </x:c>
      <x:c r="P136" s="58" t="str">
        <x:v>Android: /Users/mason/.codex/visualizations/2026/09/01/01a05def-1c0d-76d1-abc6-07c63a443582/emulator-runs/initial/android/HLT-050-settings-sync-queued-observations.json
/Users/mason/.codex/visualizations/2026/09/01/01a05def-1c0d-76d1-abc6-07c63a443582/emulator-runs/initial/android/HLT-050-settings-sync-queued-stale.png
/Users/mason/.codex/visualizations/2026/09/01/01a05def-1c0d-76d1-abc6-07c63a443582/emulator-runs/initial/android/HLT-050-settings-focus-refresh.png
/Users/mason/.codex/visualizations/2026/09/01/01a05def-1c0d-76d1-abc6-07c63a443582/emulator-runs/initial/android/HLT-050-today-sync-queued-polls-success.png — Sync now changed Settings to Sync queued. Six seconds later the endpoint reported connected with last_status success and synced_records 1, but Settings still showed Sync queued on both the status and button; backgrounding and resuming refreshed them to Connected and Sync now.</x:v>
      </x:c>
      <x:c r="Q136" s="58" t="str">
        <x:v>DEF-070</x:v>
      </x:c>
      <x:c r="R136" s="58" t="str">
        <x:v>In Progress</x:v>
      </x:c>
      <x:c r="S136" s="58" t="str"/>
      <x:c r="T136" s="58" t="str">
        <x:v>Not Run</x:v>
      </x:c>
      <x:c r="U136" s="58" t="str">
        <x:v>Not Run</x:v>
      </x:c>
      <x:c r="V136" s="58" t="str"/>
      <x:c r="W136" s="58" t="str">
        <x:f>IF(AND(OR(N136="Passed",N136="Failed",N136="Not Applicable"),OR(O136="Passed",O136="Failed",O136="Not Applicable"),OR(N136="Passed",N136="Failed",O136="Passed",O136="Failed"),OR(T136="Passed",T136="Not Applicable"),OR(U136="Passed",U136="Not Applicable"),OR(T136="Passed",U136="Passed"),Y136="Reconciled",Z136="Reconciled",IF(Q136&lt;&gt;"",R136="Fixed",TRUE)),"Verified",IF(OR(T136="Failed",U136="Failed"),"Retest Failed",IF(OR(N136="Failed",O136="Failed",Q136&lt;&gt;""),"Defect Found",IF(AND(OR(N136="Passed",N136="Not Applicable"),OR(O136="Passed",O136="Not Applicable"),OR(N136="Passed",O136="Passed")),"Initial Pass","Not Complete"))))</x:f>
        <x:v>Defect Found</x:v>
      </x:c>
      <x:c r="X136" s="58" t="str">
        <x:v>Confirmed UX gap: Settings does not poll sync_queued, and the shared 20-second Today polling window can also expire before a slow native import. Shared emulator scenario: reuse the same run evidence as ACC-048.</x:v>
      </x:c>
      <x:c r="Y136" s="58" t="str">
        <x:f>IF(OR(N136="Not Run",O136="Not Run"),"Pending",IF(AND(OR(N136="Not Applicable",COUNTIFS('Test Runs'!$B$5:$B$2004,A136,'Test Runs'!$C$5:$C$2004,"Initial",'Test Runs'!$D$5:$D$2004,"iOS",'Test Runs'!$I$5:$I$2004,N136)&gt;0),OR(O136="Not Applicable",COUNTIFS('Test Runs'!$B$5:$B$2004,A136,'Test Runs'!$C$5:$C$2004,"Initial",'Test Runs'!$D$5:$D$2004,"Android",'Test Runs'!$I$5:$I$2004,O136)&gt;0)),"Reconciled","Mismatch"))</x:f>
        <x:v>Pending</x:v>
      </x:c>
      <x:c r="Z136" s="58" t="str">
        <x:f>IF(OR(T136="Not Run",U136="Not Run"),"Pending",IF(AND(OR(T136="Not Applicable",COUNTIFS('Test Runs'!$B$5:$B$2004,A136,'Test Runs'!$C$5:$C$2004,"Retest",'Test Runs'!$D$5:$D$2004,"iOS",'Test Runs'!$I$5:$I$2004,T136)&gt;0),OR(U136="Not Applicable",COUNTIFS('Test Runs'!$B$5:$B$2004,A136,'Test Runs'!$C$5:$C$2004,"Retest",'Test Runs'!$D$5:$D$2004,"Android",'Test Runs'!$I$5:$I$2004,U136)&gt;0)),"Reconciled","Mismatch"))</x:f>
        <x:v>Pending</x:v>
      </x:c>
    </x:row>
    <x:row r="137" ht="120" customHeight="1">
      <x:c r="A137" s="58" t="str">
        <x:v>HLT-051</x:v>
      </x:c>
      <x:c r="B137" s="58" t="str">
        <x:v>Health control on an empty day</x:v>
      </x:c>
      <x:c r="C137" s="58" t="str">
        <x:v>Fresh Today screen</x:v>
      </x:c>
      <x:c r="D137" s="58" t="str">
        <x:v>As a new user, I want to connect or sync health even before any meal/workout exists.</x:v>
      </x:c>
      <x:c r="E137" s="58" t="str">
        <x:v>On an empty current day, Start today still offers food/workout actions and the meal list is hidden. On native platforms the Workouts section remains visible with the selected health provider’s Connect/Sync action and No workouts yet. Health is also reachable through Settings.</x:v>
      </x:c>
      <x:c r="F137" s="58" t="str">
        <x:v>iOS, Android</x:v>
      </x:c>
      <x:c r="G137" s="58" t="str">
        <x:v>Fresh current day with goal but no meals/workouts; health disconnected.</x:v>
      </x:c>
      <x:c r="H137" s="58" t="str">
        <x:v>Open empty Today with goal and disconnected Apple Health; verify the visible Connect action, exercise connection, then verify Sync appears when permitted.</x:v>
      </x:c>
      <x:c r="I137" s="58" t="str">
        <x:v>Repeat empty Today with Health Connect, then exercise permission and Sync states without logging a meal/workout first.</x:v>
      </x:c>
      <x:c r="J137" s="58" t="str">
        <x:v>Partial: DashboardTest.php empty summary; TodayWorkoutButtonTest.php Start today; no assertion that health control remains reachable.</x:v>
      </x:c>
      <x:c r="K137" s="58" t="str">
        <x:v>/Users/mason/Sites/Buff/resources/js/Pages/Today.vue:176-179 showDayLists, :683-689 Start today, :770-796 health controls inside conditional section</x:v>
      </x:c>
      <x:c r="L137" s="58" t="str">
        <x:v>Mapped</x:v>
      </x:c>
      <x:c r="M137" s="58" t="str">
        <x:v>Ready</x:v>
      </x:c>
      <x:c r="N137" s="58" t="str">
        <x:v>Not Run</x:v>
      </x:c>
      <x:c r="O137" s="58" t="str">
        <x:v>Blocked</x:v>
      </x:c>
      <x:c r="P137" s="58" t="str">
        <x:v>Android: /Users/mason/.codex/visualizations/2026/09/01/01a05def-1c0d-76d1-abc6-07c63a443582/emulator-runs/initial/android/HLT-051-empty-today.png
/Users/mason/.codex/visualizations/2026/09/01/01a05def-1c0d-76d1-abc6-07c63a443582/emulator-runs/initial/android/HLT-051-settings-health.png — The empty Today screen exposed no health control, while Settings &gt; Health Connect was reachable and connected. The disconnected-state variant cannot be exercised without changing the retained integration state.</x:v>
      </x:c>
      <x:c r="Q137" s="58" t="str">
        <x:v>DEF-001</x:v>
      </x:c>
      <x:c r="R137" s="58" t="str">
        <x:v>In Progress</x:v>
      </x:c>
      <x:c r="S137" s="58" t="str"/>
      <x:c r="T137" s="58" t="str">
        <x:v>Not Run</x:v>
      </x:c>
      <x:c r="U137" s="58" t="str">
        <x:v>Not Run</x:v>
      </x:c>
      <x:c r="V137" s="58" t="str"/>
      <x:c r="W137" s="58" t="str">
        <x:f>IF(AND(OR(N137="Passed",N137="Failed",N137="Not Applicable"),OR(O137="Passed",O137="Failed",O137="Not Applicable"),OR(N137="Passed",N137="Failed",O137="Passed",O137="Failed"),OR(T137="Passed",T137="Not Applicable"),OR(U137="Passed",U137="Not Applicable"),OR(T137="Passed",U137="Passed"),Y137="Reconciled",Z137="Reconciled",IF(Q137&lt;&gt;"",R137="Fixed",TRUE)),"Verified",IF(OR(T137="Failed",U137="Failed"),"Retest Failed",IF(OR(N137="Failed",O137="Failed",Q137&lt;&gt;""),"Defect Found",IF(AND(OR(N137="Passed",N137="Not Applicable"),OR(O137="Passed",O137="Not Applicable"),OR(N137="Passed",O137="Passed")),"Initial Pass","Not Complete"))))</x:f>
        <x:v>Defect Found</x:v>
      </x:c>
      <x:c r="X137" s="58" t="str">
        <x:v>Likely UX defect: the primary contextual health-connect action is unavailable precisely for a fresh/empty day.</x:v>
      </x:c>
      <x:c r="Y137" s="58" t="str">
        <x:f>IF(OR(N137="Not Run",O137="Not Run"),"Pending",IF(AND(OR(N137="Not Applicable",COUNTIFS('Test Runs'!$B$5:$B$2004,A137,'Test Runs'!$C$5:$C$2004,"Initial",'Test Runs'!$D$5:$D$2004,"iOS",'Test Runs'!$I$5:$I$2004,N137)&gt;0),OR(O137="Not Applicable",COUNTIFS('Test Runs'!$B$5:$B$2004,A137,'Test Runs'!$C$5:$C$2004,"Initial",'Test Runs'!$D$5:$D$2004,"Android",'Test Runs'!$I$5:$I$2004,O137)&gt;0)),"Reconciled","Mismatch"))</x:f>
        <x:v>Pending</x:v>
      </x:c>
      <x:c r="Z137" s="58" t="str">
        <x:f>IF(OR(T137="Not Run",U137="Not Run"),"Pending",IF(AND(OR(T137="Not Applicable",COUNTIFS('Test Runs'!$B$5:$B$2004,A137,'Test Runs'!$C$5:$C$2004,"Retest",'Test Runs'!$D$5:$D$2004,"iOS",'Test Runs'!$I$5:$I$2004,T137)&gt;0),OR(U137="Not Applicable",COUNTIFS('Test Runs'!$B$5:$B$2004,A137,'Test Runs'!$C$5:$C$2004,"Retest",'Test Runs'!$D$5:$D$2004,"Android",'Test Runs'!$I$5:$I$2004,U137)&gt;0)),"Reconciled","Mismatch"))</x:f>
        <x:v>Pending</x:v>
      </x:c>
    </x:row>
    <x:row r="138" ht="120" customHeight="1">
      <x:c r="A138" s="58" t="str">
        <x:v>HLT-052</x:v>
      </x:c>
      <x:c r="B138" s="58" t="str">
        <x:v>Health Connect availability/status</x:v>
      </x:c>
      <x:c r="C138" s="58" t="str">
        <x:v>Settings -&gt; Health Connect; GET /health-connect/status</x:v>
      </x:c>
      <x:c r="D138" s="58" t="str">
        <x:v>As an Android user, I want clear status when Health Connect is unavailable or incomplete.</x:v>
      </x:c>
      <x:c r="E138" s="58" t="str">
        <x:v>Native status reports unavailable when SDK provider is absent; permission_required until all exercise/total/active read permissions; background_permission_required when foreground granted and background feature exists but permission missing; connected otherwise. Bridge errors/empty/invalid/malformed responses map to unavailable/error messages.</x:v>
      </x:c>
      <x:c r="F138" s="58" t="str">
        <x:v>Android</x:v>
      </x:c>
      <x:c r="G138" s="58" t="str">
        <x:v>API 33+ with HC absent/outdated, installed/no permissions, partial permissions, bridge disabled.</x:v>
      </x:c>
      <x:c r="H138" s="58" t="str">
        <x:v>N/A; verify off-platform HC is not selected.</x:v>
      </x:c>
      <x:c r="I138" s="58" t="str">
        <x:v>Exercise every availability/permission state and malformed bridge stub; verify label/button disabled or actionable.</x:v>
      </x:c>
      <x:c r="J138" s="58" t="str">
        <x:v>Covered: HealthConnectBridgeTest.php; HealthConnectWorkerKeyTest.php static permission/disconnect checks.</x:v>
      </x:c>
      <x:c r="K138" s="58" t="str">
        <x:v>/Users/mason/Sites/Buff/native-plugins/health-connect/resources/android/src/com/buff/healthconnect/HealthConnectPlugin.kt:29-113; /Users/mason/Sites/Buff/app/Services/HealthConnectBridge.php:38-126</x:v>
      </x:c>
      <x:c r="L138" s="58" t="str">
        <x:v>Mapped</x:v>
      </x:c>
      <x:c r="M138" s="58" t="str">
        <x:v>Ready</x:v>
      </x:c>
      <x:c r="N138" s="58" t="str">
        <x:v>Not Applicable</x:v>
      </x:c>
      <x:c r="O138" s="58" t="str">
        <x:v>Blocked</x:v>
      </x:c>
      <x:c r="P138" s="58" t="str">
        <x:v>Android: /Users/mason/.codex/visualizations/2026/09/01/01a05def-1c0d-76d1-abc6-07c63a443582/emulator-runs/initial/android-guest/dom-observations-batch-019.json — The Android 17 system Health Connect provider was present, current, and available, so provider-absent and provider-outdated branches could not be exercised read-only.</x:v>
      </x:c>
      <x:c r="Q138" s="58" t="str"/>
      <x:c r="R138" s="58" t="str">
        <x:v>Not Needed</x:v>
      </x:c>
      <x:c r="S138" s="58" t="str"/>
      <x:c r="T138" s="58" t="str">
        <x:v>Not Applicable</x:v>
      </x:c>
      <x:c r="U138" s="58" t="str">
        <x:v>Not Run</x:v>
      </x:c>
      <x:c r="V138" s="58" t="str"/>
      <x:c r="W138" s="58" t="str">
        <x:f>IF(AND(OR(N138="Passed",N138="Failed",N138="Not Applicable"),OR(O138="Passed",O138="Failed",O138="Not Applicable"),OR(N138="Passed",N138="Failed",O138="Passed",O138="Failed"),OR(T138="Passed",T138="Not Applicable"),OR(U138="Passed",U138="Not Applicable"),OR(T138="Passed",U138="Passed"),Y138="Reconciled",Z138="Reconciled",IF(Q138&lt;&gt;"",R138="Fixed",TRUE)),"Verified",IF(OR(T138="Failed",U138="Failed"),"Retest Failed",IF(OR(N138="Failed",O138="Failed",Q138&lt;&gt;""),"Defect Found",IF(AND(OR(N138="Passed",N138="Not Applicable"),OR(O138="Passed",O138="Not Applicable"),OR(N138="Passed",O138="Passed")),"Initial Pass","Not Complete"))))</x:f>
        <x:v>Not Complete</x:v>
      </x:c>
      <x:c r="X138" s="58" t="str">
        <x:v>Risk: unavailable UI gives status but no direct install/update Health Connect action. Shared emulator scenario: reuse the same run evidence as ACC-044.</x:v>
      </x:c>
      <x:c r="Y138" s="58" t="str">
        <x:f>IF(OR(N138="Not Run",O138="Not Run"),"Pending",IF(AND(OR(N138="Not Applicable",COUNTIFS('Test Runs'!$B$5:$B$2004,A138,'Test Runs'!$C$5:$C$2004,"Initial",'Test Runs'!$D$5:$D$2004,"iOS",'Test Runs'!$I$5:$I$2004,N138)&gt;0),OR(O138="Not Applicable",COUNTIFS('Test Runs'!$B$5:$B$2004,A138,'Test Runs'!$C$5:$C$2004,"Initial",'Test Runs'!$D$5:$D$2004,"Android",'Test Runs'!$I$5:$I$2004,O138)&gt;0)),"Reconciled","Mismatch"))</x:f>
        <x:v>Reconciled</x:v>
      </x:c>
      <x:c r="Z138" s="58" t="str">
        <x:f>IF(OR(T138="Not Run",U138="Not Run"),"Pending",IF(AND(OR(T138="Not Applicable",COUNTIFS('Test Runs'!$B$5:$B$2004,A138,'Test Runs'!$C$5:$C$2004,"Retest",'Test Runs'!$D$5:$D$2004,"iOS",'Test Runs'!$I$5:$I$2004,T138)&gt;0),OR(U138="Not Applicable",COUNTIFS('Test Runs'!$B$5:$B$2004,A138,'Test Runs'!$C$5:$C$2004,"Retest",'Test Runs'!$D$5:$D$2004,"Android",'Test Runs'!$I$5:$I$2004,U138)&gt;0)),"Reconciled","Mismatch"))</x:f>
        <x:v>Pending</x:v>
      </x:c>
    </x:row>
    <x:row r="139" ht="120" customHeight="1">
      <x:c r="A139" s="58" t="str">
        <x:v>HLT-053</x:v>
      </x:c>
      <x:c r="B139" s="58" t="str">
        <x:v>Health Connect foreground permission</x:v>
      </x:c>
      <x:c r="C139" s="58" t="str">
        <x:v>Connect Health Connect</x:v>
      </x:c>
      <x:c r="D139" s="58" t="str">
        <x:v>As an Android user, I want to grant workout and calorie read permissions.</x:v>
      </x:c>
      <x:c r="E139" s="58" t="str">
        <x:v>Connect launches the Health Connect permission activity for missing exercise/total/active foreground grants. Any foreground grant clears the disconnect guard, but all required grants are needed before syncing. Settings also offers Manage Health Connect access when available and explains how to recover if Connect no longer prompts.</x:v>
      </x:c>
      <x:c r="F139" s="58" t="str">
        <x:v>Android</x:v>
      </x:c>
      <x:c r="G139" s="58" t="str">
        <x:v>HC installed; deny all, grant subset, grant all foreground.</x:v>
      </x:c>
      <x:c r="H139" s="58" t="str">
        <x:v>N/A.</x:v>
      </x:c>
      <x:c r="I139" s="58" t="str">
        <x:v>Deny twice and verify settings recovery remains reachable; use Manage Health Connect access to grant partial/all foreground access, return to Buff and verify status. No sync occurs until all required grants exist.</x:v>
      </x:c>
      <x:c r="J139" s="58" t="str">
        <x:v>Partial: native static tests only; no permission-dialog instrumentation.</x:v>
      </x:c>
      <x:c r="K139" s="58" t="str">
        <x:v>/Users/mason/Sites/Buff/native-plugins/health-connect/resources/android/src/com/buff/healthconnect/HealthConnectFunctions.kt:20-49; /Users/mason/Sites/Buff/native-plugins/health-connect/resources/android/src/com/buff/healthconnect/HealthConnectPermissionActivity.kt:8-64; /Users/mason/Sites/Buff/native-plugins/health-connect/nativephp.json:30-43</x:v>
      </x:c>
      <x:c r="L139" s="58" t="str">
        <x:v>Mapped</x:v>
      </x:c>
      <x:c r="M139" s="58" t="str">
        <x:v>Ready</x:v>
      </x:c>
      <x:c r="N139" s="58" t="str">
        <x:v>Not Applicable</x:v>
      </x:c>
      <x:c r="O139" s="58" t="str">
        <x:v>Failed</x:v>
      </x:c>
      <x:c r="P139" s="58" t="str">
        <x:v>Android: /Users/mason/.codex/visualizations/2026/09/01/01a05def-1c0d-76d1-abc6-07c63a443582/emulator-runs/initial/android-guest/dom-observations-batch-019.json — Twice-denied missing foreground permissions could not be recovered from Buff: the permission activity immediately closed without OS UI or directing the user to Health Connect Settings.</x:v>
      </x:c>
      <x:c r="Q139" s="58" t="str">
        <x:v>DEF-057</x:v>
      </x:c>
      <x:c r="R139" s="58" t="str">
        <x:v>In Progress</x:v>
      </x:c>
      <x:c r="S139" s="58" t="str"/>
      <x:c r="T139" s="58" t="str">
        <x:v>Not Applicable</x:v>
      </x:c>
      <x:c r="U139" s="58" t="str">
        <x:v>Not Run</x:v>
      </x:c>
      <x:c r="V139" s="58" t="str"/>
      <x:c r="W139" s="58" t="str">
        <x:f>IF(AND(OR(N139="Passed",N139="Failed",N139="Not Applicable"),OR(O139="Passed",O139="Failed",O139="Not Applicable"),OR(N139="Passed",N139="Failed",O139="Passed",O139="Failed"),OR(T139="Passed",T139="Not Applicable"),OR(U139="Passed",U139="Not Applicable"),OR(T139="Passed",U139="Passed"),Y139="Reconciled",Z139="Reconciled",IF(Q139&lt;&gt;"",R139="Fixed",TRUE)),"Verified",IF(OR(T139="Failed",U139="Failed"),"Retest Failed",IF(OR(N139="Failed",O139="Failed",Q139&lt;&gt;""),"Defect Found",IF(AND(OR(N139="Passed",N139="Not Applicable"),OR(O139="Passed",O139="Not Applicable"),OR(N139="Passed",O139="Passed")),"Initial Pass","Not Complete"))))</x:f>
        <x:v>Defect Found</x:v>
      </x:c>
      <x:c r="X139" s="58" t="str">
        <x:v>Risk: permission exceptions are log-only and surface no error message in Buff. Shared emulator scenario: reuse the same run evidence as ACC-044.</x:v>
      </x:c>
      <x:c r="Y139" s="58" t="str">
        <x:f>IF(OR(N139="Not Run",O139="Not Run"),"Pending",IF(AND(OR(N139="Not Applicable",COUNTIFS('Test Runs'!$B$5:$B$2004,A139,'Test Runs'!$C$5:$C$2004,"Initial",'Test Runs'!$D$5:$D$2004,"iOS",'Test Runs'!$I$5:$I$2004,N139)&gt;0),OR(O139="Not Applicable",COUNTIFS('Test Runs'!$B$5:$B$2004,A139,'Test Runs'!$C$5:$C$2004,"Initial",'Test Runs'!$D$5:$D$2004,"Android",'Test Runs'!$I$5:$I$2004,O139)&gt;0)),"Reconciled","Mismatch"))</x:f>
        <x:v>Reconciled</x:v>
      </x:c>
      <x:c r="Z139" s="58" t="str">
        <x:f>IF(OR(T139="Not Run",U139="Not Run"),"Pending",IF(AND(OR(T139="Not Applicable",COUNTIFS('Test Runs'!$B$5:$B$2004,A139,'Test Runs'!$C$5:$C$2004,"Retest",'Test Runs'!$D$5:$D$2004,"iOS",'Test Runs'!$I$5:$I$2004,T139)&gt;0),OR(U139="Not Applicable",COUNTIFS('Test Runs'!$B$5:$B$2004,A139,'Test Runs'!$C$5:$C$2004,"Retest",'Test Runs'!$D$5:$D$2004,"Android",'Test Runs'!$I$5:$I$2004,U139)&gt;0)),"Reconciled","Mismatch"))</x:f>
        <x:v>Pending</x:v>
      </x:c>
    </x:row>
    <x:row r="140" ht="120" customHeight="1">
      <x:c r="A140" s="58" t="str">
        <x:v>HLT-054</x:v>
      </x:c>
      <x:c r="B140" s="58" t="str">
        <x:v>Health Connect background permission</x:v>
      </x:c>
      <x:c r="C140" s="58" t="str">
        <x:v>Health Connect permission flow second stage</x:v>
      </x:c>
      <x:c r="D140" s="58" t="str">
        <x:v>As an Android user, I want background workout imports after granting separate access.</x:v>
      </x:c>
      <x:c r="E140" s="58" t="str">
        <x:v>After foreground grant, if background-read feature is available and is the sole missing permission, the activity immediately launches a second request; connected/hasAllPermissions requires it; denial leaves background_permission_required and manual SyncNow returns permission_required.</x:v>
      </x:c>
      <x:c r="F140" s="58" t="str">
        <x:v>Android</x:v>
      </x:c>
      <x:c r="G140" s="58" t="str">
        <x:v>Android version/device where FEATURE_READ_HEALTH_DATA_IN_BACKGROUND is available.</x:v>
      </x:c>
      <x:c r="H140" s="58" t="str">
        <x:v>N/A.</x:v>
      </x:c>
      <x:c r="I140" s="58" t="str">
        <x:v>Grant foreground then deny background; verify label, sync refusal; reconnect/grant and verify queued import.</x:v>
      </x:c>
      <x:c r="J140" s="58" t="str">
        <x:v>Covered statically: HealthConnectWorkerKeyTest.php “continues to background…”.</x:v>
      </x:c>
      <x:c r="K140" s="58" t="str">
        <x:v>/Users/mason/Sites/Buff/native-plugins/health-connect/resources/android/src/com/buff/healthconnect/HealthConnectPlugin.kt:33-79; /Users/mason/Sites/Buff/native-plugins/health-connect/resources/android/src/com/buff/healthconnect/HealthConnectPermissionActivity.kt:21-33</x:v>
      </x:c>
      <x:c r="L140" s="58" t="str">
        <x:v>Mapped</x:v>
      </x:c>
      <x:c r="M140" s="58" t="str">
        <x:v>Ready</x:v>
      </x:c>
      <x:c r="N140" s="58" t="str">
        <x:v>Not Applicable</x:v>
      </x:c>
      <x:c r="O140" s="58" t="str">
        <x:v>Passed</x:v>
      </x:c>
      <x:c r="P140" s="58" t="str">
        <x:v>Android: /Users/mason/.codex/visualizations/2026/09/01/01a05def-1c0d-76d1-abc6-07c63a443582/emulator-runs/initial/android-guest/dom-observations-batch-019.json — Status moved from permission_required through foreground partial and background_permission_required to connected. Denying background retained the required state; granting it on the second request connected and queued immediate sync.</x:v>
      </x:c>
      <x:c r="Q140" s="58" t="str"/>
      <x:c r="R140" s="58" t="str">
        <x:v>Not Needed</x:v>
      </x:c>
      <x:c r="S140" s="58" t="str"/>
      <x:c r="T140" s="58" t="str">
        <x:v>Not Applicable</x:v>
      </x:c>
      <x:c r="U140" s="58" t="str">
        <x:v>Not Run</x:v>
      </x:c>
      <x:c r="V140" s="58" t="str"/>
      <x:c r="W140" s="58" t="str">
        <x:f>IF(AND(OR(N140="Passed",N140="Failed",N140="Not Applicable"),OR(O140="Passed",O140="Failed",O140="Not Applicable"),OR(N140="Passed",N140="Failed",O140="Passed",O140="Failed"),OR(T140="Passed",T140="Not Applicable"),OR(U140="Passed",U140="Not Applicable"),OR(T140="Passed",U140="Passed"),Y140="Reconciled",Z140="Reconciled",IF(Q140&lt;&gt;"",R140="Fixed",TRUE)),"Verified",IF(OR(T140="Failed",U140="Failed"),"Retest Failed",IF(OR(N140="Failed",O140="Failed",Q140&lt;&gt;""),"Defect Found",IF(AND(OR(N140="Passed",N140="Not Applicable"),OR(O140="Passed",O140="Not Applicable"),OR(N140="Passed",O140="Passed")),"Initial Pass","Not Complete"))))</x:f>
        <x:v>Initial Pass</x:v>
      </x:c>
      <x:c r="X140" s="58" t="str">
        <x:v>Risk: Settings says “Background access needed” but does not explain that manual sync is also blocked by this implementation. Shared emulator scenario: reuse the same run evidence as ACC-044.</x:v>
      </x:c>
      <x:c r="Y140" s="58" t="str">
        <x:f>IF(OR(N140="Not Run",O140="Not Run"),"Pending",IF(AND(OR(N140="Not Applicable",COUNTIFS('Test Runs'!$B$5:$B$2004,A140,'Test Runs'!$C$5:$C$2004,"Initial",'Test Runs'!$D$5:$D$2004,"iOS",'Test Runs'!$I$5:$I$2004,N140)&gt;0),OR(O140="Not Applicable",COUNTIFS('Test Runs'!$B$5:$B$2004,A140,'Test Runs'!$C$5:$C$2004,"Initial",'Test Runs'!$D$5:$D$2004,"Android",'Test Runs'!$I$5:$I$2004,O140)&gt;0)),"Reconciled","Mismatch"))</x:f>
        <x:v>Reconciled</x:v>
      </x:c>
      <x:c r="Z140" s="58" t="str">
        <x:f>IF(OR(T140="Not Run",U140="Not Run"),"Pending",IF(AND(OR(T140="Not Applicable",COUNTIFS('Test Runs'!$B$5:$B$2004,A140,'Test Runs'!$C$5:$C$2004,"Retest",'Test Runs'!$D$5:$D$2004,"iOS",'Test Runs'!$I$5:$I$2004,T140)&gt;0),OR(U140="Not Applicable",COUNTIFS('Test Runs'!$B$5:$B$2004,A140,'Test Runs'!$C$5:$C$2004,"Retest",'Test Runs'!$D$5:$D$2004,"Android",'Test Runs'!$I$5:$I$2004,U140)&gt;0)),"Reconciled","Mismatch"))</x:f>
        <x:v>Pending</x:v>
      </x:c>
    </x:row>
    <x:row r="141" ht="120" customHeight="1">
      <x:c r="A141" s="58" t="str">
        <x:v>HLT-055</x:v>
      </x:c>
      <x:c r="B141" s="58" t="str">
        <x:v>Health Connect manual sync</x:v>
      </x:c>
      <x:c r="C141" s="58" t="str">
        <x:v>Today Workouts -&gt; Sync or Settings -&gt; Sync now</x:v>
      </x:c>
      <x:c r="D141" s="58" t="str">
        <x:v>As an Android user, I want Sync now to import health workouts and update Today.</x:v>
      </x:c>
      <x:c r="E141" s="58" t="str">
        <x:v>SyncNow requires all permissions, enqueues unique WorkManager work with KEEP, returns sync_queued immediately; UI shows spinner/queued and polls, then reloads Today when DB sync state records a successful import/deletion.</x:v>
      </x:c>
      <x:c r="F141" s="58" t="str">
        <x:v>Android</x:v>
      </x:c>
      <x:c r="G141" s="58" t="str">
        <x:v>Connected HC with one new workout and one removed workout.</x:v>
      </x:c>
      <x:c r="H141" s="58" t="str">
        <x:v>N/A.</x:v>
      </x:c>
      <x:c r="I141" s="58" t="str">
        <x:v>Tap Sync repeatedly; verify one work item, queued state, imported/deleted counts, Today burn/remaining refresh.</x:v>
      </x:c>
      <x:c r="J141" s="58" t="str">
        <x:v>Covered: HealthConnectSyncTest.php queues bridge; HealthConnectTodayRefreshTest.php; import tests.</x:v>
      </x:c>
      <x:c r="K141" s="58" t="str">
        <x:v>/Users/mason/Sites/Buff/native-plugins/health-connect/resources/android/src/com/buff/healthconnect/HealthConnectFunctions.kt:52-70; /Users/mason/Sites/Buff/native-plugins/health-connect/resources/android/src/com/buff/healthconnect/HealthConnectPlugin.kt:123-130; /Users/mason/Sites/Buff/resources/js/Pages/Today.vue:346-387</x:v>
      </x:c>
      <x:c r="L141" s="58" t="str">
        <x:v>Mapped</x:v>
      </x:c>
      <x:c r="M141" s="58" t="str">
        <x:v>Ready</x:v>
      </x:c>
      <x:c r="N141" s="58" t="str">
        <x:v>Not Applicable</x:v>
      </x:c>
      <x:c r="O141" s="58" t="str">
        <x:v>Failed</x:v>
      </x:c>
      <x:c r="P141" s="58" t="str">
        <x:v>Android: /Users/mason/.codex/visualizations/2026/09/01/01a05def-1c0d-76d1-abc6-07c63a443582/emulator-runs/initial/android-guest/dom-observations-batch-019.json
/Users/mason/.codex/visualizations/2026/09/01/01a05def-1c0d-76d1-abc6-07c63a443582/emulator-runs/initial/android-guest/HLT-055-health-connect-sync-queued-stuck.png — Sync now showed Syncing..., then Sync queued. Workers at 11:52:56, 11:53:26, and 11:54:26 committed zero-record PHP imports but retried after 'Health Connect import did not report success.'; the page never showed completion, progress, or failure.</x:v>
      </x:c>
      <x:c r="Q141" s="58" t="str">
        <x:v>DEF-058</x:v>
      </x:c>
      <x:c r="R141" s="58" t="str">
        <x:v>Fixed</x:v>
      </x:c>
      <x:c r="S141" s="58" t="str"/>
      <x:c r="T141" s="58" t="str">
        <x:v>Not Applicable</x:v>
      </x:c>
      <x:c r="U141" s="58" t="str">
        <x:v>Blocked</x:v>
      </x:c>
      <x:c r="V141" s="58" t="str">
        <x:v>Android: /Users/mason/.codex/visualizations/2026/09/06/01a07722-2d43-7910-aa74-f3a7d9489dc2/release-qa/DEF-058-native-imported-record.json
/Users/mason/.codex/visualizations/2026/09/06/01a07722-2d43-7910-aa74-f3a7d9489dc2/release-qa/DEF-058-native-import-and-deletion.log — Granted QA user10 foreground and background Activity read access. Actual native workers committed zero-record and synthetic50kcal imports with empty stdout and returned SUCCESS without retry. Today showed the imported50kcal workout.</x:v>
      </x:c>
      <x:c r="W141" s="58" t="str">
        <x:f>IF(AND(OR(N141="Passed",N141="Failed",N141="Not Applicable"),OR(O141="Passed",O141="Failed",O141="Not Applicable"),OR(N141="Passed",N141="Failed",O141="Passed",O141="Failed"),OR(T141="Passed",T141="Not Applicable"),OR(U141="Passed",U141="Not Applicable"),OR(T141="Passed",U141="Passed"),Y141="Reconciled",Z141="Reconciled",IF(Q141&lt;&gt;"",R141="Fixed",TRUE)),"Verified",IF(OR(T141="Failed",U141="Failed"),"Retest Failed",IF(OR(N141="Failed",O141="Failed",Q141&lt;&gt;""),"Defect Found",IF(AND(OR(N141="Passed",N141="Not Applicable"),OR(O141="Passed",O141="Not Applicable"),OR(N141="Passed",O141="Passed")),"Initial Pass","Not Complete"))))</x:f>
        <x:v>Defect Found</x:v>
      </x:c>
      <x:c r="X141" s="58" t="str">
        <x:v>Risk: multiple rapid taps are silently coalesced by KEEP and UI does not expose worker progress. Shared emulator scenario: reuse the same run evidence as ACC-045.</x:v>
      </x:c>
      <x:c r="Y141" s="58" t="str">
        <x:f>IF(OR(N141="Not Run",O141="Not Run"),"Pending",IF(AND(OR(N141="Not Applicable",COUNTIFS('Test Runs'!$B$5:$B$2004,A141,'Test Runs'!$C$5:$C$2004,"Initial",'Test Runs'!$D$5:$D$2004,"iOS",'Test Runs'!$I$5:$I$2004,N141)&gt;0),OR(O141="Not Applicable",COUNTIFS('Test Runs'!$B$5:$B$2004,A141,'Test Runs'!$C$5:$C$2004,"Initial",'Test Runs'!$D$5:$D$2004,"Android",'Test Runs'!$I$5:$I$2004,O141)&gt;0)),"Reconciled","Mismatch"))</x:f>
        <x:v>Reconciled</x:v>
      </x:c>
      <x:c r="Z141" s="58" t="str">
        <x:f>IF(OR(T141="Not Run",U141="Not Run"),"Pending",IF(AND(OR(T141="Not Applicable",COUNTIFS('Test Runs'!$B$5:$B$2004,A141,'Test Runs'!$C$5:$C$2004,"Retest",'Test Runs'!$D$5:$D$2004,"iOS",'Test Runs'!$I$5:$I$2004,T141)&gt;0),OR(U141="Not Applicable",COUNTIFS('Test Runs'!$B$5:$B$2004,A141,'Test Runs'!$C$5:$C$2004,"Retest",'Test Runs'!$D$5:$D$2004,"Android",'Test Runs'!$I$5:$I$2004,U141)&gt;0)),"Reconciled","Mismatch"))</x:f>
        <x:v>Reconciled</x:v>
      </x:c>
    </x:row>
    <x:row r="142" ht="120" customHeight="1">
      <x:c r="A142" s="58" t="str">
        <x:v>HLT-056</x:v>
      </x:c>
      <x:c r="B142" s="58" t="str">
        <x:v>Health Connect record import</x:v>
      </x:c>
      <x:c r="C142" s="58" t="str">
        <x:v>HealthConnectSyncWorker background work</x:v>
      </x:c>
      <x:c r="D142" s="58" t="str">
        <x:v>As an Android user, I want workouts and calorie records imported without double-counting.</x:v>
      </x:c>
      <x:c r="E142" s="58" t="str">
        <x:v>Worker reads a rolling 30-day window: exercise sessions first; calories priority is origin-filtered total, origin-filtered active, unfiltered total, unfiltered active; sessions with &lt;1 kcal are skipped; then standalone total and active records are added only if their whole interval does not overlap an already imported interval, with Samsung-specific/default titles and local start date.</x:v>
      </x:c>
      <x:c r="F142" s="58" t="str">
        <x:v>Android</x:v>
      </x:c>
      <x:c r="G142" s="58" t="str">
        <x:v>HC dataset with sessions, total/active records, overlapping/partial intervals, multiple origins, zero calories, page tokens.</x:v>
      </x:c>
      <x:c r="H142" s="58" t="str">
        <x:v>N/A.</x:v>
      </x:c>
      <x:c r="I142" s="58" t="str">
        <x:v>Seed HC test data; sync; verify calorie source priority, titles/dates, pages, zero skips and no duplicate overlap.</x:v>
      </x:c>
      <x:c r="J142" s="58" t="str">
        <x:v>Partial: HealthConnectWorkerKeyTest.php is structural; PHP import tests use normalized payload, not actual HC query/aggregation.</x:v>
      </x:c>
      <x:c r="K142" s="58" t="str">
        <x:v>/Users/mason/Sites/Buff/native-plugins/health-connect/resources/android/src/com/buff/healthconnect/HealthConnectSyncWorker.kt:84-163, :165-290, :292-343</x:v>
      </x:c>
      <x:c r="L142" s="58" t="str">
        <x:v>Mapped</x:v>
      </x:c>
      <x:c r="M142" s="58" t="str">
        <x:v>Ready</x:v>
      </x:c>
      <x:c r="N142" s="58" t="str">
        <x:v>Not Applicable</x:v>
      </x:c>
      <x:c r="O142" s="58" t="str">
        <x:v>Blocked</x:v>
      </x:c>
      <x:c r="P142" s="58" t="str">
        <x:v>Android: /Users/mason/.codex/visualizations/2026/09/01/01a05def-1c0d-76d1-abc6-07c63a443582/emulator-runs/initial/android-guest/dom-observations-batch-019.json — The empty-store read/import path was exercised, but no Health Connect writer or prepared store supplied a real exercise/calorie record for device-level mapping and import verification.
Android: /Users/mason/.codex/visualizations/2026/09/01/01a05def-1c0d-76d1-abc6-07c63a443582/emulator-runs/initial/android/health-connect-real-fixture-observations.json
/Users/mason/.codex/visualizations/2026/09/01/01a05def-1c0d-76d1-abc6-07c63a443582/emulator-runs/initial/android/HLT-056-toolbox-exercise-session.png
/Users/mason/.codex/visualizations/2026/09/01/01a05def-1c0d-76d1-abc6-07c63a443582/emulator-runs/initial/android/HLT-056-toolbox-total-calories.png
/Users/mason/.codex/visualizations/2026/09/01/01a05def-1c0d-76d1-abc6-07c63a443582/emulator-runs/initial/android/HLT-041-health-connect-workout-row-275.png — Official Toolbox ExerciseSession QA toolbox cycle and TotalCaloriesBurned source records mapped to one health_connect workout at 12:52 for 275 kcal. Positive record import and partial/full-overlap handling produced no duplicate standalone calorie row.
Android: /Users/mason/.codex/visualizations/2026/09/01/01a05def-1c0d-76d1-abc6-07c63a443582/emulator-runs/initial/android/HLT-056-toolbox-standalone-total-60.png
/Users/mason/.codex/visualizations/2026/09/01/01a05def-1c0d-76d1-abc6-07c63a443582/emulator-runs/initial/android/HLT-056-toolbox-standalone-active-50.png
/Users/mason/.codex/visualizations/2026/09/01/01a05def-1c0d-76d1-abc6-07c63a443582/emulator-runs/initial/android/HLT-056-toolbox-overlapping-active-70.png
/Users/mason/.codex/visualizations/2026/09/01/01a05def-1c0d-76d1-abc6-07c63a443582/emulator-runs/initial/android/HLT-056-toolbox-read-total-fixtures.png
/Users/mason/.codex/visualizations/2026/09/01/01a05def-1c0d-76d1-abc6-07c63a443582/emulator-runs/initial/android/HLT-056-toolbox-read-active-fixtures.png
/Users/mason/.codex/visualizations/2026/09/01/01a05def-1c0d-76d1-abc6-07c63a443582/emulator-runs/initial/android/HLT-057-timezone-reconciliation-delay.json
/Users/mason/.codex/visualizations/2026/09/01/01a05def-1c0d-76d1-abc6-07c63a443582/emulator-runs/initial/android/HLT-057-second-worker-delete-reconciled.png — The live Toolbox store read 1 exercise session, 3 total-calorie records, and 2 active-calorie records; the worker emitted a three-record payload and the importer synced two rows. Standalone TotalCaloriesBurned 60 kcal at 11:00 and ActiveCaloriesBurned 50 kcal at 10:00 imported as separate workouts totaling 110 kcal, while the overlapping 70-kcal active interval was suppressed.</x:v>
      </x:c>
      <x:c r="Q142" s="58" t="str"/>
      <x:c r="R142" s="58" t="str">
        <x:v>Not Needed</x:v>
      </x:c>
      <x:c r="S142" s="58" t="str"/>
      <x:c r="T142" s="58" t="str">
        <x:v>Not Applicable</x:v>
      </x:c>
      <x:c r="U142" s="58" t="str">
        <x:v>Not Run</x:v>
      </x:c>
      <x:c r="V142" s="58" t="str"/>
      <x:c r="W142" s="58" t="str">
        <x:f>IF(AND(OR(N142="Passed",N142="Failed",N142="Not Applicable"),OR(O142="Passed",O142="Failed",O142="Not Applicable"),OR(N142="Passed",N142="Failed",O142="Passed",O142="Failed"),OR(T142="Passed",T142="Not Applicable"),OR(U142="Passed",U142="Not Applicable"),OR(T142="Passed",U142="Passed"),Y142="Reconciled",Z142="Reconciled",IF(Q142&lt;&gt;"",R142="Fixed",TRUE)),"Verified",IF(OR(T142="Failed",U142="Failed"),"Retest Failed",IF(OR(N142="Failed",O142="Failed",Q142&lt;&gt;""),"Defect Found",IF(AND(OR(N142="Passed",N142="Not Applicable"),OR(O142="Passed",O142="Not Applicable"),OR(N142="Passed",O142="Passed")),"Initial Pass","Not Complete"))))</x:f>
        <x:v>Not Complete</x:v>
      </x:c>
      <x:c r="X142" s="58" t="str">
        <x:v>Likely accuracy risks: unfiltered fallback can attribute another app’s calories to a session, and any partial overlap suppresses an entire standalone calorie interval, undercounting non-overlap portions. Shared emulator scenario: reuse the same run evidence as ACC-045.</x:v>
      </x:c>
      <x:c r="Y142" s="58" t="str">
        <x:f>IF(OR(N142="Not Run",O142="Not Run"),"Pending",IF(AND(OR(N142="Not Applicable",COUNTIFS('Test Runs'!$B$5:$B$2004,A142,'Test Runs'!$C$5:$C$2004,"Initial",'Test Runs'!$D$5:$D$2004,"iOS",'Test Runs'!$I$5:$I$2004,N142)&gt;0),OR(O142="Not Applicable",COUNTIFS('Test Runs'!$B$5:$B$2004,A142,'Test Runs'!$C$5:$C$2004,"Initial",'Test Runs'!$D$5:$D$2004,"Android",'Test Runs'!$I$5:$I$2004,O142)&gt;0)),"Reconciled","Mismatch"))</x:f>
        <x:v>Reconciled</x:v>
      </x:c>
      <x:c r="Z142" s="58" t="str">
        <x:f>IF(OR(T142="Not Run",U142="Not Run"),"Pending",IF(AND(OR(T142="Not Applicable",COUNTIFS('Test Runs'!$B$5:$B$2004,A142,'Test Runs'!$C$5:$C$2004,"Retest",'Test Runs'!$D$5:$D$2004,"iOS",'Test Runs'!$I$5:$I$2004,T142)&gt;0),OR(U142="Not Applicable",COUNTIFS('Test Runs'!$B$5:$B$2004,A142,'Test Runs'!$C$5:$C$2004,"Retest",'Test Runs'!$D$5:$D$2004,"Android",'Test Runs'!$I$5:$I$2004,U142)&gt;0)),"Reconciled","Mismatch"))</x:f>
        <x:v>Pending</x:v>
      </x:c>
    </x:row>
    <x:row r="143" ht="120" customHeight="1">
      <x:c r="A143" s="58" t="str">
        <x:v>HLT-057</x:v>
      </x:c>
      <x:c r="B143" s="58" t="str">
        <x:v>Health import reconciliation</x:v>
      </x:c>
      <x:c r="C143" s="58" t="str">
        <x:v>HealthConnectWorkoutImporter::import for both providers</x:v>
      </x:c>
      <x:c r="D143" s="58" t="str">
        <x:v>As a user, I want health edits/deletions mirrored without resurrecting ignored workouts.</x:v>
      </x:c>
      <x:c r="E143" s="58" t="str">
        <x:v>Importer updateOrCreates by source_type/external_id, skips blank ID/&lt;1 kcal/ignored/missing start, and defaults missing title/date/duration. Started/ended timestamps and deletion-window bounds normalize to UTC, while logged time and fallback calendar date retain the source local time. It deletes absent imported IDs only inside that window and stores per-provider attempts/success/error/imported/deleted state.</x:v>
      </x:c>
      <x:c r="F143" s="58" t="str">
        <x:v>iOS, Android</x:v>
      </x:c>
      <x:c r="G143" s="58" t="str">
        <x:v>Initial payload, updated record, deleted source record, malformed/empty payload, ignored ID.</x:v>
      </x:c>
      <x:c r="H143" s="58" t="str">
        <x:v>Run equivalent Apple dataset and verify update/delete/ignore behavior.</x:v>
      </x:c>
      <x:c r="I143" s="58" t="str">
        <x:v>Run HC sync across each case and verify Today/state counts.</x:v>
      </x:c>
      <x:c r="J143" s="58" t="str">
        <x:v>Covered strongly: HealthConnectImportTest.php and AppleHealthImportTest.php import/update/delete/ignore tests.</x:v>
      </x:c>
      <x:c r="K143" s="58" t="str">
        <x:v>/Users/mason/Sites/Buff/app/Services/HealthConnectWorkoutImporter.php:13-110; /Users/mason/Sites/Buff/app/Models/HealthConnectSyncState.php:7-37; /Users/mason/Sites/Buff/database/migrations/2026_05_20_000003_create_health_connect_sync_states_table.php</x:v>
      </x:c>
      <x:c r="L143" s="58" t="str">
        <x:v>Mapped</x:v>
      </x:c>
      <x:c r="M143" s="58" t="str">
        <x:v>Ready</x:v>
      </x:c>
      <x:c r="N143" s="58" t="str">
        <x:v>Not Run</x:v>
      </x:c>
      <x:c r="O143" s="58" t="str">
        <x:v>Failed</x:v>
      </x:c>
      <x:c r="P143" s="58" t="str">
        <x:v>Android: /Users/mason/.codex/visualizations/2026/09/01/01a05def-1c0d-76d1-abc6-07c63a443582/emulator-runs/initial/android-guest/dom-observations-batch-019.json — No deterministic real-record fixture existed for multi-page reads, updates, source removals, or corresponding imported-row reconciliation.
Android: /Users/mason/.codex/visualizations/2026/09/01/01a05def-1c0d-76d1-abc6-07c63a443582/emulator-runs/initial/android/HLT-057-provider-reconciliation-pending.json
/Users/mason/.codex/visualizations/2026/09/01/01a05def-1c0d-76d1-abc6-07c63a443582/emulator-runs/initial/android/HLT-057-provider-update-reconciled.png
/Users/mason/.codex/visualizations/2026/09/01/01a05def-1c0d-76d1-abc6-07c63a443582/emulator-runs/initial/android/HLT-057-provider-delete-reconciled.png — The provider record was updated in place under the same external ID from QA reconcile cycle to QA reconcile cycle updated, then deleted; provider reads verified the update and later absence. Buff sync requests returned sync_queued, but no new worker ran because the existing unique worker remained in DEF-058 retry backoff.
Android: /Users/mason/.codex/visualizations/2026/09/01/01a05def-1c0d-76d1-abc6-07c63a443582/emulator-runs/initial/android/HLT-057-timezone-reconciliation-delay.json
/Users/mason/.codex/visualizations/2026/09/01/01a05def-1c0d-76d1-abc6-07c63a443582/emulator-runs/initial/android/HLT-057-first-worker-delete-delayed.png
/Users/mason/.codex/visualizations/2026/09/01/01a05def-1c0d-76d1-abc6-07c63a443582/emulator-runs/initial/android/HLT-057-second-worker-delete-reconciled.png
/Users/mason/.codex/visualizations/2026/09/01/01a05def-1c0d-76d1-abc6-07c63a443582/inventory/health-connect-reconcile-cycle-diagnosis.json — After the provider read confirmed QA reconcile cycle absent, the first worker completed successfully with synced_records 2 and deleted_records 0, leaving the provider-deleted 206-kcal row and 316-kcal total on Today. A later successful worker reported deleted_records 1, removed that row, and left the standalone 50- and 60-kcal rows totaling 110 kcal.</x:v>
      </x:c>
      <x:c r="Q143" s="58" t="str">
        <x:v>DEF-058
DEF-071</x:v>
      </x:c>
      <x:c r="R143" s="58" t="str">
        <x:v>Fixed</x:v>
      </x:c>
      <x:c r="S143" s="58" t="str"/>
      <x:c r="T143" s="58" t="str">
        <x:v>Not Run</x:v>
      </x:c>
      <x:c r="U143" s="58" t="str">
        <x:v>Blocked</x:v>
      </x:c>
      <x:c r="V143" s="58" t="str">
        <x:v>Android: /Users/mason/.codex/visualizations/2026/09/06/01a07722-2d43-7910-aa74-f3a7d9489dc2/release-qa/DEF-071-source-deletion.json
/Users/mason/.codex/visualizations/2026/09/06/01a07722-2d43-7910-aa74-f3a7d9489dc2/release-qa/DEF-058-native-import-and-deletion.log — Created one synthetic Health Connect Toolbox50kcal record starting18:19:10+01:00. Deleted only that provider fixture through Toolbox. First subsequent successful native sync removed it by17:59:39Z, before UTC reached its18:19 wall-clock value. Today returned to original1kcal manual workout, proving offset-aware reconciliation.</x:v>
      </x:c>
      <x:c r="W143" s="58" t="str">
        <x:f>IF(AND(OR(N143="Passed",N143="Failed",N143="Not Applicable"),OR(O143="Passed",O143="Failed",O143="Not Applicable"),OR(N143="Passed",N143="Failed",O143="Passed",O143="Failed"),OR(T143="Passed",T143="Not Applicable"),OR(U143="Passed",U143="Not Applicable"),OR(T143="Passed",U143="Passed"),Y143="Reconciled",Z143="Reconciled",IF(Q143&lt;&gt;"",R143="Fixed",TRUE)),"Verified",IF(OR(T143="Failed",U143="Failed"),"Retest Failed",IF(OR(N143="Failed",O143="Failed",Q143&lt;&gt;""),"Defect Found",IF(AND(OR(N143="Passed",N143="Not Applicable"),OR(O143="Passed",O143="Not Applicable"),OR(N143="Passed",O143="Passed")),"Initial Pass","Not Complete"))))</x:f>
        <x:v>Defect Found</x:v>
      </x:c>
      <x:c r="X143" s="58" t="str">
        <x:v>High-risk edge: an empty but “successful” 30-day payload deletes every local imported workout in that window; read anomalies before payload construction should never be treated as authoritative empty data. Shared emulator scenario: reuse the same run evidence as ACC-045.</x:v>
      </x:c>
      <x:c r="Y143" s="58" t="str">
        <x:f>IF(OR(N143="Not Run",O143="Not Run"),"Pending",IF(AND(OR(N143="Not Applicable",COUNTIFS('Test Runs'!$B$5:$B$2004,A143,'Test Runs'!$C$5:$C$2004,"Initial",'Test Runs'!$D$5:$D$2004,"iOS",'Test Runs'!$I$5:$I$2004,N143)&gt;0),OR(O143="Not Applicable",COUNTIFS('Test Runs'!$B$5:$B$2004,A143,'Test Runs'!$C$5:$C$2004,"Initial",'Test Runs'!$D$5:$D$2004,"Android",'Test Runs'!$I$5:$I$2004,O143)&gt;0)),"Reconciled","Mismatch"))</x:f>
        <x:v>Pending</x:v>
      </x:c>
      <x:c r="Z143" s="58" t="str">
        <x:f>IF(OR(T143="Not Run",U143="Not Run"),"Pending",IF(AND(OR(T143="Not Applicable",COUNTIFS('Test Runs'!$B$5:$B$2004,A143,'Test Runs'!$C$5:$C$2004,"Retest",'Test Runs'!$D$5:$D$2004,"iOS",'Test Runs'!$I$5:$I$2004,T143)&gt;0),OR(U143="Not Applicable",COUNTIFS('Test Runs'!$B$5:$B$2004,A143,'Test Runs'!$C$5:$C$2004,"Retest",'Test Runs'!$D$5:$D$2004,"Android",'Test Runs'!$I$5:$I$2004,U143)&gt;0)),"Reconciled","Mismatch"))</x:f>
        <x:v>Pending</x:v>
      </x:c>
    </x:row>
    <x:row r="144" ht="120" customHeight="1">
      <x:c r="A144" s="58" t="str">
        <x:v>HLT-058</x:v>
      </x:c>
      <x:c r="B144" s="58" t="str">
        <x:v>Health Connect automatic sync</x:v>
      </x:c>
      <x:c r="C144" s="58" t="str">
        <x:v>Android background scheduler</x:v>
      </x:c>
      <x:c r="D144" s="58" t="str">
        <x:v>As an Android user, I want health imports to happen without opening the app.</x:v>
      </x:c>
      <x:c r="E144" s="58" t="str">
        <x:v>Laravel schedules health-connect:sync every 10 minutes; Android background-task provider registers supported schedules and re-enqueues one-time work, while native Health Connect worker performs the read/import; signed-out state skips. Apple sync command is also scheduled but returns unsupported on Android.</x:v>
      </x:c>
      <x:c r="F144" s="58" t="str">
        <x:v>Android</x:v>
      </x:c>
      <x:c r="G144" s="58" t="str">
        <x:v>Connected HC, background permission, app backgrounded/terminated, signed-in then signed-out.</x:v>
      </x:c>
      <x:c r="H144" s="58" t="str">
        <x:v>N/A.</x:v>
      </x:c>
      <x:c r="I144" s="58" t="str">
        <x:v>Add health workout, background/terminate &gt;10 min, verify import/notificationless Today update; sign out and repeat to verify skip.</x:v>
      </x:c>
      <x:c r="J144" s="58" t="str">
        <x:v>Covered: BackgroundTaskScheduleTest.php and HealthConnectWorkerKeyTest.php structural scheduling; no elapsed-time device test.</x:v>
      </x:c>
      <x:c r="K144" s="58" t="str">
        <x:v>/Users/mason/Sites/Buff/routes/console.php:28-34; /Users/mason/Sites/Buff/native-plugins/background-tasks/src/BackgroundTasksServiceProvider.php:10-60; /Users/mason/Sites/Buff/native-plugins/background-tasks/src/ScheduledTaskRegistry.php:24-94; /Users/mason/Sites/Buff/app/Console/Commands/SyncHealthConnectWorkouts.php:15-35</x:v>
      </x:c>
      <x:c r="L144" s="58" t="str">
        <x:v>Mapped</x:v>
      </x:c>
      <x:c r="M144" s="58" t="str">
        <x:v>Ready</x:v>
      </x:c>
      <x:c r="N144" s="58" t="str">
        <x:v>Not Applicable</x:v>
      </x:c>
      <x:c r="O144" s="58" t="str">
        <x:v>Failed</x:v>
      </x:c>
      <x:c r="P144" s="58" t="str">
        <x:v>Android: /Users/mason/.codex/visualizations/2026/09/01/01a05def-1c0d-76d1-abc6-07c63a443582/emulator-runs/initial/android-guest/dom-observations-batch-018.json — The two registered ten-minute ScheduledTaskWorker IDs repeatedly entered NativePHP as background-task:run &lt;id&gt;, then failed with 'Not enough arguments (missing: "task")' before health-connect:sync or apple-health:sync could execute. Source tracing confirmed the runtime loses the positional task binding.</x:v>
      </x:c>
      <x:c r="Q144" s="58" t="str">
        <x:v>DEF-056</x:v>
      </x:c>
      <x:c r="R144" s="58" t="str">
        <x:v>Fixed</x:v>
      </x:c>
      <x:c r="S144" s="58" t="str"/>
      <x:c r="T144" s="58" t="str">
        <x:v>Not Applicable</x:v>
      </x:c>
      <x:c r="U144" s="58" t="str">
        <x:v>Blocked</x:v>
      </x:c>
      <x:c r="V144" s="58" t="str">
        <x:v>Android: /Users/mason/.codex/visualizations/2026/09/06/01a07722-2d43-7910-aa74-f3a7d9489dc2/release-qa/DEF-056-natural-background.log
/Users/mason/.codex/visualizations/2026/09/06/01a07722-2d43-7910-aa74-f3a7d9489dc2/release-qa/DEF-058-native-import-and-deletion.log — Observed both existing owner-user scheduled tasks execute naturally at18:58:59, without forcing jobs or changing owner data. Each native ephemeral call used --task and --result, emitted the exact BUFF_BACKGROUND_TASK_OK marker and finished WorkManager SUCCESS; no missing task error. QA-user registration is not covered by this narrow argument regression.</x:v>
      </x:c>
      <x:c r="W144" s="58" t="str">
        <x:f>IF(AND(OR(N144="Passed",N144="Failed",N144="Not Applicable"),OR(O144="Passed",O144="Failed",O144="Not Applicable"),OR(N144="Passed",N144="Failed",O144="Passed",O144="Failed"),OR(T144="Passed",T144="Not Applicable"),OR(U144="Passed",U144="Not Applicable"),OR(T144="Passed",U144="Passed"),Y144="Reconciled",Z144="Reconciled",IF(Q144&lt;&gt;"",R144="Fixed",TRUE)),"Verified",IF(OR(T144="Failed",U144="Failed"),"Retest Failed",IF(OR(N144="Failed",O144="Failed",Q144&lt;&gt;""),"Defect Found",IF(AND(OR(N144="Passed",N144="Not Applicable"),OR(O144="Passed",O144="Not Applicable"),OR(N144="Passed",O144="Passed")),"Initial Pass","Not Complete"))))</x:f>
        <x:v>Defect Found</x:v>
      </x:c>
      <x:c r="X144" s="58" t="str">
        <x:v>Risk: mobile OS scheduling is inexact; a user-visible “every 10 minutes” expectation would be too strong. Shared emulator scenario: reuse the same run evidence as ACC-045.</x:v>
      </x:c>
      <x:c r="Y144" s="58" t="str">
        <x:f>IF(OR(N144="Not Run",O144="Not Run"),"Pending",IF(AND(OR(N144="Not Applicable",COUNTIFS('Test Runs'!$B$5:$B$2004,A144,'Test Runs'!$C$5:$C$2004,"Initial",'Test Runs'!$D$5:$D$2004,"iOS",'Test Runs'!$I$5:$I$2004,N144)&gt;0),OR(O144="Not Applicable",COUNTIFS('Test Runs'!$B$5:$B$2004,A144,'Test Runs'!$C$5:$C$2004,"Initial",'Test Runs'!$D$5:$D$2004,"Android",'Test Runs'!$I$5:$I$2004,O144)&gt;0)),"Reconciled","Mismatch"))</x:f>
        <x:v>Reconciled</x:v>
      </x:c>
      <x:c r="Z144" s="58" t="str">
        <x:f>IF(OR(T144="Not Run",U144="Not Run"),"Pending",IF(AND(OR(T144="Not Applicable",COUNTIFS('Test Runs'!$B$5:$B$2004,A144,'Test Runs'!$C$5:$C$2004,"Retest",'Test Runs'!$D$5:$D$2004,"iOS",'Test Runs'!$I$5:$I$2004,T144)&gt;0),OR(U144="Not Applicable",COUNTIFS('Test Runs'!$B$5:$B$2004,A144,'Test Runs'!$C$5:$C$2004,"Retest",'Test Runs'!$D$5:$D$2004,"Android",'Test Runs'!$I$5:$I$2004,U144)&gt;0)),"Reconciled","Mismatch"))</x:f>
        <x:v>Reconciled</x:v>
      </x:c>
    </x:row>
    <x:row r="145" ht="120" customHeight="1">
      <x:c r="A145" s="58" t="str">
        <x:v>HLT-059</x:v>
      </x:c>
      <x:c r="B145" s="58" t="str">
        <x:v>Health Connect disconnect</x:v>
      </x:c>
      <x:c r="C145" s="58" t="str">
        <x:v>Settings -&gt; Health -&gt; Disconnect Health Connect</x:v>
      </x:c>
      <x:c r="D145" s="58" t="str">
        <x:v>As an Android user, I want to disconnect and later reconnect Health Connect.</x:v>
      </x:c>
      <x:c r="E145" s="58" t="str">
        <x:v>Disconnect is offered only when foreground/background grant is known; native revokes all permissions, marks an in-memory revoked-until-restart guard, and reports permission_required/disconnected; the next foreground grant clears the guard, then background may be requested; existing imported workouts are not deleted merely by disconnect.</x:v>
      </x:c>
      <x:c r="F145" s="58" t="str">
        <x:v>Android</x:v>
      </x:c>
      <x:c r="G145" s="58" t="str">
        <x:v>Connected HC with imported workout.</x:v>
      </x:c>
      <x:c r="H145" s="58" t="str">
        <x:v>N/A.</x:v>
      </x:c>
      <x:c r="I145" s="58" t="str">
        <x:v>Disconnect, verify OS grants revoked/status/imported row remains; restart; reconnect foreground/background and sync.</x:v>
      </x:c>
      <x:c r="J145" s="58" t="str">
        <x:v>Covered: HealthConnectSyncTest.php revoke; HealthConnectWorkerKeyTest.php disconnect control.</x:v>
      </x:c>
      <x:c r="K145" s="58" t="str">
        <x:v>/Users/mason/Sites/Buff/resources/js/Pages/Settings/Health.vue:64-69, :151-162, :239-246; /Users/mason/Sites/Buff/native-plugins/health-connect/resources/android/src/com/buff/healthconnect/HealthConnectFunctions.kt:74-89; /Users/mason/Sites/Buff/native-plugins/health-connect/resources/android/src/com/buff/healthconnect/HealthConnectPlugin.kt:15-20, :115-121</x:v>
      </x:c>
      <x:c r="L145" s="58" t="str">
        <x:v>Mapped</x:v>
      </x:c>
      <x:c r="M145" s="58" t="str">
        <x:v>Ready</x:v>
      </x:c>
      <x:c r="N145" s="58" t="str">
        <x:v>Not Applicable</x:v>
      </x:c>
      <x:c r="O145" s="58" t="str">
        <x:v>Passed</x:v>
      </x:c>
      <x:c r="P145" s="58" t="str">
        <x:v>Android: /Users/mason/.codex/visualizations/2026/09/01/01a05def-1c0d-76d1-abc6-07c63a443582/emulator-runs/initial/android-guest/dom-observations-batch-019.json — Disconnect revoked access, removed the relevant controls/queued-work affordances, and remained permission_required after restart. Imported-row retention could not be verified because the store contained no genuine imported workout.
Android: /Users/mason/.codex/visualizations/2026/09/01/01a05def-1c0d-76d1-abc6-07c63a443582/emulator-runs/initial/android/HLT-059-disconnect-reconnect-observations.json
/Users/mason/.codex/visualizations/2026/09/01/01a05def-1c0d-76d1-abc6-07c63a443582/emulator-runs/initial/android/HLT-059-health-connected-genuine-import.png
/Users/mason/.codex/visualizations/2026/09/01/01a05def-1c0d-76d1-abc6-07c63a443582/emulator-runs/initial/android/HLT-059-disconnected-import-retained.png
/Users/mason/.codex/visualizations/2026/09/01/01a05def-1c0d-76d1-abc6-07c63a443582/emulator-runs/initial/android/HLT-059-restart-disconnected-import-retained.png
/Users/mason/.codex/visualizations/2026/09/01/01a05def-1c0d-76d1-abc6-07c63a443582/emulator-runs/initial/android/HLT-059-reconnected-foreground-background.png — A genuine imported Health Connect row remained after Disconnect changed status to permission_required. After restart, exercise, total-calorie, active-calorie, and background OS grants were all false and the row still remained. Reconnect granted foreground and background access, returned connected with both grants true, and retained the row.</x:v>
      </x:c>
      <x:c r="Q145" s="58" t="str"/>
      <x:c r="R145" s="58" t="str">
        <x:v>Not Needed</x:v>
      </x:c>
      <x:c r="S145" s="58" t="str"/>
      <x:c r="T145" s="58" t="str">
        <x:v>Not Applicable</x:v>
      </x:c>
      <x:c r="U145" s="58" t="str">
        <x:v>Not Run</x:v>
      </x:c>
      <x:c r="V145" s="58" t="str"/>
      <x:c r="W145" s="58" t="str">
        <x:f>IF(AND(OR(N145="Passed",N145="Failed",N145="Not Applicable"),OR(O145="Passed",O145="Failed",O145="Not Applicable"),OR(N145="Passed",N145="Failed",O145="Passed",O145="Failed"),OR(T145="Passed",T145="Not Applicable"),OR(U145="Passed",U145="Not Applicable"),OR(T145="Passed",U145="Passed"),Y145="Reconciled",Z145="Reconciled",IF(Q145&lt;&gt;"",R145="Fixed",TRUE)),"Verified",IF(OR(T145="Failed",U145="Failed"),"Retest Failed",IF(OR(N145="Failed",O145="Failed",Q145&lt;&gt;""),"Defect Found",IF(AND(OR(N145="Passed",N145="Not Applicable"),OR(O145="Passed",O145="Not Applicable"),OR(N145="Passed",O145="Passed")),"Initial Pass","Not Complete"))))</x:f>
        <x:v>Initial Pass</x:v>
      </x:c>
      <x:c r="X145" s="58" t="str">
        <x:v>Risk: Settings connect/disconnect request failures have no catch/user-facing error; revoked guard is process-memory state and needs lifecycle testing. Shared emulator scenario: reuse the same run evidence as ACC-046.</x:v>
      </x:c>
      <x:c r="Y145" s="58" t="str">
        <x:f>IF(OR(N145="Not Run",O145="Not Run"),"Pending",IF(AND(OR(N145="Not Applicable",COUNTIFS('Test Runs'!$B$5:$B$2004,A145,'Test Runs'!$C$5:$C$2004,"Initial",'Test Runs'!$D$5:$D$2004,"iOS",'Test Runs'!$I$5:$I$2004,N145)&gt;0),OR(O145="Not Applicable",COUNTIFS('Test Runs'!$B$5:$B$2004,A145,'Test Runs'!$C$5:$C$2004,"Initial",'Test Runs'!$D$5:$D$2004,"Android",'Test Runs'!$I$5:$I$2004,O145)&gt;0)),"Reconciled","Mismatch"))</x:f>
        <x:v>Reconciled</x:v>
      </x:c>
      <x:c r="Z145" s="58" t="str">
        <x:f>IF(OR(T145="Not Run",U145="Not Run"),"Pending",IF(AND(OR(T145="Not Applicable",COUNTIFS('Test Runs'!$B$5:$B$2004,A145,'Test Runs'!$C$5:$C$2004,"Retest",'Test Runs'!$D$5:$D$2004,"iOS",'Test Runs'!$I$5:$I$2004,T145)&gt;0),OR(U145="Not Applicable",COUNTIFS('Test Runs'!$B$5:$B$2004,A145,'Test Runs'!$C$5:$C$2004,"Retest",'Test Runs'!$D$5:$D$2004,"Android",'Test Runs'!$I$5:$I$2004,U145)&gt;0)),"Reconciled","Mismatch"))</x:f>
        <x:v>Pending</x:v>
      </x:c>
    </x:row>
    <x:row r="146" ht="120" customHeight="1">
      <x:c r="A146" s="58" t="str">
        <x:v>HLT-060</x:v>
      </x:c>
      <x:c r="B146" s="58" t="str">
        <x:v>Health Connect failures</x:v>
      </x:c>
      <x:c r="C146" s="58" t="str">
        <x:v>Health sync failure paths</x:v>
      </x:c>
      <x:c r="D146" s="58" t="str">
        <x:v>As an Android user, I want failed health reads/imports reported and recoverable.</x:v>
      </x:c>
      <x:c r="E146" s="58" t="str">
        <x:v>PHP import exceptions persist last_error; native availability/permission skips stop safely, while Health Connect API/read/boot failures log and retry and may not update database detail. Exact import result markers prevent empty stdout from turning successful imports into retries. Health Settings catches action/status failures and shows current errors ahead of an older success timestamp. Today still does not render detailed health-error text.</x:v>
      </x:c>
      <x:c r="F146" s="58" t="str">
        <x:v>Android</x:v>
      </x:c>
      <x:c r="G146" s="58" t="str">
        <x:v>Revoke permission mid-worker, force HC API exception/PHP boot error/network failure after a prior success.</x:v>
      </x:c>
      <x:c r="H146" s="58" t="str">
        <x:v>N/A.</x:v>
      </x:c>
      <x:c r="I146" s="58" t="str">
        <x:v>After a prior success, trigger local status/connect/sync failure and a PHP import error; verify Settings shows the new error and recovery clears it. Force HC API/read/boot errors and inspect retry without unintended deletion. Confirm a successful marker ends the worker even with empty stdout.</x:v>
      </x:c>
      <x:c r="J146" s="58" t="str">
        <x:v>Partial: bridge malformed/error unit tests and import recordFailure paths; native read-error propagation not covered.</x:v>
      </x:c>
      <x:c r="K146" s="58" t="str">
        <x:v>/Users/mason/Sites/Buff/native-plugins/health-connect/resources/android/src/com/buff/healthconnect/HealthConnectSyncWorker.kt:32-58; /Users/mason/Sites/Buff/app/Services/HealthConnectWorkoutImporter.php:101-110; /Users/mason/Sites/Buff/resources/js/Pages/Today.vue:330-387, :770-796; /Users/mason/Sites/Buff/resources/js/Pages/Settings/Health.vue:79-94, :114-162</x:v>
      </x:c>
      <x:c r="L146" s="58" t="str">
        <x:v>Mapped</x:v>
      </x:c>
      <x:c r="M146" s="58" t="str">
        <x:v>Ready</x:v>
      </x:c>
      <x:c r="N146" s="58" t="str">
        <x:v>Not Applicable</x:v>
      </x:c>
      <x:c r="O146" s="58" t="str">
        <x:v>Failed</x:v>
      </x:c>
      <x:c r="P146" s="58" t="str">
        <x:v>Android: /Users/mason/.codex/visualizations/2026/09/01/01a05def-1c0d-76d1-abc6-07c63a443582/emulator-runs/initial/android-guest/dom-observations-batch-019.json
/Users/mason/.codex/visualizations/2026/09/01/01a05def-1c0d-76d1-abc6-07c63a443582/emulator-runs/initial/android-guest/HLT-055-health-connect-sync-queued-stuck.png — A committed import was treated as failed and retried because returned Artisan stdout was empty, while controlled status/connect/sync/disconnect request failures produced no visible error. Provider-absent/outdated, malformed bridge, and real-record recovery sub-branches remain fixture-blocked.</x:v>
      </x:c>
      <x:c r="Q146" s="58" t="str">
        <x:v>DEF-058
DEF-059</x:v>
      </x:c>
      <x:c r="R146" s="58" t="str">
        <x:v>In Progress</x:v>
      </x:c>
      <x:c r="S146" s="58" t="str"/>
      <x:c r="T146" s="58" t="str">
        <x:v>Not Applicable</x:v>
      </x:c>
      <x:c r="U146" s="58" t="str">
        <x:v>Not Run</x:v>
      </x:c>
      <x:c r="V146" s="58" t="str"/>
      <x:c r="W146" s="58" t="str">
        <x:f>IF(AND(OR(N146="Passed",N146="Failed",N146="Not Applicable"),OR(O146="Passed",O146="Failed",O146="Not Applicable"),OR(N146="Passed",N146="Failed",O146="Passed",O146="Failed"),OR(T146="Passed",T146="Not Applicable"),OR(U146="Passed",U146="Not Applicable"),OR(T146="Passed",U146="Passed"),Y146="Reconciled",Z146="Reconciled",IF(Q146&lt;&gt;"",R146="Fixed",TRUE)),"Verified",IF(OR(T146="Failed",U146="Failed"),"Retest Failed",IF(OR(N146="Failed",O146="Failed",Q146&lt;&gt;""),"Defect Found",IF(AND(OR(N146="Passed",N146="Not Applicable"),OR(O146="Passed",O146="Not Applicable"),OR(N146="Passed",O146="Passed")),"Initial Pass","Not Complete"))))</x:f>
        <x:v>Defect Found</x:v>
      </x:c>
      <x:c r="X146" s="58" t="str">
        <x:v>Likely defect: native worker failures are invisible to persisted sync state/UI, connect/sync network rejections can be unhandled promises, and a post-success error is hidden by display precedence. Shared emulator scenario: reuse the same run evidence as ACC-048.</x:v>
      </x:c>
      <x:c r="Y146" s="58" t="str">
        <x:f>IF(OR(N146="Not Run",O146="Not Run"),"Pending",IF(AND(OR(N146="Not Applicable",COUNTIFS('Test Runs'!$B$5:$B$2004,A146,'Test Runs'!$C$5:$C$2004,"Initial",'Test Runs'!$D$5:$D$2004,"iOS",'Test Runs'!$I$5:$I$2004,N146)&gt;0),OR(O146="Not Applicable",COUNTIFS('Test Runs'!$B$5:$B$2004,A146,'Test Runs'!$C$5:$C$2004,"Initial",'Test Runs'!$D$5:$D$2004,"Android",'Test Runs'!$I$5:$I$2004,O146)&gt;0)),"Reconciled","Mismatch"))</x:f>
        <x:v>Reconciled</x:v>
      </x:c>
      <x:c r="Z146" s="58" t="str">
        <x:f>IF(OR(T146="Not Run",U146="Not Run"),"Pending",IF(AND(OR(T146="Not Applicable",COUNTIFS('Test Runs'!$B$5:$B$2004,A146,'Test Runs'!$C$5:$C$2004,"Retest",'Test Runs'!$D$5:$D$2004,"iOS",'Test Runs'!$I$5:$I$2004,T146)&gt;0),OR(U146="Not Applicable",COUNTIFS('Test Runs'!$B$5:$B$2004,A146,'Test Runs'!$C$5:$C$2004,"Retest",'Test Runs'!$D$5:$D$2004,"Android",'Test Runs'!$I$5:$I$2004,U146)&gt;0)),"Reconciled","Mismatch"))</x:f>
        <x:v>Pending</x:v>
      </x:c>
    </x:row>
    <x:row r="147" ht="120" customHeight="1">
      <x:c r="A147" s="58" t="str">
        <x:v>HLT-061</x:v>
      </x:c>
      <x:c r="B147" s="58" t="str">
        <x:v>Apple Health authorization/status</x:v>
      </x:c>
      <x:c r="C147" s="58" t="str">
        <x:v>Settings/Today -&gt; Connect Apple Health</x:v>
      </x:c>
      <x:c r="D147" s="58" t="str">
        <x:v>As an iOS user, I want to connect Apple Health and see its state.</x:v>
      </x:c>
      <x:c r="E147" s="58" t="str">
        <x:v>Plugin requires HealthKit/read/background-delivery entitlements and read usage descriptions; it requests workout/active/basal energy read types with toShare=nil and never writes Health data; Connect returns unavailable if HealthKit absent, permission_requested on first request, or connected+queues sync if authorization was previously requested; status equates a UserDefaults “request completed” flag with foreground/background permission because HealthKit does not disclose read denial.</x:v>
      </x:c>
      <x:c r="F147" s="58" t="str">
        <x:v>iOS</x:v>
      </x:c>
      <x:c r="G147" s="58" t="str">
        <x:v>iOS Health data available; grant all, deny all, cancel/error cases.</x:v>
      </x:c>
      <x:c r="H147" s="58" t="str">
        <x:v>Run first connect for grant and denial; confirm Health permission sheet offers read access only; relaunch and inspect connected label/import results.</x:v>
      </x:c>
      <x:c r="I147" s="58" t="str">
        <x:v>N/A; verify Apple provider absent/off-platform unsupported.</x:v>
      </x:c>
      <x:c r="J147" s="58" t="str">
        <x:v>Partial: AppleHealthBridgeTest.php and AppleHealthPluginTest.php structural entitlements/runtime; no HealthKit permission UI test.</x:v>
      </x:c>
      <x:c r="K147" s="58" t="str">
        <x:v>/Users/mason/Sites/Buff/native-plugins/apple-health/nativephp.json:21-36; /Users/mason/Sites/Buff/native-plugins/apple-health/resources/ios/Sources/AppleHealthFunctions.swift:10-37; /Users/mason/Sites/Buff/native-plugins/apple-health/resources/ios/Sources/AppleHealthPlugin.swift:11-55, :296-307</x:v>
      </x:c>
      <x:c r="L147" s="58" t="str">
        <x:v>Mapped</x:v>
      </x:c>
      <x:c r="M147" s="58" t="str">
        <x:v>Ready</x:v>
      </x:c>
      <x:c r="N147" s="58" t="str">
        <x:v>Not Run</x:v>
      </x:c>
      <x:c r="O147" s="58" t="str">
        <x:v>Not Applicable</x:v>
      </x:c>
      <x:c r="P147" s="58" t="str"/>
      <x:c r="Q147" s="58" t="str"/>
      <x:c r="R147" s="58" t="str">
        <x:v>Not Needed</x:v>
      </x:c>
      <x:c r="S147" s="58" t="str"/>
      <x:c r="T147" s="58" t="str">
        <x:v>Not Run</x:v>
      </x:c>
      <x:c r="U147" s="58" t="str">
        <x:v>Not Applicable</x:v>
      </x:c>
      <x:c r="V147" s="58" t="str"/>
      <x:c r="W147" s="58" t="str">
        <x:f>IF(AND(OR(N147="Passed",N147="Failed",N147="Not Applicable"),OR(O147="Passed",O147="Failed",O147="Not Applicable"),OR(N147="Passed",N147="Failed",O147="Passed",O147="Failed"),OR(T147="Passed",T147="Not Applicable"),OR(U147="Passed",U147="Not Applicable"),OR(T147="Passed",U147="Passed"),Y147="Reconciled",Z147="Reconciled",IF(Q147&lt;&gt;"",R147="Fixed",TRUE)),"Verified",IF(OR(T147="Failed",U147="Failed"),"Retest Failed",IF(OR(N147="Failed",O147="Failed",Q147&lt;&gt;""),"Defect Found",IF(AND(OR(N147="Passed",N147="Not Applicable"),OR(O147="Passed",O147="Not Applicable"),OR(N147="Passed",O147="Passed")),"Initial Pass","Not Complete"))))</x:f>
        <x:v>Not Complete</x:v>
      </x:c>
      <x:c r="X147" s="58" t="str">
        <x:v>Platform limitation/risk: a completed authorization request can show “Connected” even when the user denied all read access, yielding zero imports without explanation. Shared emulator scenario: reuse the same run evidence as ACC-047.</x:v>
      </x:c>
      <x:c r="Y147" s="58" t="str">
        <x:f>IF(OR(N147="Not Run",O147="Not Run"),"Pending",IF(AND(OR(N147="Not Applicable",COUNTIFS('Test Runs'!$B$5:$B$2004,A147,'Test Runs'!$C$5:$C$2004,"Initial",'Test Runs'!$D$5:$D$2004,"iOS",'Test Runs'!$I$5:$I$2004,N147)&gt;0),OR(O147="Not Applicable",COUNTIFS('Test Runs'!$B$5:$B$2004,A147,'Test Runs'!$C$5:$C$2004,"Initial",'Test Runs'!$D$5:$D$2004,"Android",'Test Runs'!$I$5:$I$2004,O147)&gt;0)),"Reconciled","Mismatch"))</x:f>
        <x:v>Pending</x:v>
      </x:c>
      <x:c r="Z147" s="58" t="str">
        <x:f>IF(OR(T147="Not Run",U147="Not Run"),"Pending",IF(AND(OR(T147="Not Applicable",COUNTIFS('Test Runs'!$B$5:$B$2004,A147,'Test Runs'!$C$5:$C$2004,"Retest",'Test Runs'!$D$5:$D$2004,"iOS",'Test Runs'!$I$5:$I$2004,T147)&gt;0),OR(U147="Not Applicable",COUNTIFS('Test Runs'!$B$5:$B$2004,A147,'Test Runs'!$C$5:$C$2004,"Retest",'Test Runs'!$D$5:$D$2004,"Android",'Test Runs'!$I$5:$I$2004,U147)&gt;0)),"Reconciled","Mismatch"))</x:f>
        <x:v>Pending</x:v>
      </x:c>
    </x:row>
    <x:row r="148" ht="120" customHeight="1">
      <x:c r="A148" s="58" t="str">
        <x:v>HLT-062</x:v>
      </x:c>
      <x:c r="B148" s="58" t="str">
        <x:v>Apple Health manual sync</x:v>
      </x:c>
      <x:c r="C148" s="58" t="str">
        <x:v>Today Workouts or Settings -&gt; Sync now</x:v>
      </x:c>
      <x:c r="D148" s="58" t="str">
        <x:v>As an iOS user, I want Sync now to import recent workouts and refresh Today.</x:v>
      </x:c>
      <x:c r="E148" s="58" t="str">
        <x:v>Apple SyncNow requires the authorization-requested flag, queues serialized work and returns sync_queued; duplicate requests coalesce. Today and Settings both poll queued state. Today reloads when importer state changes, and Settings refreshes the queued label without requiring focus/visibility return.</x:v>
      </x:c>
      <x:c r="F148" s="58" t="str">
        <x:v>iOS</x:v>
      </x:c>
      <x:c r="G148" s="58" t="str">
        <x:v>Authorized HealthKit with a new and removed workout.</x:v>
      </x:c>
      <x:c r="H148" s="58" t="str">
        <x:v>Tap Sync repeatedly from Today and verify one import plus updated totals; repeat in Settings and verify queued state clears through polling without leaving the page.</x:v>
      </x:c>
      <x:c r="I148" s="58" t="str">
        <x:v>N/A.</x:v>
      </x:c>
      <x:c r="J148" s="58" t="str">
        <x:v>Covered: AppleHealthSyncTest.php queues native sync; AppleHealthImportTest.php import; shared Today refresh static test.</x:v>
      </x:c>
      <x:c r="K148" s="58" t="str">
        <x:v>/Users/mason/Sites/Buff/native-plugins/apple-health/resources/ios/Sources/AppleHealthFunctions.swift:40-59; /Users/mason/Sites/Buff/native-plugins/apple-health/resources/ios/Sources/AppleHealthPlugin.swift:85-100; /Users/mason/Sites/Buff/resources/js/Pages/Today.vue:346-446; /Users/mason/Sites/Buff/resources/js/Pages/Settings/Health.vue:103-208</x:v>
      </x:c>
      <x:c r="L148" s="58" t="str">
        <x:v>Mapped</x:v>
      </x:c>
      <x:c r="M148" s="58" t="str">
        <x:v>Ready</x:v>
      </x:c>
      <x:c r="N148" s="58" t="str">
        <x:v>Not Run</x:v>
      </x:c>
      <x:c r="O148" s="58" t="str">
        <x:v>Not Applicable</x:v>
      </x:c>
      <x:c r="P148" s="58" t="str"/>
      <x:c r="Q148" s="58" t="str"/>
      <x:c r="R148" s="58" t="str">
        <x:v>Not Needed</x:v>
      </x:c>
      <x:c r="S148" s="58" t="str"/>
      <x:c r="T148" s="58" t="str">
        <x:v>Not Run</x:v>
      </x:c>
      <x:c r="U148" s="58" t="str">
        <x:v>Not Applicable</x:v>
      </x:c>
      <x:c r="V148" s="58" t="str"/>
      <x:c r="W148" s="58" t="str">
        <x:f>IF(AND(OR(N148="Passed",N148="Failed",N148="Not Applicable"),OR(O148="Passed",O148="Failed",O148="Not Applicable"),OR(N148="Passed",N148="Failed",O148="Passed",O148="Failed"),OR(T148="Passed",T148="Not Applicable"),OR(U148="Passed",U148="Not Applicable"),OR(T148="Passed",U148="Passed"),Y148="Reconciled",Z148="Reconciled",IF(Q148&lt;&gt;"",R148="Fixed",TRUE)),"Verified",IF(OR(T148="Failed",U148="Failed"),"Retest Failed",IF(OR(N148="Failed",O148="Failed",Q148&lt;&gt;""),"Defect Found",IF(AND(OR(N148="Passed",N148="Not Applicable"),OR(O148="Passed",O148="Not Applicable"),OR(N148="Passed",O148="Passed")),"Initial Pass","Not Complete"))))</x:f>
        <x:v>Not Complete</x:v>
      </x:c>
      <x:c r="X148" s="58" t="str">
        <x:v>Confirmed UX gap: Settings does not poll sync_queued; native queued state is also ephemeral while import work can still be running. Shared emulator scenario: reuse the same run evidence as ACC-047 / ACC-048.</x:v>
      </x:c>
      <x:c r="Y148" s="58" t="str">
        <x:f>IF(OR(N148="Not Run",O148="Not Run"),"Pending",IF(AND(OR(N148="Not Applicable",COUNTIFS('Test Runs'!$B$5:$B$2004,A148,'Test Runs'!$C$5:$C$2004,"Initial",'Test Runs'!$D$5:$D$2004,"iOS",'Test Runs'!$I$5:$I$2004,N148)&gt;0),OR(O148="Not Applicable",COUNTIFS('Test Runs'!$B$5:$B$2004,A148,'Test Runs'!$C$5:$C$2004,"Initial",'Test Runs'!$D$5:$D$2004,"Android",'Test Runs'!$I$5:$I$2004,O148)&gt;0)),"Reconciled","Mismatch"))</x:f>
        <x:v>Pending</x:v>
      </x:c>
      <x:c r="Z148" s="58" t="str">
        <x:f>IF(OR(T148="Not Run",U148="Not Run"),"Pending",IF(AND(OR(T148="Not Applicable",COUNTIFS('Test Runs'!$B$5:$B$2004,A148,'Test Runs'!$C$5:$C$2004,"Retest",'Test Runs'!$D$5:$D$2004,"iOS",'Test Runs'!$I$5:$I$2004,T148)&gt;0),OR(U148="Not Applicable",COUNTIFS('Test Runs'!$B$5:$B$2004,A148,'Test Runs'!$C$5:$C$2004,"Retest",'Test Runs'!$D$5:$D$2004,"Android",'Test Runs'!$I$5:$I$2004,U148)&gt;0)),"Reconciled","Mismatch"))</x:f>
        <x:v>Pending</x:v>
      </x:c>
    </x:row>
    <x:row r="149" ht="120" customHeight="1">
      <x:c r="A149" s="58" t="str">
        <x:v>HLT-063</x:v>
      </x:c>
      <x:c r="B149" s="58" t="str">
        <x:v>Apple Health background observer</x:v>
      </x:c>
      <x:c r="C149" s="58" t="str">
        <x:v>AppleHealthPlugin.startObserving</x:v>
      </x:c>
      <x:c r="D149" s="58" t="str">
        <x:v>As an iOS user, I want new Health workouts imported in the background.</x:v>
      </x:c>
      <x:c r="E149" s="58" t="str">
        <x:v>Native init starts observing only after prior authorization; it enables immediate HealthKit workout background delivery, installs one observer, queues sync on start and each update, calls completion even on observer error, and serializes duplicate work. General Laravel background-task registration is Android-only; Apple relies on HealthKit delivery.</x:v>
      </x:c>
      <x:c r="F149" s="58" t="str">
        <x:v>iOS</x:v>
      </x:c>
      <x:c r="G149" s="58" t="str">
        <x:v>Authorized app; background delivery enabled; workout added while backgrounded/terminated.</x:v>
      </x:c>
      <x:c r="H149" s="58" t="str">
        <x:v>Add workout in Health while Buff foreground/background/terminated; reopen and verify import; deny background delivery and observe behavior.</x:v>
      </x:c>
      <x:c r="I149" s="58" t="str">
        <x:v>N/A.</x:v>
      </x:c>
      <x:c r="J149" s="58" t="str">
        <x:v>Partial: AppleHealthPluginTest.php structural observer/background runtime; no real HealthKit background test.</x:v>
      </x:c>
      <x:c r="K149" s="58" t="str">
        <x:v>/Users/mason/Sites/Buff/native-plugins/apple-health/nativephp.json:25-35; /Users/mason/Sites/Buff/native-plugins/apple-health/resources/ios/Sources/AppleHealthPlugin.swift:58-113</x:v>
      </x:c>
      <x:c r="L149" s="58" t="str">
        <x:v>Mapped</x:v>
      </x:c>
      <x:c r="M149" s="58" t="str">
        <x:v>Ready</x:v>
      </x:c>
      <x:c r="N149" s="58" t="str">
        <x:v>Not Run</x:v>
      </x:c>
      <x:c r="O149" s="58" t="str">
        <x:v>Not Applicable</x:v>
      </x:c>
      <x:c r="P149" s="58" t="str"/>
      <x:c r="Q149" s="58" t="str"/>
      <x:c r="R149" s="58" t="str">
        <x:v>Not Needed</x:v>
      </x:c>
      <x:c r="S149" s="58" t="str"/>
      <x:c r="T149" s="58" t="str">
        <x:v>Not Run</x:v>
      </x:c>
      <x:c r="U149" s="58" t="str">
        <x:v>Not Applicable</x:v>
      </x:c>
      <x:c r="V149" s="58" t="str"/>
      <x:c r="W149" s="58" t="str">
        <x:f>IF(AND(OR(N149="Passed",N149="Failed",N149="Not Applicable"),OR(O149="Passed",O149="Failed",O149="Not Applicable"),OR(N149="Passed",N149="Failed",O149="Passed",O149="Failed"),OR(T149="Passed",T149="Not Applicable"),OR(U149="Passed",U149="Not Applicable"),OR(T149="Passed",U149="Passed"),Y149="Reconciled",Z149="Reconciled",IF(Q149&lt;&gt;"",R149="Fixed",TRUE)),"Verified",IF(OR(T149="Failed",U149="Failed"),"Retest Failed",IF(OR(N149="Failed",O149="Failed",Q149&lt;&gt;""),"Defect Found",IF(AND(OR(N149="Passed",N149="Not Applicable"),OR(O149="Passed",O149="Not Applicable"),OR(N149="Passed",O149="Passed")),"Initial Pass","Not Complete"))))</x:f>
        <x:v>Not Complete</x:v>
      </x:c>
      <x:c r="X149" s="58" t="str">
        <x:v>Risk: observer/background-delivery errors are log-only and never persisted/displayed. Shared emulator scenario: reuse the same run evidence as ACC-047.</x:v>
      </x:c>
      <x:c r="Y149" s="58" t="str">
        <x:f>IF(OR(N149="Not Run",O149="Not Run"),"Pending",IF(AND(OR(N149="Not Applicable",COUNTIFS('Test Runs'!$B$5:$B$2004,A149,'Test Runs'!$C$5:$C$2004,"Initial",'Test Runs'!$D$5:$D$2004,"iOS",'Test Runs'!$I$5:$I$2004,N149)&gt;0),OR(O149="Not Applicable",COUNTIFS('Test Runs'!$B$5:$B$2004,A149,'Test Runs'!$C$5:$C$2004,"Initial",'Test Runs'!$D$5:$D$2004,"Android",'Test Runs'!$I$5:$I$2004,O149)&gt;0)),"Reconciled","Mismatch"))</x:f>
        <x:v>Pending</x:v>
      </x:c>
      <x:c r="Z149" s="58" t="str">
        <x:f>IF(OR(T149="Not Run",U149="Not Run"),"Pending",IF(AND(OR(T149="Not Applicable",COUNTIFS('Test Runs'!$B$5:$B$2004,A149,'Test Runs'!$C$5:$C$2004,"Retest",'Test Runs'!$D$5:$D$2004,"iOS",'Test Runs'!$I$5:$I$2004,T149)&gt;0),OR(U149="Not Applicable",COUNTIFS('Test Runs'!$B$5:$B$2004,A149,'Test Runs'!$C$5:$C$2004,"Retest",'Test Runs'!$D$5:$D$2004,"Android",'Test Runs'!$I$5:$I$2004,U149)&gt;0)),"Reconciled","Mismatch"))</x:f>
        <x:v>Pending</x:v>
      </x:c>
    </x:row>
    <x:row r="150" ht="120" customHeight="1">
      <x:c r="A150" s="58" t="str">
        <x:v>HLT-064</x:v>
      </x:c>
      <x:c r="B150" s="58" t="str">
        <x:v>Apple Health record import</x:v>
      </x:c>
      <x:c r="C150" s="58" t="str">
        <x:v>AppleHealthPlugin.readPayload/workoutJSON</x:v>
      </x:c>
      <x:c r="D150" s="58" t="str">
        <x:v>As an iOS user, I want recent positive-calorie workouts imported with recognizable names.</x:v>
      </x:c>
      <x:c r="E150" s="58" t="str">
        <x:v>Reads workouts whose start is in rolling 30 days, sorted ascending; calorie priority is workout.totalEnergyBurned, workout active-energy statistics, then active-energy query (10s); skips &lt;1; maps common activity types to Run/Cycling/Strength/Walk/Swim/Hike/Yoga/Core/Elliptical/Row/Stairs/HIIT/Cardio, stores local date, timestamps, duration, source name/package, and stable workout UUID.</x:v>
      </x:c>
      <x:c r="F150" s="58" t="str">
        <x:v>iOS</x:v>
      </x:c>
      <x:c r="G150" s="58" t="str">
        <x:v>HealthKit workouts across types, time zones, with total/statistics/fallback/no energy and older than 30 days.</x:v>
      </x:c>
      <x:c r="H150" s="58" t="str">
        <x:v>Seed HealthKit data and sync; verify names, calorie priority, local date/DST, skips and 30-day boundary.</x:v>
      </x:c>
      <x:c r="I150" s="58" t="str">
        <x:v>N/A.</x:v>
      </x:c>
      <x:c r="J150" s="58" t="str">
        <x:v>Partial: PHP AppleHealthImportTest.php normalized payload; native mapping/query has only structural AppleHealthPluginTest.php.</x:v>
      </x:c>
      <x:c r="K150" s="58" t="str">
        <x:v>/Users/mason/Sites/Buff/native-plugins/apple-health/resources/ios/Sources/AppleHealthPlugin.swift:115-281, :325-357</x:v>
      </x:c>
      <x:c r="L150" s="58" t="str">
        <x:v>Mapped</x:v>
      </x:c>
      <x:c r="M150" s="58" t="str">
        <x:v>Ready</x:v>
      </x:c>
      <x:c r="N150" s="58" t="str">
        <x:v>Not Run</x:v>
      </x:c>
      <x:c r="O150" s="58" t="str">
        <x:v>Not Applicable</x:v>
      </x:c>
      <x:c r="P150" s="58" t="str"/>
      <x:c r="Q150" s="58" t="str"/>
      <x:c r="R150" s="58" t="str">
        <x:v>Not Needed</x:v>
      </x:c>
      <x:c r="S150" s="58" t="str"/>
      <x:c r="T150" s="58" t="str">
        <x:v>Not Run</x:v>
      </x:c>
      <x:c r="U150" s="58" t="str">
        <x:v>Not Applicable</x:v>
      </x:c>
      <x:c r="V150" s="58" t="str"/>
      <x:c r="W150" s="58" t="str">
        <x:f>IF(AND(OR(N150="Passed",N150="Failed",N150="Not Applicable"),OR(O150="Passed",O150="Failed",O150="Not Applicable"),OR(N150="Passed",N150="Failed",O150="Passed",O150="Failed"),OR(T150="Passed",T150="Not Applicable"),OR(U150="Passed",U150="Not Applicable"),OR(T150="Passed",U150="Passed"),Y150="Reconciled",Z150="Reconciled",IF(Q150&lt;&gt;"",R150="Fixed",TRUE)),"Verified",IF(OR(T150="Failed",U150="Failed"),"Retest Failed",IF(OR(N150="Failed",O150="Failed",Q150&lt;&gt;""),"Defect Found",IF(AND(OR(N150="Passed",N150="Not Applicable"),OR(O150="Passed",O150="Not Applicable"),OR(N150="Passed",O150="Passed")),"Initial Pass","Not Complete"))))</x:f>
        <x:v>Not Complete</x:v>
      </x:c>
      <x:c r="X150" s="58" t="str">
        <x:v>Risk: fallback active-energy query ignores query errors/timeouts and returns zero, silently dropping the workout; basal-energy permission is requested but unused. Shared emulator scenario: reuse the same run evidence as ACC-047.</x:v>
      </x:c>
      <x:c r="Y150" s="58" t="str">
        <x:f>IF(OR(N150="Not Run",O150="Not Run"),"Pending",IF(AND(OR(N150="Not Applicable",COUNTIFS('Test Runs'!$B$5:$B$2004,A150,'Test Runs'!$C$5:$C$2004,"Initial",'Test Runs'!$D$5:$D$2004,"iOS",'Test Runs'!$I$5:$I$2004,N150)&gt;0),OR(O150="Not Applicable",COUNTIFS('Test Runs'!$B$5:$B$2004,A150,'Test Runs'!$C$5:$C$2004,"Initial",'Test Runs'!$D$5:$D$2004,"Android",'Test Runs'!$I$5:$I$2004,O150)&gt;0)),"Reconciled","Mismatch"))</x:f>
        <x:v>Pending</x:v>
      </x:c>
      <x:c r="Z150" s="58" t="str">
        <x:f>IF(OR(T150="Not Run",U150="Not Run"),"Pending",IF(AND(OR(T150="Not Applicable",COUNTIFS('Test Runs'!$B$5:$B$2004,A150,'Test Runs'!$C$5:$C$2004,"Retest",'Test Runs'!$D$5:$D$2004,"iOS",'Test Runs'!$I$5:$I$2004,T150)&gt;0),OR(U150="Not Applicable",COUNTIFS('Test Runs'!$B$5:$B$2004,A150,'Test Runs'!$C$5:$C$2004,"Retest",'Test Runs'!$D$5:$D$2004,"Android",'Test Runs'!$I$5:$I$2004,U150)&gt;0)),"Reconciled","Mismatch"))</x:f>
        <x:v>Pending</x:v>
      </x:c>
    </x:row>
    <x:row r="151" ht="120" customHeight="1">
      <x:c r="A151" s="58" t="str">
        <x:v>HLT-065</x:v>
      </x:c>
      <x:c r="B151" s="58" t="str">
        <x:v>Apple Health reconciliation and ignores</x:v>
      </x:c>
      <x:c r="C151" s="58" t="str">
        <x:v>Apple health import -&gt; shared importer</x:v>
      </x:c>
      <x:c r="D151" s="58" t="str">
        <x:v>As an iOS user, I want source deletions reflected while preserving manual edits/deletes.</x:v>
      </x:c>
      <x:c r="E151" s="58" t="str">
        <x:v>Apple payload uses the shared importer with source_type apple_health; stable UUIDs update existing rows, absent IDs inside window delete imported rows, and source-scoped ignore records prevent locally edited/deleted Apple workouts from reappearing without affecting HC records of same ID.</x:v>
      </x:c>
      <x:c r="F151" s="58" t="str">
        <x:v>iOS</x:v>
      </x:c>
      <x:c r="G151" s="58" t="str">
        <x:v>Imported Apple workout; edit/delete; same ID HC record; source deletion.</x:v>
      </x:c>
      <x:c r="H151" s="58" t="str">
        <x:v>Edit/delete imported workout, sync again, verify persistence and source scoping; remove workout in Health and verify untouched imported row deletes.</x:v>
      </x:c>
      <x:c r="I151" s="58" t="str">
        <x:v>N/A.</x:v>
      </x:c>
      <x:c r="J151" s="58" t="str">
        <x:v>Covered: AppleHealthImportTest.php all import/ignore/delete cases; shared importer tests.</x:v>
      </x:c>
      <x:c r="K151" s="58" t="str">
        <x:v>/Users/mason/Sites/Buff/app/Console/Commands/ImportAppleHealthWorkouts.php:20-48; /Users/mason/Sites/Buff/app/Services/HealthConnectWorkoutImporter.php:13-99; /Users/mason/Sites/Buff/app/Http/Controllers/WorkoutController.php:69-79</x:v>
      </x:c>
      <x:c r="L151" s="58" t="str">
        <x:v>Mapped</x:v>
      </x:c>
      <x:c r="M151" s="58" t="str">
        <x:v>Ready</x:v>
      </x:c>
      <x:c r="N151" s="58" t="str">
        <x:v>Not Run</x:v>
      </x:c>
      <x:c r="O151" s="58" t="str">
        <x:v>Not Applicable</x:v>
      </x:c>
      <x:c r="P151" s="58" t="str"/>
      <x:c r="Q151" s="58" t="str"/>
      <x:c r="R151" s="58" t="str">
        <x:v>Not Needed</x:v>
      </x:c>
      <x:c r="S151" s="58" t="str"/>
      <x:c r="T151" s="58" t="str">
        <x:v>Not Run</x:v>
      </x:c>
      <x:c r="U151" s="58" t="str">
        <x:v>Not Applicable</x:v>
      </x:c>
      <x:c r="V151" s="58" t="str"/>
      <x:c r="W151" s="58" t="str">
        <x:f>IF(AND(OR(N151="Passed",N151="Failed",N151="Not Applicable"),OR(O151="Passed",O151="Failed",O151="Not Applicable"),OR(N151="Passed",N151="Failed",O151="Passed",O151="Failed"),OR(T151="Passed",T151="Not Applicable"),OR(U151="Passed",U151="Not Applicable"),OR(T151="Passed",U151="Passed"),Y151="Reconciled",Z151="Reconciled",IF(Q151&lt;&gt;"",R151="Fixed",TRUE)),"Verified",IF(OR(T151="Failed",U151="Failed"),"Retest Failed",IF(OR(N151="Failed",O151="Failed",Q151&lt;&gt;""),"Defect Found",IF(AND(OR(N151="Passed",N151="Not Applicable"),OR(O151="Passed",O151="Not Applicable"),OR(N151="Passed",O151="Passed")),"Initial Pass","Not Complete"))))</x:f>
        <x:v>Not Complete</x:v>
      </x:c>
      <x:c r="X151" s="58" t="str">
        <x:v>Same empty-authoritative-payload deletion risk as HLT-057. Shared emulator scenario: reuse the same run evidence as ACC-047.</x:v>
      </x:c>
      <x:c r="Y151" s="58" t="str">
        <x:f>IF(OR(N151="Not Run",O151="Not Run"),"Pending",IF(AND(OR(N151="Not Applicable",COUNTIFS('Test Runs'!$B$5:$B$2004,A151,'Test Runs'!$C$5:$C$2004,"Initial",'Test Runs'!$D$5:$D$2004,"iOS",'Test Runs'!$I$5:$I$2004,N151)&gt;0),OR(O151="Not Applicable",COUNTIFS('Test Runs'!$B$5:$B$2004,A151,'Test Runs'!$C$5:$C$2004,"Initial",'Test Runs'!$D$5:$D$2004,"Android",'Test Runs'!$I$5:$I$2004,O151)&gt;0)),"Reconciled","Mismatch"))</x:f>
        <x:v>Pending</x:v>
      </x:c>
      <x:c r="Z151" s="58" t="str">
        <x:f>IF(OR(T151="Not Run",U151="Not Run"),"Pending",IF(AND(OR(T151="Not Applicable",COUNTIFS('Test Runs'!$B$5:$B$2004,A151,'Test Runs'!$C$5:$C$2004,"Retest",'Test Runs'!$D$5:$D$2004,"iOS",'Test Runs'!$I$5:$I$2004,T151)&gt;0),OR(U151="Not Applicable",COUNTIFS('Test Runs'!$B$5:$B$2004,A151,'Test Runs'!$C$5:$C$2004,"Retest",'Test Runs'!$D$5:$D$2004,"Android",'Test Runs'!$I$5:$I$2004,U151)&gt;0)),"Reconciled","Mismatch"))</x:f>
        <x:v>Pending</x:v>
      </x:c>
    </x:row>
    <x:row r="152" ht="120" customHeight="1">
      <x:c r="A152" s="58" t="str">
        <x:v>HLT-066</x:v>
      </x:c>
      <x:c r="B152" s="58" t="str">
        <x:v>Apple Health failures and disconnect</x:v>
      </x:c>
      <x:c r="C152" s="58" t="str">
        <x:v>Settings -&gt; Apple Health failure states</x:v>
      </x:c>
      <x:c r="D152" s="58" t="str">
        <x:v>As an iOS user, I want health failures explained and connection control predictable.</x:v>
      </x:c>
      <x:c r="E152" s="58" t="str">
        <x:v>Apple has no Buff disconnect control and its requested flag cannot be reset in-app. Authorization/observer/background-delivery/query/native-sync errors mostly log natively; persisted last_error updates when the PHP import command throws. Settings catches local action/status failures and displays a newer persisted error before an older last-success timestamp. Recovery of OS read permissions remains in iOS Settings.</x:v>
      </x:c>
      <x:c r="F152" s="58" t="str">
        <x:v>iOS</x:v>
      </x:c>
      <x:c r="G152" s="58" t="str">
        <x:v>Prior successful sync, then HealthKit query timeout/error; user wants disconnect/re-authorize.</x:v>
      </x:c>
      <x:c r="H152" s="58" t="str">
        <x:v>Force later failure after success; verify displayed detail; try to disconnect/reopen permission flow from Buff; recover via iOS Settings.</x:v>
      </x:c>
      <x:c r="I152" s="58" t="str">
        <x:v>N/A.</x:v>
      </x:c>
      <x:c r="J152" s="58" t="str">
        <x:v>No focused automated test for disconnect absence, error precedence, or native failure persistence.</x:v>
      </x:c>
      <x:c r="K152" s="58" t="str">
        <x:v>/Users/mason/Sites/Buff/routes/web.php:115-117; /Users/mason/Sites/Buff/native-plugins/apple-health/resources/ios/Sources/AppleHealthPlugin.swift:34-55, :69-113, :168-194; /Users/mason/Sites/Buff/resources/js/Pages/Settings/Health.vue:79-94</x:v>
      </x:c>
      <x:c r="L152" s="58" t="str">
        <x:v>Mapped</x:v>
      </x:c>
      <x:c r="M152" s="58" t="str">
        <x:v>Ready</x:v>
      </x:c>
      <x:c r="N152" s="58" t="str">
        <x:v>Not Run</x:v>
      </x:c>
      <x:c r="O152" s="58" t="str">
        <x:v>Not Applicable</x:v>
      </x:c>
      <x:c r="P152" s="58" t="str"/>
      <x:c r="Q152" s="58" t="str"/>
      <x:c r="R152" s="58" t="str">
        <x:v>Not Needed</x:v>
      </x:c>
      <x:c r="S152" s="58" t="str"/>
      <x:c r="T152" s="58" t="str">
        <x:v>Not Run</x:v>
      </x:c>
      <x:c r="U152" s="58" t="str">
        <x:v>Not Applicable</x:v>
      </x:c>
      <x:c r="V152" s="58" t="str"/>
      <x:c r="W152" s="58" t="str">
        <x:f>IF(AND(OR(N152="Passed",N152="Failed",N152="Not Applicable"),OR(O152="Passed",O152="Failed",O152="Not Applicable"),OR(N152="Passed",N152="Failed",O152="Passed",O152="Failed"),OR(T152="Passed",T152="Not Applicable"),OR(U152="Passed",U152="Not Applicable"),OR(T152="Passed",U152="Passed"),Y152="Reconciled",Z152="Reconciled",IF(Q152&lt;&gt;"",R152="Fixed",TRUE)),"Verified",IF(OR(T152="Failed",U152="Failed"),"Retest Failed",IF(OR(N152="Failed",O152="Failed",Q152&lt;&gt;""),"Defect Found",IF(AND(OR(N152="Passed",N152="Not Applicable"),OR(O152="Passed",O152="Not Applicable"),OR(N152="Passed",O152="Passed")),"Initial Pass","Not Complete"))))</x:f>
        <x:v>Not Complete</x:v>
      </x:c>
      <x:c r="X152" s="58" t="str">
        <x:v>Likely UX defects: no disconnect/re-authorize path; post-success errors are hidden by display precedence; many native failures never reach last_error. Shared emulator scenario: reuse the same run evidence as ACC-048.</x:v>
      </x:c>
      <x:c r="Y152" s="58" t="str">
        <x:f>IF(OR(N152="Not Run",O152="Not Run"),"Pending",IF(AND(OR(N152="Not Applicable",COUNTIFS('Test Runs'!$B$5:$B$2004,A152,'Test Runs'!$C$5:$C$2004,"Initial",'Test Runs'!$D$5:$D$2004,"iOS",'Test Runs'!$I$5:$I$2004,N152)&gt;0),OR(O152="Not Applicable",COUNTIFS('Test Runs'!$B$5:$B$2004,A152,'Test Runs'!$C$5:$C$2004,"Initial",'Test Runs'!$D$5:$D$2004,"Android",'Test Runs'!$I$5:$I$2004,O152)&gt;0)),"Reconciled","Mismatch"))</x:f>
        <x:v>Pending</x:v>
      </x:c>
      <x:c r="Z152" s="58" t="str">
        <x:f>IF(OR(T152="Not Run",U152="Not Run"),"Pending",IF(AND(OR(T152="Not Applicable",COUNTIFS('Test Runs'!$B$5:$B$2004,A152,'Test Runs'!$C$5:$C$2004,"Retest",'Test Runs'!$D$5:$D$2004,"iOS",'Test Runs'!$I$5:$I$2004,T152)&gt;0),OR(U152="Not Applicable",COUNTIFS('Test Runs'!$B$5:$B$2004,A152,'Test Runs'!$C$5:$C$2004,"Retest",'Test Runs'!$D$5:$D$2004,"Android",'Test Runs'!$I$5:$I$2004,U152)&gt;0)),"Reconciled","Mismatch"))</x:f>
        <x:v>Pending</x:v>
      </x:c>
    </x:row>
    <x:row r="153" ht="120" customHeight="1">
      <x:c r="A153" s="58" t="str">
        <x:v>HLT-067</x:v>
      </x:c>
      <x:c r="B153" s="58" t="str">
        <x:v>Signed-out health background work</x:v>
      </x:c>
      <x:c r="C153" s="58" t="str">
        <x:v>Background health worker after sign-out</x:v>
      </x:c>
      <x:c r="D153" s="58" t="str">
        <x:v>As a user who signed out, I want background health jobs not to import data into a local account.</x:v>
      </x:c>
      <x:c r="E153" s="58" t="str">
        <x:v>Both provider import/sync commands check SyncState and skip without workout writes when signed out. Health Connect writes its exact success result marker for a completed import or signed-out skip so its worker can finish even when ephemeral stdout is empty. Apple retains its explicit command success/skip signaling.</x:v>
      </x:c>
      <x:c r="F153" s="58" t="str">
        <x:v>iOS, Android</x:v>
      </x:c>
      <x:c r="G153" s="58" t="str">
        <x:v>Connect provider, sign out/remove SyncState, then trigger native import.</x:v>
      </x:c>
      <x:c r="H153" s="58" t="str">
        <x:v>Connect Apple, sign out, add Health workout, trigger/reopen; verify no local workout until signed in/sync state exists.</x:v>
      </x:c>
      <x:c r="I153" s="58" t="str">
        <x:v>Connect HC, sign out, trigger worker; verify no import.</x:v>
      </x:c>
      <x:c r="J153" s="58" t="str">
        <x:v>Covered: AppleHealthImportTest.php and HealthConnectImportTest.php signed-out cases; sync command tests.</x:v>
      </x:c>
      <x:c r="K153" s="58" t="str">
        <x:v>/Users/mason/Sites/Buff/app/Console/Commands/ImportHealthConnectWorkouts.php:19-26; /Users/mason/Sites/Buff/app/Console/Commands/ImportAppleHealthWorkouts.php:20-27; /Users/mason/Sites/Buff/app/Console/Commands/SyncHealthConnectWorkouts.php:15-21; /Users/mason/Sites/Buff/app/Console/Commands/SyncAppleHealthWorkouts.php:15-21</x:v>
      </x:c>
      <x:c r="L153" s="58" t="str">
        <x:v>Mapped</x:v>
      </x:c>
      <x:c r="M153" s="58" t="str">
        <x:v>Ready</x:v>
      </x:c>
      <x:c r="N153" s="58" t="str">
        <x:v>Not Run</x:v>
      </x:c>
      <x:c r="O153" s="58" t="str">
        <x:v>Passed</x:v>
      </x:c>
      <x:c r="P153" s="58" t="str">
        <x:v>Android: /Users/mason/.codex/visualizations/2026/09/01/01a05def-1c0d-76d1-abc6-07c63a443582/inventory/ACC-019-HLT-067-logout-signedout-worker-observations.json — While signed out after logout and reboot, HealthConnect.SyncNow returned HTTP 200 with sync_queued. The worker read the provider fixture, emitted BUFF_HEALTH_CONNECT_IMPORT_SKIPPED followed by BUFF_HEALTH_CONNECT_IMPORT_OK, imported no account data, and did not restore a session.</x:v>
      </x:c>
      <x:c r="Q153" s="58" t="str"/>
      <x:c r="R153" s="58" t="str">
        <x:v>Not Needed</x:v>
      </x:c>
      <x:c r="S153" s="58" t="str"/>
      <x:c r="T153" s="58" t="str">
        <x:v>Not Run</x:v>
      </x:c>
      <x:c r="U153" s="58" t="str">
        <x:v>Not Run</x:v>
      </x:c>
      <x:c r="V153" s="58" t="str"/>
      <x:c r="W153" s="58" t="str">
        <x:f>IF(AND(OR(N153="Passed",N153="Failed",N153="Not Applicable"),OR(O153="Passed",O153="Failed",O153="Not Applicable"),OR(N153="Passed",N153="Failed",O153="Passed",O153="Failed"),OR(T153="Passed",T153="Not Applicable"),OR(U153="Passed",U153="Not Applicable"),OR(T153="Passed",U153="Passed"),Y153="Reconciled",Z153="Reconciled",IF(Q153&lt;&gt;"",R153="Fixed",TRUE)),"Verified",IF(OR(T153="Failed",U153="Failed"),"Retest Failed",IF(OR(N153="Failed",O153="Failed",Q153&lt;&gt;""),"Defect Found",IF(AND(OR(N153="Passed",N153="Not Applicable"),OR(O153="Passed",O153="Not Applicable"),OR(N153="Passed",O153="Passed")),"Initial Pass","Not Complete"))))</x:f>
        <x:v>Not Complete</x:v>
      </x:c>
      <x:c r="X153" s="58" t="str">
        <x:v>Risk: provider may still look connected at OS level after account sign-out; later account sign-in needs testing to ensure data imports only into intended account.</x:v>
      </x:c>
      <x:c r="Y153" s="58" t="str">
        <x:f>IF(OR(N153="Not Run",O153="Not Run"),"Pending",IF(AND(OR(N153="Not Applicable",COUNTIFS('Test Runs'!$B$5:$B$2004,A153,'Test Runs'!$C$5:$C$2004,"Initial",'Test Runs'!$D$5:$D$2004,"iOS",'Test Runs'!$I$5:$I$2004,N153)&gt;0),OR(O153="Not Applicable",COUNTIFS('Test Runs'!$B$5:$B$2004,A153,'Test Runs'!$C$5:$C$2004,"Initial",'Test Runs'!$D$5:$D$2004,"Android",'Test Runs'!$I$5:$I$2004,O153)&gt;0)),"Reconciled","Mismatch"))</x:f>
        <x:v>Pending</x:v>
      </x:c>
      <x:c r="Z153" s="58" t="str">
        <x:f>IF(OR(T153="Not Run",U153="Not Run"),"Pending",IF(AND(OR(T153="Not Applicable",COUNTIFS('Test Runs'!$B$5:$B$2004,A153,'Test Runs'!$C$5:$C$2004,"Retest",'Test Runs'!$D$5:$D$2004,"iOS",'Test Runs'!$I$5:$I$2004,T153)&gt;0),OR(U153="Not Applicable",COUNTIFS('Test Runs'!$B$5:$B$2004,A153,'Test Runs'!$C$5:$C$2004,"Retest",'Test Runs'!$D$5:$D$2004,"Android",'Test Runs'!$I$5:$I$2004,U153)&gt;0)),"Reconciled","Mismatch"))</x:f>
        <x:v>Pending</x:v>
      </x:c>
    </x:row>
    <x:row r="154" ht="120" customHeight="1">
      <x:c r="A154" s="58" t="str">
        <x:v>NUT-001</x:v>
      </x:c>
      <x:c r="B154" s="58" t="str">
        <x:v>Today - access/onboarding</x:v>
      </x:c>
      <x:c r="C154" s="58" t="str">
        <x:v>Home tab or /</x:v>
      </x:c>
      <x:c r="D154" s="58" t="str">
        <x:v>As a new user, I want guidance before using Today so that nutrition totals have a target.</x:v>
      </x:c>
      <x:c r="E154" s="58" t="str">
        <x:v>GET / redirects to onboarding when no DailyGoal exists; skip_onboarding=1 is the explicit bypass and renders Today with goal=null.</x:v>
      </x:c>
      <x:c r="F154" s="58" t="str">
        <x:v>Both</x:v>
      </x:c>
      <x:c r="G154" s="58" t="str">
        <x:v>Fresh local database with no daily goal.</x:v>
      </x:c>
      <x:c r="H154" s="58" t="str">
        <x:v>Launch iOS app; tap Home; verify onboarding. Open /?skip_onboarding=1 via test deep link and verify Today goal warning.</x:v>
      </x:c>
      <x:c r="I154" s="58" t="str">
        <x:v>Launch Android app; tap Home; verify onboarding. Open bypass URL and verify Today goal warning.</x:v>
      </x:c>
      <x:c r="J154" s="58" t="str">
        <x:v>/Users/mason/Sites/Buff/tests/Feature/DashboardTest.php:132 redirects new users to onboarding</x:v>
      </x:c>
      <x:c r="K154" s="58" t="str">
        <x:v>/Users/mason/Sites/Buff/app/Http/Controllers/DashboardController.php:17-21 __invoke; /Users/mason/Sites/Buff/routes/web.php:49</x:v>
      </x:c>
      <x:c r="L154" s="58" t="str">
        <x:v>Mapped</x:v>
      </x:c>
      <x:c r="M154" s="58" t="str">
        <x:v>Ready</x:v>
      </x:c>
      <x:c r="N154" s="58" t="str">
        <x:v>Not Run</x:v>
      </x:c>
      <x:c r="O154" s="58" t="str">
        <x:v>Failed</x:v>
      </x:c>
      <x:c r="P154" s="58" t="str">
        <x:v>Android: /Users/mason/.codex/visualizations/2026/09/01/01a05def-1c0d-76d1-abc6-07c63a443582/emulator-runs/initial/android/NUT-001-root-redirects-onboarding.png
/Users/mason/.codex/visualizations/2026/09/01/01a05def-1c0d-76d1-abc6-07c63a443582/emulator-runs/initial/android/NUT-012-first-bypass-blank-uiautomator.xml
/Users/mason/.codex/visualizations/2026/09/01/01a05def-1c0d-76d1-abc6-07c63a443582/emulator-runs/initial/android/NUT-012-no-goal-fallback.png — A fresh account with no DailyGoal redirected / to onboarding. The first explicit skip_onboarding=1 bypass returned goal-null data but rendered blank until reload; reload and immediate repeat rendered the intended diagnostic Today state.</x:v>
      </x:c>
      <x:c r="Q154" s="58" t="str">
        <x:v>DEF-076</x:v>
      </x:c>
      <x:c r="R154" s="58" t="str">
        <x:v>Open</x:v>
      </x:c>
      <x:c r="S154" s="58" t="str"/>
      <x:c r="T154" s="58" t="str">
        <x:v>Not Run</x:v>
      </x:c>
      <x:c r="U154" s="58" t="str">
        <x:v>Not Run</x:v>
      </x:c>
      <x:c r="V154" s="58" t="str"/>
      <x:c r="W154" s="58" t="str">
        <x:f>IF(AND(OR(N154="Passed",N154="Failed",N154="Not Applicable"),OR(O154="Passed",O154="Failed",O154="Not Applicable"),OR(N154="Passed",N154="Failed",O154="Passed",O154="Failed"),OR(T154="Passed",T154="Not Applicable"),OR(U154="Passed",U154="Not Applicable"),OR(T154="Passed",U154="Passed"),Y154="Reconciled",Z154="Reconciled",IF(Q154&lt;&gt;"",R154="Fixed",TRUE)),"Verified",IF(OR(T154="Failed",U154="Failed"),"Retest Failed",IF(OR(N154="Failed",O154="Failed",Q154&lt;&gt;""),"Defect Found",IF(AND(OR(N154="Passed",N154="Not Applicable"),OR(O154="Passed",O154="Not Applicable"),OR(N154="Passed",O154="Passed")),"Initial Pass","Not Complete"))))</x:f>
        <x:v>Defect Found</x:v>
      </x:c>
      <x:c r="X154" s="58" t="str">
        <x:v>Bypass exposes a no-goal state intended for diagnostics; ordinary users cannot reach it through UI.</x:v>
      </x:c>
      <x:c r="Y154" s="58" t="str">
        <x:f>IF(OR(N154="Not Run",O154="Not Run"),"Pending",IF(AND(OR(N154="Not Applicable",COUNTIFS('Test Runs'!$B$5:$B$2004,A154,'Test Runs'!$C$5:$C$2004,"Initial",'Test Runs'!$D$5:$D$2004,"iOS",'Test Runs'!$I$5:$I$2004,N154)&gt;0),OR(O154="Not Applicable",COUNTIFS('Test Runs'!$B$5:$B$2004,A154,'Test Runs'!$C$5:$C$2004,"Initial",'Test Runs'!$D$5:$D$2004,"Android",'Test Runs'!$I$5:$I$2004,O154)&gt;0)),"Reconciled","Mismatch"))</x:f>
        <x:v>Pending</x:v>
      </x:c>
      <x:c r="Z154" s="58" t="str">
        <x:f>IF(OR(T154="Not Run",U154="Not Run"),"Pending",IF(AND(OR(T154="Not Applicable",COUNTIFS('Test Runs'!$B$5:$B$2004,A154,'Test Runs'!$C$5:$C$2004,"Retest",'Test Runs'!$D$5:$D$2004,"iOS",'Test Runs'!$I$5:$I$2004,T154)&gt;0),OR(U154="Not Applicable",COUNTIFS('Test Runs'!$B$5:$B$2004,A154,'Test Runs'!$C$5:$C$2004,"Retest",'Test Runs'!$D$5:$D$2004,"Android",'Test Runs'!$I$5:$I$2004,U154)&gt;0)),"Reconciled","Mismatch"))</x:f>
        <x:v>Pending</x:v>
      </x:c>
    </x:row>
    <x:row r="155" ht="120" customHeight="1">
      <x:c r="A155" s="58" t="str">
        <x:v>NUT-002</x:v>
      </x:c>
      <x:c r="B155" s="58" t="str">
        <x:v>Today - selected date</x:v>
      </x:c>
      <x:c r="C155" s="58" t="str">
        <x:v>Home tab; /?date=YYYY-MM-DD</x:v>
      </x:c>
      <x:c r="D155" s="58" t="str">
        <x:v>As a user, I want Today to open on today or a requested valid date so that I can review a specific day.</x:v>
      </x:c>
      <x:c r="E155" s="58" t="str">
        <x:v>Without date the local calendar day is used; a valid date query loads only that day's meals/workouts and formats the heading; an invalid date redirects back with validation errors.</x:v>
      </x:c>
      <x:c r="F155" s="58" t="str">
        <x:v>Both</x:v>
      </x:c>
      <x:c r="G155" s="58" t="str">
        <x:v>Goal plus entries on at least two dates.</x:v>
      </x:c>
      <x:c r="H155" s="58" t="str">
        <x:v>Open Home, then a historical date URL; verify heading and records switch. Try date=not-a-date.</x:v>
      </x:c>
      <x:c r="I155" s="58" t="str">
        <x:v>Repeat on Android.</x:v>
      </x:c>
      <x:c r="J155" s="58" t="str">
        <x:v>/Users/mason/Sites/Buff/tests/Feature/DashboardTest.php:144 invalid date; :159 populated groups</x:v>
      </x:c>
      <x:c r="K155" s="58" t="str">
        <x:v>/Users/mason/Sites/Buff/app/Http/Controllers/DashboardController.php:27-34; /Users/mason/Sites/Buff/resources/js/Pages/Today.vue:181-183,630-654</x:v>
      </x:c>
      <x:c r="L155" s="58" t="str">
        <x:v>Mapped</x:v>
      </x:c>
      <x:c r="M155" s="58" t="str">
        <x:v>Ready</x:v>
      </x:c>
      <x:c r="N155" s="58" t="str">
        <x:v>Not Run</x:v>
      </x:c>
      <x:c r="O155" s="58" t="str">
        <x:v>Failed</x:v>
      </x:c>
      <x:c r="P155" s="58" t="str">
        <x:v>Android: /Users/mason/.codex/visualizations/2026/09/01/01a05def-1c0d-76d1-abc6-07c63a443582/emulator-runs/initial/android/NUT-002-invalid-date-hidden.png — Home without a date opened local Tuesday 1 September with no QA records; /?date=2026-09-02 opened Wednesday and only its meals/workout. A malformed date redirected to the previous dated page but displayed no reason or validation feedback.</x:v>
      </x:c>
      <x:c r="Q155" s="58" t="str">
        <x:v>DEF-028</x:v>
      </x:c>
      <x:c r="R155" s="58" t="str">
        <x:v>In Progress</x:v>
      </x:c>
      <x:c r="S155" s="58" t="str"/>
      <x:c r="T155" s="58" t="str">
        <x:v>Not Run</x:v>
      </x:c>
      <x:c r="U155" s="58" t="str">
        <x:v>Not Run</x:v>
      </x:c>
      <x:c r="V155" s="58" t="str"/>
      <x:c r="W155" s="58" t="str">
        <x:f>IF(AND(OR(N155="Passed",N155="Failed",N155="Not Applicable"),OR(O155="Passed",O155="Failed",O155="Not Applicable"),OR(N155="Passed",N155="Failed",O155="Passed",O155="Failed"),OR(T155="Passed",T155="Not Applicable"),OR(U155="Passed",U155="Not Applicable"),OR(T155="Passed",U155="Passed"),Y155="Reconciled",Z155="Reconciled",IF(Q155&lt;&gt;"",R155="Fixed",TRUE)),"Verified",IF(OR(T155="Failed",U155="Failed"),"Retest Failed",IF(OR(N155="Failed",O155="Failed",Q155&lt;&gt;""),"Defect Found",IF(AND(OR(N155="Passed",N155="Not Applicable"),OR(O155="Passed",O155="Not Applicable"),OR(N155="Passed",O155="Passed")),"Initial Pass","Not Complete"))))</x:f>
        <x:v>Defect Found</x:v>
      </x:c>
      <x:c r="X155" s="58" t="str">
        <x:v>Validation errors for a malformed GET date are not rendered by Today, so the redirect can appear to do nothing.</x:v>
      </x:c>
      <x:c r="Y155" s="58" t="str">
        <x:f>IF(OR(N155="Not Run",O155="Not Run"),"Pending",IF(AND(OR(N155="Not Applicable",COUNTIFS('Test Runs'!$B$5:$B$2004,A155,'Test Runs'!$C$5:$C$2004,"Initial",'Test Runs'!$D$5:$D$2004,"iOS",'Test Runs'!$I$5:$I$2004,N155)&gt;0),OR(O155="Not Applicable",COUNTIFS('Test Runs'!$B$5:$B$2004,A155,'Test Runs'!$C$5:$C$2004,"Initial",'Test Runs'!$D$5:$D$2004,"Android",'Test Runs'!$I$5:$I$2004,O155)&gt;0)),"Reconciled","Mismatch"))</x:f>
        <x:v>Pending</x:v>
      </x:c>
      <x:c r="Z155" s="58" t="str">
        <x:f>IF(OR(T155="Not Run",U155="Not Run"),"Pending",IF(AND(OR(T155="Not Applicable",COUNTIFS('Test Runs'!$B$5:$B$2004,A155,'Test Runs'!$C$5:$C$2004,"Retest",'Test Runs'!$D$5:$D$2004,"iOS",'Test Runs'!$I$5:$I$2004,T155)&gt;0),OR(U155="Not Applicable",COUNTIFS('Test Runs'!$B$5:$B$2004,A155,'Test Runs'!$C$5:$C$2004,"Retest",'Test Runs'!$D$5:$D$2004,"Android",'Test Runs'!$I$5:$I$2004,U155)&gt;0)),"Reconciled","Mismatch"))</x:f>
        <x:v>Pending</x:v>
      </x:c>
    </x:row>
    <x:row r="156" ht="120" customHeight="1">
      <x:c r="A156" s="58" t="str">
        <x:v>NUT-003</x:v>
      </x:c>
      <x:c r="B156" s="58" t="str">
        <x:v>Today - week strip</x:v>
      </x:c>
      <x:c r="C156" s="58" t="str">
        <x:v>Week strip on Today</x:v>
      </x:c>
      <x:c r="D156" s="58" t="str">
        <x:v>As a user, I want a Monday-first week strip with day status so that I can jump between nearby days.</x:v>
      </x:c>
      <x:c r="E156" s="58" t="str">
        <x:v>Seven Monday-Sunday links are returned for the selected week; selected/today states and neutral, under, on-target (within 50 kcal), or over status are exposed with accessible labels; tapping visits that date.</x:v>
      </x:c>
      <x:c r="F156" s="58" t="str">
        <x:v>Both</x:v>
      </x:c>
      <x:c r="G156" s="58" t="str">
        <x:v>Goal 2000; days with 0, 1800, 1950/2050, and 2100 kcal; optional workout.</x:v>
      </x:c>
      <x:c r="H156" s="58" t="str">
        <x:v>Swipe/tap is not used: tap each weekday link and verify selected styling, date, spoken label, and status glyph.</x:v>
      </x:c>
      <x:c r="I156" s="58" t="str">
        <x:v>Repeat with TalkBack; verify plus/minus/check/no glyph status.</x:v>
      </x:c>
      <x:c r="J156" s="58" t="str">
        <x:v>/Users/mason/Sites/Buff/tests/Feature/DashboardTest.php:251 Monday-first statuses; /Users/mason/Sites/Buff/tests/dayStatus.test.ts</x:v>
      </x:c>
      <x:c r="K156" s="58" t="str">
        <x:v>/Users/mason/Sites/Buff/app/Services/WeekSummaryService.php:20-25,53-75,101-112; /Users/mason/Sites/Buff/resources/js/Pages/Today.vue:656-670; /Users/mason/Sites/Buff/resources/js/dayStatus.ts:1-32</x:v>
      </x:c>
      <x:c r="L156" s="58" t="str">
        <x:v>Mapped</x:v>
      </x:c>
      <x:c r="M156" s="58" t="str">
        <x:v>Ready</x:v>
      </x:c>
      <x:c r="N156" s="58" t="str">
        <x:v>Not Run</x:v>
      </x:c>
      <x:c r="O156" s="58" t="str">
        <x:v>Failed</x:v>
      </x:c>
      <x:c r="P156" s="58" t="str">
        <x:v>Android: /Users/mason/.codex/visualizations/2026/09/01/01a05def-1c0d-76d1-abc6-07c63a443582/emulator-runs/initial/android/NUT-010-second-meal-group-order.png — The strip rendered Monday through Sunday, preserved the selected date through navigation, identified today, and exposed under/no-log status labels. The active Wednesday was distinguished only by CSS and had no programmatic selected state.</x:v>
      </x:c>
      <x:c r="Q156" s="58" t="str">
        <x:v>DEF-024</x:v>
      </x:c>
      <x:c r="R156" s="58" t="str">
        <x:v>In Progress</x:v>
      </x:c>
      <x:c r="S156" s="58" t="str"/>
      <x:c r="T156" s="58" t="str">
        <x:v>Not Run</x:v>
      </x:c>
      <x:c r="U156" s="58" t="str">
        <x:v>Not Run</x:v>
      </x:c>
      <x:c r="V156" s="58" t="str"/>
      <x:c r="W156" s="58" t="str">
        <x:f>IF(AND(OR(N156="Passed",N156="Failed",N156="Not Applicable"),OR(O156="Passed",O156="Failed",O156="Not Applicable"),OR(N156="Passed",N156="Failed",O156="Passed",O156="Failed"),OR(T156="Passed",T156="Not Applicable"),OR(U156="Passed",U156="Not Applicable"),OR(T156="Passed",U156="Passed"),Y156="Reconciled",Z156="Reconciled",IF(Q156&lt;&gt;"",R156="Fixed",TRUE)),"Verified",IF(OR(T156="Failed",U156="Failed"),"Retest Failed",IF(OR(N156="Failed",O156="Failed",Q156&lt;&gt;""),"Defect Found",IF(AND(OR(N156="Passed",N156="Not Applicable"),OR(O156="Passed",O156="Not Applicable"),OR(N156="Passed",O156="Passed")),"Initial Pass","Not Complete"))))</x:f>
        <x:v>Defect Found</x:v>
      </x:c>
      <x:c r="X156" s="58" t="str">
        <x:v>The latest current goal is applied to historical days, so past status can change after a goal edit.</x:v>
      </x:c>
      <x:c r="Y156" s="58" t="str">
        <x:f>IF(OR(N156="Not Run",O156="Not Run"),"Pending",IF(AND(OR(N156="Not Applicable",COUNTIFS('Test Runs'!$B$5:$B$2004,A156,'Test Runs'!$C$5:$C$2004,"Initial",'Test Runs'!$D$5:$D$2004,"iOS",'Test Runs'!$I$5:$I$2004,N156)&gt;0),OR(O156="Not Applicable",COUNTIFS('Test Runs'!$B$5:$B$2004,A156,'Test Runs'!$C$5:$C$2004,"Initial",'Test Runs'!$D$5:$D$2004,"Android",'Test Runs'!$I$5:$I$2004,O156)&gt;0)),"Reconciled","Mismatch"))</x:f>
        <x:v>Pending</x:v>
      </x:c>
      <x:c r="Z156" s="58" t="str">
        <x:f>IF(OR(T156="Not Run",U156="Not Run"),"Pending",IF(AND(OR(T156="Not Applicable",COUNTIFS('Test Runs'!$B$5:$B$2004,A156,'Test Runs'!$C$5:$C$2004,"Retest",'Test Runs'!$D$5:$D$2004,"iOS",'Test Runs'!$I$5:$I$2004,T156)&gt;0),OR(U156="Not Applicable",COUNTIFS('Test Runs'!$B$5:$B$2004,A156,'Test Runs'!$C$5:$C$2004,"Retest",'Test Runs'!$D$5:$D$2004,"Android",'Test Runs'!$I$5:$I$2004,U156)&gt;0)),"Reconciled","Mismatch"))</x:f>
        <x:v>Pending</x:v>
      </x:c>
    </x:row>
    <x:row r="157" ht="120" customHeight="1">
      <x:c r="A157" s="58" t="str">
        <x:v>NUT-004</x:v>
      </x:c>
      <x:c r="B157" s="58" t="str">
        <x:v>Today - calendar picker</x:v>
      </x:c>
      <x:c r="C157" s="58" t="str">
        <x:v>Today header, Select date</x:v>
      </x:c>
      <x:c r="D157" s="58" t="str">
        <x:v>As a user, I want a calendar picker so that I can jump beyond the visible week.</x:v>
      </x:c>
      <x:c r="E157" s="58" t="str">
        <x:v>Select date opens an en-GB month/year calendar; choosing a different day closes it and preserves scroll during visit; choosing the already-selected day only closes it.</x:v>
      </x:c>
      <x:c r="F157" s="58" t="str">
        <x:v>Both</x:v>
      </x:c>
      <x:c r="G157" s="58" t="str">
        <x:v>Goal; records on a date outside the visible week.</x:v>
      </x:c>
      <x:c r="H157" s="58" t="str">
        <x:v>Open calendar, navigate month, select test date; reopen and select same date.</x:v>
      </x:c>
      <x:c r="I157" s="58" t="str">
        <x:v>Repeat on Android.</x:v>
      </x:c>
      <x:c r="J157" s="58" t="str">
        <x:v>No direct interaction test; backend date validation in DashboardTest</x:v>
      </x:c>
      <x:c r="K157" s="58" t="str">
        <x:v>/Users/mason/Sites/Buff/resources/js/Pages/Today.vue:456-470,637-652</x:v>
      </x:c>
      <x:c r="L157" s="58" t="str">
        <x:v>Mapped</x:v>
      </x:c>
      <x:c r="M157" s="58" t="str">
        <x:v>Ready</x:v>
      </x:c>
      <x:c r="N157" s="58" t="str">
        <x:v>Not Run</x:v>
      </x:c>
      <x:c r="O157" s="58" t="str">
        <x:v>Failed</x:v>
      </x:c>
      <x:c r="P157" s="58" t="str">
        <x:v>Android: /Users/mason/.codex/visualizations/2026/09/01/01a05def-1c0d-76d1-abc6-07c63a443582/emulator-runs/initial/android/NUT-004-calendar-august.png
/Users/mason/.codex/visualizations/2026/09/01/01a05def-1c0d-76d1-abc6-07c63a443582/emulator-runs/initial/android/NUT-004-selected-august-15.png
/Users/mason/.codex/visualizations/2026/09/01/01a05def-1c0d-76d1-abc6-07c63a443582/emulator-runs/initial/android/NUT-004-same-date-stays-open.png — The en-GB month/year calendar navigated to August; selecting 15 August closed it and visited the dated Today page. Re-selecting 15 August kept the URL/history unchanged but failed to close the picker.</x:v>
      </x:c>
      <x:c r="Q157" s="58" t="str">
        <x:v>DEF-006</x:v>
      </x:c>
      <x:c r="R157" s="58" t="str">
        <x:v>In Progress</x:v>
      </x:c>
      <x:c r="S157" s="58" t="str"/>
      <x:c r="T157" s="58" t="str">
        <x:v>Not Run</x:v>
      </x:c>
      <x:c r="U157" s="58" t="str">
        <x:v>Not Run</x:v>
      </x:c>
      <x:c r="V157" s="58" t="str"/>
      <x:c r="W157" s="58" t="str">
        <x:f>IF(AND(OR(N157="Passed",N157="Failed",N157="Not Applicable"),OR(O157="Passed",O157="Failed",O157="Not Applicable"),OR(N157="Passed",N157="Failed",O157="Passed",O157="Failed"),OR(T157="Passed",T157="Not Applicable"),OR(U157="Passed",U157="Not Applicable"),OR(T157="Passed",U157="Passed"),Y157="Reconciled",Z157="Reconciled",IF(Q157&lt;&gt;"",R157="Fixed",TRUE)),"Verified",IF(OR(T157="Failed",U157="Failed"),"Retest Failed",IF(OR(N157="Failed",O157="Failed",Q157&lt;&gt;""),"Defect Found",IF(AND(OR(N157="Passed",N157="Not Applicable"),OR(O157="Passed",O157="Not Applicable"),OR(N157="Passed",O157="Passed")),"Initial Pass","Not Complete"))))</x:f>
        <x:v>Defect Found</x:v>
      </x:c>
      <x:c r="X157" s="58" t="str">
        <x:v>No visible validation/error branch in the picker; date component is the only normal source so malformed input is unlikely.</x:v>
      </x:c>
      <x:c r="Y157" s="58" t="str">
        <x:f>IF(OR(N157="Not Run",O157="Not Run"),"Pending",IF(AND(OR(N157="Not Applicable",COUNTIFS('Test Runs'!$B$5:$B$2004,A157,'Test Runs'!$C$5:$C$2004,"Initial",'Test Runs'!$D$5:$D$2004,"iOS",'Test Runs'!$I$5:$I$2004,N157)&gt;0),OR(O157="Not Applicable",COUNTIFS('Test Runs'!$B$5:$B$2004,A157,'Test Runs'!$C$5:$C$2004,"Initial",'Test Runs'!$D$5:$D$2004,"Android",'Test Runs'!$I$5:$I$2004,O157)&gt;0)),"Reconciled","Mismatch"))</x:f>
        <x:v>Pending</x:v>
      </x:c>
      <x:c r="Z157" s="58" t="str">
        <x:f>IF(OR(T157="Not Run",U157="Not Run"),"Pending",IF(AND(OR(T157="Not Applicable",COUNTIFS('Test Runs'!$B$5:$B$2004,A157,'Test Runs'!$C$5:$C$2004,"Retest",'Test Runs'!$D$5:$D$2004,"iOS",'Test Runs'!$I$5:$I$2004,T157)&gt;0),OR(U157="Not Applicable",COUNTIFS('Test Runs'!$B$5:$B$2004,A157,'Test Runs'!$C$5:$C$2004,"Retest",'Test Runs'!$D$5:$D$2004,"Android",'Test Runs'!$I$5:$I$2004,U157)&gt;0)),"Reconciled","Mismatch"))</x:f>
        <x:v>Pending</x:v>
      </x:c>
    </x:row>
    <x:row r="158" ht="120" customHeight="1">
      <x:c r="A158" s="58" t="str">
        <x:v>NUT-005</x:v>
      </x:c>
      <x:c r="B158" s="58" t="str">
        <x:v>Today - empty current day</x:v>
      </x:c>
      <x:c r="C158" s="58" t="str">
        <x:v>Home on an empty current date</x:v>
      </x:c>
      <x:c r="D158" s="58" t="str">
        <x:v>As a user with no entries today, I want a clear starting action so that I can begin logging.</x:v>
      </x:c>
      <x:c r="E158" s="58" t="str">
        <x:v>When today has no meals or workouts, Start today offers Add food via the global drawer and Add workout, while meal lists are hidden. On native platforms the Workouts section still exposes the health provider’s Connect/Sync action and No workouts yet.</x:v>
      </x:c>
      <x:c r="F158" s="58" t="str">
        <x:v>Both</x:v>
      </x:c>
      <x:c r="G158" s="58" t="str">
        <x:v>Goal; no meals/workouts today.</x:v>
      </x:c>
      <x:c r="H158" s="58" t="str">
        <x:v>Open empty Today; verify Start today and Apple Health Connect/Sync remain available. Tap Add food and confirm the shared drawer opens.</x:v>
      </x:c>
      <x:c r="I158" s="58" t="str">
        <x:v>Repeat; use Android back to close drawer.</x:v>
      </x:c>
      <x:c r="J158" s="58" t="str">
        <x:v>/Users/mason/Sites/Buff/tests/Unit/TodayWorkoutButtonTest.php:17,26</x:v>
      </x:c>
      <x:c r="K158" s="58" t="str">
        <x:v>/Users/mason/Sites/Buff/resources/js/Pages/Today.vue:174-180,677-691</x:v>
      </x:c>
      <x:c r="L158" s="58" t="str">
        <x:v>Mapped</x:v>
      </x:c>
      <x:c r="M158" s="58" t="str">
        <x:v>Ready</x:v>
      </x:c>
      <x:c r="N158" s="58" t="str">
        <x:v>Not Run</x:v>
      </x:c>
      <x:c r="O158" s="58" t="str">
        <x:v>Passed</x:v>
      </x:c>
      <x:c r="P158" s="58" t="str">
        <x:v>Android: /Users/mason/.codex/visualizations/2026/09/01/01a05def-1c0d-76d1-abc6-07c63a443582/emulator-runs/initial/android/NUT-005-add-drawer.png
/Users/mason/.codex/visualizations/2026/09/01/01a05def-1c0d-76d1-abc6-07c63a443582/emulator-runs/initial/android/NUT-005-after-back.png — Exactly one Start today card appeared with Add food and Add workout; Add food opened the global add drawer; Android Back closed the drawer and left the route at /.</x:v>
      </x:c>
      <x:c r="Q158" s="58" t="str"/>
      <x:c r="R158" s="58" t="str">
        <x:v>Not Needed</x:v>
      </x:c>
      <x:c r="S158" s="58" t="str"/>
      <x:c r="T158" s="58" t="str">
        <x:v>Not Run</x:v>
      </x:c>
      <x:c r="U158" s="58" t="str">
        <x:v>Not Run</x:v>
      </x:c>
      <x:c r="V158" s="58" t="str"/>
      <x:c r="W158" s="58" t="str">
        <x:f>IF(AND(OR(N158="Passed",N158="Failed",N158="Not Applicable"),OR(O158="Passed",O158="Failed",O158="Not Applicable"),OR(N158="Passed",N158="Failed",O158="Passed",O158="Failed"),OR(T158="Passed",T158="Not Applicable"),OR(U158="Passed",U158="Not Applicable"),OR(T158="Passed",U158="Passed"),Y158="Reconciled",Z158="Reconciled",IF(Q158&lt;&gt;"",R158="Fixed",TRUE)),"Verified",IF(OR(T158="Failed",U158="Failed"),"Retest Failed",IF(OR(N158="Failed",O158="Failed",Q158&lt;&gt;""),"Defect Found",IF(AND(OR(N158="Passed",N158="Not Applicable"),OR(O158="Passed",O158="Not Applicable"),OR(N158="Passed",O158="Passed")),"Initial Pass","Not Complete"))))</x:f>
        <x:v>Not Complete</x:v>
      </x:c>
      <x:c r="X158" s="58" t="str">
        <x:v>No known code-level defect.</x:v>
      </x:c>
      <x:c r="Y158" s="58" t="str">
        <x:f>IF(OR(N158="Not Run",O158="Not Run"),"Pending",IF(AND(OR(N158="Not Applicable",COUNTIFS('Test Runs'!$B$5:$B$2004,A158,'Test Runs'!$C$5:$C$2004,"Initial",'Test Runs'!$D$5:$D$2004,"iOS",'Test Runs'!$I$5:$I$2004,N158)&gt;0),OR(O158="Not Applicable",COUNTIFS('Test Runs'!$B$5:$B$2004,A158,'Test Runs'!$C$5:$C$2004,"Initial",'Test Runs'!$D$5:$D$2004,"Android",'Test Runs'!$I$5:$I$2004,O158)&gt;0)),"Reconciled","Mismatch"))</x:f>
        <x:v>Pending</x:v>
      </x:c>
      <x:c r="Z158" s="58" t="str">
        <x:f>IF(OR(T158="Not Run",U158="Not Run"),"Pending",IF(AND(OR(T158="Not Applicable",COUNTIFS('Test Runs'!$B$5:$B$2004,A158,'Test Runs'!$C$5:$C$2004,"Retest",'Test Runs'!$D$5:$D$2004,"iOS",'Test Runs'!$I$5:$I$2004,T158)&gt;0),OR(U158="Not Applicable",COUNTIFS('Test Runs'!$B$5:$B$2004,A158,'Test Runs'!$C$5:$C$2004,"Retest",'Test Runs'!$D$5:$D$2004,"Android",'Test Runs'!$I$5:$I$2004,U158)&gt;0)),"Reconciled","Mismatch"))</x:f>
        <x:v>Pending</x:v>
      </x:c>
    </x:row>
    <x:row r="159" ht="120" customHeight="1">
      <x:c r="A159" s="58" t="str">
        <x:v>NUT-006</x:v>
      </x:c>
      <x:c r="B159" s="58" t="str">
        <x:v>Today - empty historical day</x:v>
      </x:c>
      <x:c r="C159" s="58" t="str">
        <x:v>Select an empty non-today date</x:v>
      </x:c>
      <x:c r="D159" s="58" t="str">
        <x:v>As a user reviewing an empty past/future day, I want the normal meal and workout sections so that I can add dated records.</x:v>
      </x:c>
      <x:c r="E159" s="58" t="str">
        <x:v>For an empty non-today selection, Start today is absent and the Meals/Workouts sections appear, including meal-type Add links and No workouts yet.</x:v>
      </x:c>
      <x:c r="F159" s="58" t="str">
        <x:v>Both</x:v>
      </x:c>
      <x:c r="G159" s="58" t="str">
        <x:v>Goal; empty yesterday and tomorrow.</x:v>
      </x:c>
      <x:c r="H159" s="58" t="str">
        <x:v>Select yesterday then tomorrow; verify dated Add food links and lists.</x:v>
      </x:c>
      <x:c r="I159" s="58" t="str">
        <x:v>Repeat on Android.</x:v>
      </x:c>
      <x:c r="J159" s="58" t="str">
        <x:v>Backend empty summary: /Users/mason/Sites/Buff/tests/Feature/DashboardTest.php:187; UI condition source-tested at TodayWorkoutButtonTest.php:17</x:v>
      </x:c>
      <x:c r="K159" s="58" t="str">
        <x:v>/Users/mason/Sites/Buff/resources/js/Pages/Today.vue:177-180,717-840</x:v>
      </x:c>
      <x:c r="L159" s="58" t="str">
        <x:v>Mapped</x:v>
      </x:c>
      <x:c r="M159" s="58" t="str">
        <x:v>Ready</x:v>
      </x:c>
      <x:c r="N159" s="58" t="str">
        <x:v>Not Run</x:v>
      </x:c>
      <x:c r="O159" s="58" t="str">
        <x:v>Passed</x:v>
      </x:c>
      <x:c r="P159" s="58" t="str">
        <x:v>Android: /Users/mason/.codex/visualizations/2026/09/01/01a05def-1c0d-76d1-abc6-07c63a443582/emulator-runs/initial/android/NUT-004-selected-august-15.png
/Users/mason/.codex/visualizations/2026/09/01/01a05def-1c0d-76d1-abc6-07c63a443582/emulator-runs/initial/android/NUT-006-empty-future-day.png — Empty past and future dates omitted Start today and rendered Meals plus Workouts, four meal-type Add links and top Add food/Add workout links with the selected date, and No workouts yet.</x:v>
      </x:c>
      <x:c r="Q159" s="58" t="str"/>
      <x:c r="R159" s="58" t="str">
        <x:v>Not Needed</x:v>
      </x:c>
      <x:c r="S159" s="58" t="str"/>
      <x:c r="T159" s="58" t="str">
        <x:v>Not Run</x:v>
      </x:c>
      <x:c r="U159" s="58" t="str">
        <x:v>Not Run</x:v>
      </x:c>
      <x:c r="V159" s="58" t="str"/>
      <x:c r="W159" s="58" t="str">
        <x:f>IF(AND(OR(N159="Passed",N159="Failed",N159="Not Applicable"),OR(O159="Passed",O159="Failed",O159="Not Applicable"),OR(N159="Passed",N159="Failed",O159="Passed",O159="Failed"),OR(T159="Passed",T159="Not Applicable"),OR(U159="Passed",U159="Not Applicable"),OR(T159="Passed",U159="Passed"),Y159="Reconciled",Z159="Reconciled",IF(Q159&lt;&gt;"",R159="Fixed",TRUE)),"Verified",IF(OR(T159="Failed",U159="Failed"),"Retest Failed",IF(OR(N159="Failed",O159="Failed",Q159&lt;&gt;""),"Defect Found",IF(AND(OR(N159="Passed",N159="Not Applicable"),OR(O159="Passed",O159="Not Applicable"),OR(N159="Passed",O159="Passed")),"Initial Pass","Not Complete"))))</x:f>
        <x:v>Not Complete</x:v>
      </x:c>
      <x:c r="X159" s="58" t="str">
        <x:v>Future-dated logging is allowed by all date validators; confirm this is intended product behavior.</x:v>
      </x:c>
      <x:c r="Y159" s="58" t="str">
        <x:f>IF(OR(N159="Not Run",O159="Not Run"),"Pending",IF(AND(OR(N159="Not Applicable",COUNTIFS('Test Runs'!$B$5:$B$2004,A159,'Test Runs'!$C$5:$C$2004,"Initial",'Test Runs'!$D$5:$D$2004,"iOS",'Test Runs'!$I$5:$I$2004,N159)&gt;0),OR(O159="Not Applicable",COUNTIFS('Test Runs'!$B$5:$B$2004,A159,'Test Runs'!$C$5:$C$2004,"Initial",'Test Runs'!$D$5:$D$2004,"Android",'Test Runs'!$I$5:$I$2004,O159)&gt;0)),"Reconciled","Mismatch"))</x:f>
        <x:v>Pending</x:v>
      </x:c>
      <x:c r="Z159" s="58" t="str">
        <x:f>IF(OR(T159="Not Run",U159="Not Run"),"Pending",IF(AND(OR(T159="Not Applicable",COUNTIFS('Test Runs'!$B$5:$B$2004,A159,'Test Runs'!$C$5:$C$2004,"Retest",'Test Runs'!$D$5:$D$2004,"iOS",'Test Runs'!$I$5:$I$2004,T159)&gt;0),OR(U159="Not Applicable",COUNTIFS('Test Runs'!$B$5:$B$2004,A159,'Test Runs'!$C$5:$C$2004,"Retest",'Test Runs'!$D$5:$D$2004,"Android",'Test Runs'!$I$5:$I$2004,U159)&gt;0)),"Reconciled","Mismatch"))</x:f>
        <x:v>Pending</x:v>
      </x:c>
    </x:row>
    <x:row r="160" ht="189.60000610351562" hidden="0" customHeight="1">
      <x:c r="A160" s="58" t="str">
        <x:v>NUT-007</x:v>
      </x:c>
      <x:c r="B160" s="58" t="str">
        <x:v>Today - calorie summary</x:v>
      </x:c>
      <x:c r="C160" s="58" t="str">
        <x:v>Calorie card on Today</x:v>
      </x:c>
      <x:c r="D160" s="58" t="str">
        <x:v>As a user, I want consumed, burned, goal, and remaining calories summarized so that I understand my day.</x:v>
      </x:c>
      <x:c r="E160" s="58" t="str">
        <x:v>Consumed is the sum of meals; burned is summed workouts; the effective calorie target and remaining value incorporate the configured eat-back mode; the ring caps visually at 100% while keeping the numeric value.</x:v>
      </x:c>
      <x:c r="F160" s="58" t="str">
        <x:v>Both</x:v>
      </x:c>
      <x:c r="G160" s="58" t="str">
        <x:v>2000-kcal goal, 500-kcal meal, 300-kcal workout; test eat-back all/half/none.</x:v>
      </x:c>
      <x:c r="H160" s="58" t="str">
        <x:v>Verify all=2300 target/1800 left, half=2150/1650, none=2000/1500; add food above target.</x:v>
      </x:c>
      <x:c r="I160" s="58" t="str">
        <x:v>Repeat on Android.</x:v>
      </x:c>
      <x:c r="J160" s="58" t="str">
        <x:v>/Users/mason/Sites/Buff/tests/Feature/DashboardTest.php:9,57,95; /Users/mason/Sites/Buff/tests/Unit/NutritionCalculatorTest.php:50,69</x:v>
      </x:c>
      <x:c r="K160" s="58" t="str">
        <x:v>/Users/mason/Sites/Buff/app/Services/DailySummaryService.php:18-53; /Users/mason/Sites/Buff/app/Services/NutritionCalculator.php:41-64; /Users/mason/Sites/Buff/resources/js/Components/CalorieRing.vue:15-59</x:v>
      </x:c>
      <x:c r="L160" s="58" t="str">
        <x:v>Mapped</x:v>
      </x:c>
      <x:c r="M160" s="58" t="str">
        <x:v>Ready</x:v>
      </x:c>
      <x:c r="N160" s="58" t="str">
        <x:v>Not Run</x:v>
      </x:c>
      <x:c r="O160" s="58" t="str">
        <x:v>Passed</x:v>
      </x:c>
      <x:c r="P160" s="58" t="str">
        <x:v>Android: /Users/mason/.codex/visualizations/2026/09/01/01a05def-1c0d-76d1-abc6-07c63a443582/emulator-runs/initial/android/HLT-045-all-eat-back-restored.png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 — With 1,399 kcal eaten and 301 burned, All showed target 2,351/952 left, Half rounded 150.5 up and showed 2,201/802 left, and None showed 2,050/651 left. Burn remained 301 in every mode.</x:v>
      </x:c>
      <x:c r="Q160" s="58" t="str">
        <x:v>DEF-091</x:v>
      </x:c>
      <x:c r="R160" s="58" t="str">
        <x:v>Open</x:v>
      </x:c>
      <x:c r="S160" s="58" t="str"/>
      <x:c r="T160" s="58" t="str">
        <x:v>Not Run</x:v>
      </x:c>
      <x:c r="U160" s="58" t="str">
        <x:v>Not Run</x:v>
      </x:c>
      <x:c r="V160" s="58" t="str"/>
      <x:c r="W160" s="58" t="str">
        <x:f>IF(AND(OR(N160="Passed",N160="Failed",N160="Not Applicable"),OR(O160="Passed",O160="Failed",O160="Not Applicable"),OR(N160="Passed",N160="Failed",O160="Passed",O160="Failed"),OR(T160="Passed",T160="Not Applicable"),OR(U160="Passed",U160="Not Applicable"),OR(T160="Passed",U160="Passed"),Y160="Reconciled",Z160="Reconciled",IF(Q160&lt;&gt;"",R160="Fixed",TRUE)),"Verified",IF(OR(T160="Failed",U160="Failed"),"Retest Failed",IF(OR(N160="Failed",O160="Failed",Q160&lt;&gt;""),"Defect Found",IF(AND(OR(N160="Passed",N160="Not Applicable"),OR(O160="Passed",O160="Not Applicable"),OR(N160="Passed",O160="Passed")),"Initial Pass","Not Complete"))))</x:f>
        <x:v>Defect Found</x:v>
      </x:c>
      <x:c r="X160" s="58" t="str">
        <x:v>When over target the UI says a negative number "left" instead of an "over" message; the ring also cannot visually distinguish exactly-at-target from over-target.</x:v>
      </x:c>
      <x:c r="Y160" s="58" t="str">
        <x:f>IF(OR(N160="Not Run",O160="Not Run"),"Pending",IF(AND(OR(N160="Not Applicable",COUNTIFS('Test Runs'!$B$5:$B$2004,A160,'Test Runs'!$C$5:$C$2004,"Initial",'Test Runs'!$D$5:$D$2004,"iOS",'Test Runs'!$I$5:$I$2004,N160)&gt;0),OR(O160="Not Applicable",COUNTIFS('Test Runs'!$B$5:$B$2004,A160,'Test Runs'!$C$5:$C$2004,"Initial",'Test Runs'!$D$5:$D$2004,"Android",'Test Runs'!$I$5:$I$2004,O160)&gt;0)),"Reconciled","Mismatch"))</x:f>
        <x:v>Pending</x:v>
      </x:c>
      <x:c r="Z160" s="58" t="str">
        <x:f>IF(OR(T160="Not Run",U160="Not Run"),"Pending",IF(AND(OR(T160="Not Applicable",COUNTIFS('Test Runs'!$B$5:$B$2004,A160,'Test Runs'!$C$5:$C$2004,"Retest",'Test Runs'!$D$5:$D$2004,"iOS",'Test Runs'!$I$5:$I$2004,T160)&gt;0),OR(U160="Not Applicable",COUNTIFS('Test Runs'!$B$5:$B$2004,A160,'Test Runs'!$C$5:$C$2004,"Retest",'Test Runs'!$D$5:$D$2004,"Android",'Test Runs'!$I$5:$I$2004,U160)&gt;0)),"Reconciled","Mismatch"))</x:f>
        <x:v>Pending</x:v>
      </x:c>
    </x:row>
    <x:row r="161" ht="120" customHeight="1">
      <x:c r="A161" s="58" t="str">
        <x:v>NUT-008</x:v>
      </x:c>
      <x:c r="B161" s="58" t="str">
        <x:v>Today - macro overview</x:v>
      </x:c>
      <x:c r="C161" s="58" t="str">
        <x:v>Macro row in Today calorie card</x:v>
      </x:c>
      <x:c r="D161" s="58" t="str">
        <x:v>As a user, I want protein, carbs, and fat progress against my effective goal so that I can balance intake.</x:v>
      </x:c>
      <x:c r="E161" s="58" t="str">
        <x:v>Each macro shows rounded consumed/goal grams and capped progress; workout eat-back proportionally scales macro goals; each card links to the dated macro breakdown.</x:v>
      </x:c>
      <x:c r="F161" s="58" t="str">
        <x:v>Both</x:v>
      </x:c>
      <x:c r="G161" s="58" t="str">
        <x:v>Goal and mixed meals; optional 300-kcal workout.</x:v>
      </x:c>
      <x:c r="H161" s="58" t="str">
        <x:v>Check all three values; tap each and verify correct dated breakdown/back.</x:v>
      </x:c>
      <x:c r="I161" s="58" t="str">
        <x:v>Repeat on Android.</x:v>
      </x:c>
      <x:c r="J161" s="58" t="str">
        <x:v>/Users/mason/Sites/Buff/tests/Feature/DashboardTest.php:9; /Users/mason/Sites/Buff/tests/Feature/MacroBreakdownTest.php:67</x:v>
      </x:c>
      <x:c r="K161" s="58" t="str">
        <x:v>/Users/mason/Sites/Buff/resources/js/Pages/Today.vue:213-217,266-269,700-714; /Users/mason/Sites/Buff/app/Services/NutritionCalculator.php:41-53</x:v>
      </x:c>
      <x:c r="L161" s="58" t="str">
        <x:v>Mapped</x:v>
      </x:c>
      <x:c r="M161" s="58" t="str">
        <x:v>Ready</x:v>
      </x:c>
      <x:c r="N161" s="58" t="str">
        <x:v>Not Run</x:v>
      </x:c>
      <x:c r="O161" s="58" t="str">
        <x:v>Passed</x:v>
      </x:c>
      <x:c r="P161" s="58" t="str">
        <x:v>Android: /Users/mason/.codex/visualizations/2026/09/01/01a05def-1c0d-76d1-abc6-07c63a443582/emulator-runs/initial/android/HLT-045-all-eat-back-restored.png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 — Consumed macros stayed P90/C181/F35 while effective displayed goals scaled exactly across All 176/235/78, Half 165/220/73, and None 154/205/68. Each card opened its same-date breakdown and Back restored the exact date.</x:v>
      </x:c>
      <x:c r="Q161" s="58" t="str"/>
      <x:c r="R161" s="58" t="str">
        <x:v>Not Needed</x:v>
      </x:c>
      <x:c r="S161" s="58" t="str"/>
      <x:c r="T161" s="58" t="str">
        <x:v>Not Run</x:v>
      </x:c>
      <x:c r="U161" s="58" t="str">
        <x:v>Not Run</x:v>
      </x:c>
      <x:c r="V161" s="58" t="str"/>
      <x:c r="W161" s="58" t="str">
        <x:f>IF(AND(OR(N161="Passed",N161="Failed",N161="Not Applicable"),OR(O161="Passed",O161="Failed",O161="Not Applicable"),OR(N161="Passed",N161="Failed",O161="Passed",O161="Failed"),OR(T161="Passed",T161="Not Applicable"),OR(U161="Passed",U161="Not Applicable"),OR(T161="Passed",U161="Passed"),Y161="Reconciled",Z161="Reconciled",IF(Q161&lt;&gt;"",R161="Fixed",TRUE)),"Verified",IF(OR(T161="Failed",U161="Failed"),"Retest Failed",IF(OR(N161="Failed",O161="Failed",Q161&lt;&gt;""),"Defect Found",IF(AND(OR(N161="Passed",N161="Not Applicable"),OR(O161="Passed",O161="Not Applicable"),OR(N161="Passed",O161="Passed")),"Initial Pass","Not Complete"))))</x:f>
        <x:v>Not Complete</x:v>
      </x:c>
      <x:c r="X161" s="58" t="str">
        <x:v>Remaining macro values are calculated but not displayed on Today; only consumed/goal is visible.</x:v>
      </x:c>
      <x:c r="Y161" s="58" t="str">
        <x:f>IF(OR(N161="Not Run",O161="Not Run"),"Pending",IF(AND(OR(N161="Not Applicable",COUNTIFS('Test Runs'!$B$5:$B$2004,A161,'Test Runs'!$C$5:$C$2004,"Initial",'Test Runs'!$D$5:$D$2004,"iOS",'Test Runs'!$I$5:$I$2004,N161)&gt;0),OR(O161="Not Applicable",COUNTIFS('Test Runs'!$B$5:$B$2004,A161,'Test Runs'!$C$5:$C$2004,"Initial",'Test Runs'!$D$5:$D$2004,"Android",'Test Runs'!$I$5:$I$2004,O161)&gt;0)),"Reconciled","Mismatch"))</x:f>
        <x:v>Pending</x:v>
      </x:c>
      <x:c r="Z161" s="58" t="str">
        <x:f>IF(OR(T161="Not Run",U161="Not Run"),"Pending",IF(AND(OR(T161="Not Applicable",COUNTIFS('Test Runs'!$B$5:$B$2004,A161,'Test Runs'!$C$5:$C$2004,"Retest",'Test Runs'!$D$5:$D$2004,"iOS",'Test Runs'!$I$5:$I$2004,T161)&gt;0),OR(U161="Not Applicable",COUNTIFS('Test Runs'!$B$5:$B$2004,A161,'Test Runs'!$C$5:$C$2004,"Retest",'Test Runs'!$D$5:$D$2004,"Android",'Test Runs'!$I$5:$I$2004,U161)&gt;0)),"Reconciled","Mismatch"))</x:f>
        <x:v>Pending</x:v>
      </x:c>
    </x:row>
    <x:row r="162" ht="796.7999877929688" hidden="0" customHeight="1">
      <x:c r="A162" s="58" t="str">
        <x:v>NUT-009</x:v>
      </x:c>
      <x:c r="B162" s="58" t="str">
        <x:v>Today - meal groups</x:v>
      </x:c>
      <x:c r="C162" s="58" t="str">
        <x:v>Meals section on Today</x:v>
      </x:c>
      <x:c r="D162" s="58" t="str">
        <x:v>As a user, I want meals grouped into breakfast, lunch, dinner, and snacks so that my log is easy to scan.</x:v>
      </x:c>
      <x:c r="E162" s="58" t="str">
        <x:v>All four sections render in fixed mealTypes order; populated sections list entries oldest-first; only empty groups show a per-group Add link preselecting that meal type; a top Add food action is always present when lists show. Group headings and Add controls remain legible while scrolling and do not overlap native status icons.</x:v>
      </x:c>
      <x:c r="F162" s="58" t="str">
        <x:v>Both</x:v>
      </x:c>
      <x:c r="G162" s="58" t="str">
        <x:v>At least two entries in different meal types and one empty type.</x:v>
      </x:c>
      <x:c r="H162" s="58" t="str">
        <x:v>Verify ordering, group headings, and preselected meal type after tapping Add.</x:v>
      </x:c>
      <x:c r="I162" s="58" t="str">
        <x:v>Repeat on Android.</x:v>
      </x:c>
      <x:c r="J162" s="58" t="str">
        <x:v>/Users/mason/Sites/Buff/tests/Feature/DashboardTest.php:159; /Users/mason/Sites/Buff/tests/Feature/MealEntryTest.php:104</x:v>
      </x:c>
      <x:c r="K162" s="58" t="str">
        <x:v>/Users/mason/Sites/Buff/app/Models/MealEntry.php:9; /Users/mason/Sites/Buff/app/Services/DailySummaryService.php:22-26,54-70; /Users/mason/Sites/Buff/resources/js/Pages/Today.vue:717-768</x:v>
      </x:c>
      <x:c r="L162" s="58" t="str">
        <x:v>Mapped</x:v>
      </x:c>
      <x:c r="M162" s="58" t="str">
        <x:v>Ready</x:v>
      </x:c>
      <x:c r="N162" s="58" t="str">
        <x:v>Not Run</x:v>
      </x:c>
      <x:c r="O162" s="58" t="str">
        <x:v>Passed</x:v>
      </x:c>
      <x:c r="P162" s="58" t="str">
        <x:v>Android: /Users/mason/.codex/visualizations/2026/09/01/01a05def-1c0d-76d1-abc6-07c63a443582/emulator-runs/initial/android/NUT-010-second-meal-group-order.png — Breakfast, Lunch, Dinner, and Snacks stayed in fixed order. Populated groups suppressed their per-group Add link, empty groups exposed the correct preselected Add action, and the global Add food link remained available.</x:v>
      </x:c>
      <x:c r="Q162" s="58" t="str">
        <x:v>DEF-091
DEF-094</x:v>
      </x:c>
      <x:c r="R162" s="58" t="str">
        <x:v>Open</x:v>
      </x:c>
      <x:c r="S162" s="58" t="str"/>
      <x:c r="T162" s="58" t="str">
        <x:v>Blocked</x:v>
      </x:c>
      <x:c r="U162" s="58" t="str">
        <x:v>Failed</x:v>
      </x:c>
      <x:c r="V162" s="58" t="str">
        <x:v>Android: /Users/mason/.codex/visualizations/2026/09/01/01a05def-1c0d-76d1-abc6-07c63a443582/inventory/retest-android-meal-groups-cases.json
/Users/mason/.codex/visualizations/2026/09/01/01a05def-1c0d-76d1-abc6-07c63a443582/emulator-runs/retest/android/NUT-009-baseline-groups.png — All four empty-group Add presets retain Aug29/type. Populated Breakfast/Dinner hide their Add; Lunch/Snacks retain Add and global Add food remains. A/B creation order is correct, including after moves. Native frames still have displaced calorie-ring and duplicate meal fragments (DEF-091).
iOS: /Users/mason/.codex/visualizations/2026/09/01/01a05def-1c0d-76d1-abc6-07c63a443582/emulator-runs/retest/ios/batch-012-case-manifest.json
/Users/mason/.codex/visualizations/2026/09/01/01a05def-1c0d-76d1-abc6-07c63a443582/emulator-runs/retest/ios/NUT-009-three-entries-fixed-groups.png
/Users/mason/.codex/visualizations/2026/09/01/01a05def-1c0d-76d1-abc6-07c63a443582/emulator-runs/retest/ios/NUT-090-cold-persisted-aug30-groups.png — On iOS build 15, Breakfast, Lunch, Dinner and Snacks remained in fixed order. All four empty-group Add actions opened the correct Aug 30 meal preset. Populated groups hid their per-group Add, while the global Add food action remained available. Two Breakfast rows appeared oldest-first. Moving newer B and then older A to Snacks preserved creation order, restored Breakfast Add, and kept the correct empty/populated affordances. These grouping and preset cases passed. Visual rendering failed: scrolled Breakfast text and Add controls collided with the iOS clock/status icons; the same overlap remained after a cold launch (DEF-094).
iOS: /Users/mason/.codex/visualizations/2026/09/01/01a05def-1c0d-76d1-abc6-07c63a443582/emulator-runs/retest/ios/DEF-094-b16-postfix-observations.json
/Users/mason/.codex/visualizations/2026/09/01/01a05def-1c0d-76d1-abc6-07c63a443582/emulator-runs/retest/ios/DEF-094-b16-system-scrolled.png
/Users/mason/.codex/visualizations/2026/09/01/01a05def-1c0d-76d1-abc6-07c63a443582/emulator-runs/retest/ios/DEF-094-b16-dark-scrolled.png
/Users/mason/.codex/visualizations/2026/09/01/01a05def-1c0d-76d1-abc6-07c63a443582/emulator-runs/retest/ios/DEF-094-b16-light-meal-edit.png
/Users/mason/.codex/visualizations/2026/09/01/01a05def-1c0d-76d1-abc6-07c63a443582/emulator-runs/retest/ios/DEF-094-b16-dark-weekly-scrolled.png — iOS build 16 passed the reproduced top-chrome regression. At the original Aug 30 Breakfast y=16–36 and Meals y=15–43 collision positions, native clock/status icons remained readable with content hidden by a 62 px fixed #app::before backing (z-index 30, pointer-events none). Explicit Light used RGB 245/246/246; Dark used RGB 21/22/22 with readable white native status text. System, light meal detail/edit open and cancel, and dark Weekly scroll also passed. No meal fields changed; the daily summary remained identical. System appearance was restored and Reduce Motion remained off. Auth/onboarding and zero-inset desktop environments were not exercised.</x:v>
      </x:c>
      <x:c r="W162" s="58" t="str">
        <x:f>IF(AND(OR(N162="Passed",N162="Failed",N162="Not Applicable"),OR(O162="Passed",O162="Failed",O162="Not Applicable"),OR(N162="Passed",N162="Failed",O162="Passed",O162="Failed"),OR(T162="Passed",T162="Not Applicable"),OR(U162="Passed",U162="Not Applicable"),OR(T162="Passed",U162="Passed"),Y162="Reconciled",Z162="Reconciled",IF(Q162&lt;&gt;"",R162="Fixed",TRUE)),"Verified",IF(OR(T162="Failed",U162="Failed"),"Retest Failed",IF(OR(N162="Failed",O162="Failed",Q162&lt;&gt;""),"Defect Found",IF(AND(OR(N162="Passed",N162="Not Applicable"),OR(O162="Passed",O162="Not Applicable"),OR(N162="Passed",O162="Passed")),"Initial Pass","Not Complete"))))</x:f>
        <x:v>Retest Failed</x:v>
      </x:c>
      <x:c r="X162" s="58" t="str">
        <x:v>Both Aug 29 Android and Aug 30 iOS data/navigation matrices pass grouping, all four Add presets and original-creation ordering, including moving an older entry into a group containing a newer one. Native visual results remain Failed: displaced/duplicated Android fragments (DEF-091) and scrolled iOS status-area overlap (DEF-094). iOS overlap persisted after cold launch. Entirely empty current-day layout is covered separately by NUT-005.
Fresh iOS build16 resolves DEF-094 at the original Meals/Breakfast scroll positions with unchanged Aug30 meal summary. The build15 group/preset/order tests remain historical; this focused build16 check does not repeat all group actions. Android DEF-091 remains visible after the fresh update.</x:v>
      </x:c>
      <x:c r="Y162" s="58" t="str">
        <x:f>IF(OR(N162="Not Run",O162="Not Run"),"Pending",IF(AND(OR(N162="Not Applicable",COUNTIFS('Test Runs'!$B$5:$B$2004,A162,'Test Runs'!$C$5:$C$2004,"Initial",'Test Runs'!$D$5:$D$2004,"iOS",'Test Runs'!$I$5:$I$2004,N162)&gt;0),OR(O162="Not Applicable",COUNTIFS('Test Runs'!$B$5:$B$2004,A162,'Test Runs'!$C$5:$C$2004,"Initial",'Test Runs'!$D$5:$D$2004,"Android",'Test Runs'!$I$5:$I$2004,O162)&gt;0)),"Reconciled","Mismatch"))</x:f>
        <x:v>Pending</x:v>
      </x:c>
      <x:c r="Z162" s="58" t="str">
        <x:f>IF(OR(T162="Not Run",U162="Not Run"),"Pending",IF(AND(OR(T162="Not Applicable",COUNTIFS('Test Runs'!$B$5:$B$2004,A162,'Test Runs'!$C$5:$C$2004,"Retest",'Test Runs'!$D$5:$D$2004,"iOS",'Test Runs'!$I$5:$I$2004,T162)&gt;0),OR(U162="Not Applicable",COUNTIFS('Test Runs'!$B$5:$B$2004,A162,'Test Runs'!$C$5:$C$2004,"Retest",'Test Runs'!$D$5:$D$2004,"Android",'Test Runs'!$I$5:$I$2004,U162)&gt;0)),"Reconciled","Mismatch"))</x:f>
        <x:v>Reconciled</x:v>
      </x:c>
    </x:row>
    <x:row r="163" ht="120" customHeight="1">
      <x:c r="A163" s="58" t="str">
        <x:v>NUT-010</x:v>
      </x:c>
      <x:c r="B163" s="58" t="str">
        <x:v>Today - meal row display</x:v>
      </x:c>
      <x:c r="C163" s="58" t="str">
        <x:v>Tap a meal row</x:v>
      </x:c>
      <x:c r="D163" s="58" t="str">
        <x:v>As a user, I want each logged food to show its name, portion, and calories so that I can identify it quickly.</x:v>
      </x:c>
      <x:c r="E163" s="58" t="str">
        <x:v>Rows show name, portion label and kcal; tapping opens details. Gram/ml portions keep their units, while recipe or null-unit portions use serving/servings rather than a bare number.</x:v>
      </x:c>
      <x:c r="F163" s="58" t="str">
        <x:v>Both</x:v>
      </x:c>
      <x:c r="G163" s="58" t="str">
        <x:v>Custom g item, liquid ml item, and recipe entry.</x:v>
      </x:c>
      <x:c r="H163" s="58" t="str">
        <x:v>Compare three rows; confirm tap target and VoiceOver label "View &lt;name&gt;".</x:v>
      </x:c>
      <x:c r="I163" s="58" t="str">
        <x:v>Repeat with TalkBack.</x:v>
      </x:c>
      <x:c r="J163" s="58" t="str">
        <x:v>No direct UI test; payload covered by DashboardTest and RecipeTest</x:v>
      </x:c>
      <x:c r="K163" s="58" t="str">
        <x:v>/Users/mason/Sites/Buff/resources/js/Pages/Today.vue:744-763; /Users/mason/Sites/Buff/app/Services/DailySummaryService.php:56-69</x:v>
      </x:c>
      <x:c r="L163" s="58" t="str">
        <x:v>Mapped</x:v>
      </x:c>
      <x:c r="M163" s="58" t="str">
        <x:v>Ready</x:v>
      </x:c>
      <x:c r="N163" s="58" t="str">
        <x:v>Not Run</x:v>
      </x:c>
      <x:c r="O163" s="58" t="str">
        <x:v>Blocked</x:v>
      </x:c>
      <x:c r="P163" s="58" t="str">
        <x:v>Android: /Users/mason/.codex/visualizations/2026/09/01/01a05def-1c0d-76d1-abc6-07c63a443582/emulator-runs/initial/android/NUT-010-row-types.png
/Users/mason/.codex/visualizations/2026/09/01/01a05def-1c0d-76d1-abc6-07c63a443582/emulator-runs/initial/android/NUT-010-row-detail.png
/Users/mason/.codex/visualizations/2026/09/01/01a05def-1c0d-76d1-abc6-07c63a443582/emulator-runs/initial/android/NUT-010-row-types-observations.json — Seven visible custom, barcode, and recipe rows showed their names, portion text, and kcal values. Tapping the custom dinner row opened details with Dinner, QA Macro Bowl Edited 20260901, 370 kcal, 350g, 40g protein, 30g carbs, 10g fat, Edit, and Delete.</x:v>
      </x:c>
      <x:c r="Q163" s="58" t="str"/>
      <x:c r="R163" s="58" t="str">
        <x:v>Not Needed</x:v>
      </x:c>
      <x:c r="S163" s="58" t="str"/>
      <x:c r="T163" s="58" t="str">
        <x:v>Not Run</x:v>
      </x:c>
      <x:c r="U163" s="58" t="str">
        <x:v>Not Run</x:v>
      </x:c>
      <x:c r="V163" s="58" t="str"/>
      <x:c r="W163" s="58" t="str">
        <x:f>IF(AND(OR(N163="Passed",N163="Failed",N163="Not Applicable"),OR(O163="Passed",O163="Failed",O163="Not Applicable"),OR(N163="Passed",N163="Failed",O163="Passed",O163="Failed"),OR(T163="Passed",T163="Not Applicable"),OR(U163="Passed",U163="Not Applicable"),OR(T163="Passed",U163="Passed"),Y163="Reconciled",Z163="Reconciled",IF(Q163&lt;&gt;"",R163="Fixed",TRUE)),"Verified",IF(OR(T163="Failed",U163="Failed"),"Retest Failed",IF(OR(N163="Failed",O163="Failed",Q163&lt;&gt;""),"Defect Found",IF(AND(OR(N163="Passed",N163="Not Applicable"),OR(O163="Passed",O163="Not Applicable"),OR(N163="Passed",O163="Passed")),"Initial Pass","Not Complete"))))</x:f>
        <x:v>Not Complete</x:v>
      </x:c>
      <x:c r="X163" s="58" t="str">
        <x:v>Recipe portion text is ambiguous (for example "1" rather than "1 serving"); missing portions render an empty secondary line.</x:v>
      </x:c>
      <x:c r="Y163" s="58" t="str">
        <x:f>IF(OR(N163="Not Run",O163="Not Run"),"Pending",IF(AND(OR(N163="Not Applicable",COUNTIFS('Test Runs'!$B$5:$B$2004,A163,'Test Runs'!$C$5:$C$2004,"Initial",'Test Runs'!$D$5:$D$2004,"iOS",'Test Runs'!$I$5:$I$2004,N163)&gt;0),OR(O163="Not Applicable",COUNTIFS('Test Runs'!$B$5:$B$2004,A163,'Test Runs'!$C$5:$C$2004,"Initial",'Test Runs'!$D$5:$D$2004,"Android",'Test Runs'!$I$5:$I$2004,O163)&gt;0)),"Reconciled","Mismatch"))</x:f>
        <x:v>Pending</x:v>
      </x:c>
      <x:c r="Z163" s="58" t="str">
        <x:f>IF(OR(T163="Not Run",U163="Not Run"),"Pending",IF(AND(OR(T163="Not Applicable",COUNTIFS('Test Runs'!$B$5:$B$2004,A163,'Test Runs'!$C$5:$C$2004,"Retest",'Test Runs'!$D$5:$D$2004,"iOS",'Test Runs'!$I$5:$I$2004,T163)&gt;0),OR(U163="Not Applicable",COUNTIFS('Test Runs'!$B$5:$B$2004,A163,'Test Runs'!$C$5:$C$2004,"Retest",'Test Runs'!$D$5:$D$2004,"Android",'Test Runs'!$I$5:$I$2004,U163)&gt;0)),"Reconciled","Mismatch"))</x:f>
        <x:v>Pending</x:v>
      </x:c>
    </x:row>
    <x:row r="164" ht="120" customHeight="1">
      <x:c r="A164" s="58" t="str">
        <x:v>NUT-011</x:v>
      </x:c>
      <x:c r="B164" s="58" t="str">
        <x:v>Today - current streak</x:v>
      </x:c>
      <x:c r="C164" s="58" t="str">
        <x:v>Bottom of Today</x:v>
      </x:c>
      <x:c r="D164" s="58" t="str">
        <x:v>As a user, I want to see my food-logging streak so that I am encouraged to stay consistent.</x:v>
      </x:c>
      <x:c r="E164" s="58" t="str">
        <x:v>The current streak counts consecutive positive-calorie meal days ending today or yesterday, ignores future entries, and breaks on a gap; it is shown at the bottom of every selected date.</x:v>
      </x:c>
      <x:c r="F164" s="58" t="str">
        <x:v>Both</x:v>
      </x:c>
      <x:c r="G164" s="58" t="str">
        <x:v>Entries today/yesterday with and without gaps; future-only entry.</x:v>
      </x:c>
      <x:c r="H164" s="58" t="str">
        <x:v>Set device/test date; verify today-ending, yesterday-ending, gap, and expired cases; then view a historical date.</x:v>
      </x:c>
      <x:c r="I164" s="58" t="str">
        <x:v>Repeat on Android.</x:v>
      </x:c>
      <x:c r="J164" s="58" t="str">
        <x:v>/Users/mason/Sites/Buff/tests/Feature/DashboardTest.php:203; /Users/mason/Sites/Buff/tests/Unit/TodayWorkoutButtonTest.php:37</x:v>
      </x:c>
      <x:c r="K164" s="58" t="str">
        <x:v>/Users/mason/Sites/Buff/app/Services/DailySummaryService.php:81,85-111; /Users/mason/Sites/Buff/resources/js/Pages/Today.vue:850</x:v>
      </x:c>
      <x:c r="L164" s="58" t="str">
        <x:v>Mapped</x:v>
      </x:c>
      <x:c r="M164" s="58" t="str">
        <x:v>Ready</x:v>
      </x:c>
      <x:c r="N164" s="58" t="str">
        <x:v>Not Run</x:v>
      </x:c>
      <x:c r="O164" s="58" t="str">
        <x:v>Blocked</x:v>
      </x:c>
      <x:c r="P164" s="58" t="str">
        <x:v>Android: /Users/mason/.codex/visualizations/2026/09/01/01a05def-1c0d-76d1-abc6-07c63a443582/emulator-runs/initial/android/NUT-010-second-meal-group-order.png — Multiple positive-calorie entries on future date 2026-09-02 left the current streak at 0 both on that historical/future view and on empty Sep 1, confirming future food is ignored and the present-day value is reused across selected dates.</x:v>
      </x:c>
      <x:c r="Q164" s="58" t="str"/>
      <x:c r="R164" s="58" t="str">
        <x:v>Not Needed</x:v>
      </x:c>
      <x:c r="S164" s="58" t="str"/>
      <x:c r="T164" s="58" t="str">
        <x:v>Not Run</x:v>
      </x:c>
      <x:c r="U164" s="58" t="str">
        <x:v>Not Run</x:v>
      </x:c>
      <x:c r="V164" s="58" t="str"/>
      <x:c r="W164" s="58" t="str">
        <x:f>IF(AND(OR(N164="Passed",N164="Failed",N164="Not Applicable"),OR(O164="Passed",O164="Failed",O164="Not Applicable"),OR(N164="Passed",N164="Failed",O164="Passed",O164="Failed"),OR(T164="Passed",T164="Not Applicable"),OR(U164="Passed",U164="Not Applicable"),OR(T164="Passed",U164="Passed"),Y164="Reconciled",Z164="Reconciled",IF(Q164&lt;&gt;"",R164="Fixed",TRUE)),"Verified",IF(OR(T164="Failed",U164="Failed"),"Retest Failed",IF(OR(N164="Failed",O164="Failed",Q164&lt;&gt;""),"Defect Found",IF(AND(OR(N164="Passed",N164="Not Applicable"),OR(O164="Passed",O164="Not Applicable"),OR(N164="Passed",O164="Passed")),"Initial Pass","Not Complete"))))</x:f>
        <x:v>Not Complete</x:v>
      </x:c>
      <x:c r="X164" s="58" t="str">
        <x:v>The value is always the present-day streak but is displayed on historical Today pages without "current" context, which can imply it belongs to the selected date.</x:v>
      </x:c>
      <x:c r="Y164" s="58" t="str">
        <x:f>IF(OR(N164="Not Run",O164="Not Run"),"Pending",IF(AND(OR(N164="Not Applicable",COUNTIFS('Test Runs'!$B$5:$B$2004,A164,'Test Runs'!$C$5:$C$2004,"Initial",'Test Runs'!$D$5:$D$2004,"iOS",'Test Runs'!$I$5:$I$2004,N164)&gt;0),OR(O164="Not Applicable",COUNTIFS('Test Runs'!$B$5:$B$2004,A164,'Test Runs'!$C$5:$C$2004,"Initial",'Test Runs'!$D$5:$D$2004,"Android",'Test Runs'!$I$5:$I$2004,O164)&gt;0)),"Reconciled","Mismatch"))</x:f>
        <x:v>Pending</x:v>
      </x:c>
      <x:c r="Z164" s="58" t="str">
        <x:f>IF(OR(T164="Not Run",U164="Not Run"),"Pending",IF(AND(OR(T164="Not Applicable",COUNTIFS('Test Runs'!$B$5:$B$2004,A164,'Test Runs'!$C$5:$C$2004,"Retest",'Test Runs'!$D$5:$D$2004,"iOS",'Test Runs'!$I$5:$I$2004,T164)&gt;0),OR(U164="Not Applicable",COUNTIFS('Test Runs'!$B$5:$B$2004,A164,'Test Runs'!$C$5:$C$2004,"Retest",'Test Runs'!$D$5:$D$2004,"Android",'Test Runs'!$I$5:$I$2004,U164)&gt;0)),"Reconciled","Mismatch"))</x:f>
        <x:v>Pending</x:v>
      </x:c>
    </x:row>
    <x:row r="165" ht="120" customHeight="1">
      <x:c r="A165" s="58" t="str">
        <x:v>NUT-012</x:v>
      </x:c>
      <x:c r="B165" s="58" t="str">
        <x:v>Today - no goal fallback</x:v>
      </x:c>
      <x:c r="C165" s="58" t="str">
        <x:v>Today reached with skip_onboarding=1 or imported inconsistent state</x:v>
      </x:c>
      <x:c r="D165" s="58" t="str">
        <x:v>As a user without a goal, I want an explanation and route to set one so that zero targets are understandable.</x:v>
      </x:c>
      <x:c r="E165" s="58" t="str">
        <x:v>Today shows a warning with Set goals; the calorie ring says No daily target yet and macro goals are zero.</x:v>
      </x:c>
      <x:c r="F165" s="58" t="str">
        <x:v>Both</x:v>
      </x:c>
      <x:c r="G165" s="58" t="str">
        <x:v>No DailyGoal; bypass onboarding.</x:v>
      </x:c>
      <x:c r="H165" s="58" t="str">
        <x:v>Verify warning, accessible calorie label, and Set goals navigation.</x:v>
      </x:c>
      <x:c r="I165" s="58" t="str">
        <x:v>Repeat on Android.</x:v>
      </x:c>
      <x:c r="J165" s="58" t="str">
        <x:v>/Users/mason/Sites/Buff/tests/Feature/DashboardTest.php:132</x:v>
      </x:c>
      <x:c r="K165" s="58" t="str">
        <x:v>/Users/mason/Sites/Buff/resources/js/Pages/Today.vue:672-675,693-715; /Users/mason/Sites/Buff/resources/js/Components/CalorieRing.vue:31-58</x:v>
      </x:c>
      <x:c r="L165" s="58" t="str">
        <x:v>Mapped</x:v>
      </x:c>
      <x:c r="M165" s="58" t="str">
        <x:v>Ready</x:v>
      </x:c>
      <x:c r="N165" s="58" t="str">
        <x:v>Not Run</x:v>
      </x:c>
      <x:c r="O165" s="58" t="str">
        <x:v>Failed</x:v>
      </x:c>
      <x:c r="P165" s="58" t="str">
        <x:v>Android: /Users/mason/.codex/visualizations/2026/09/01/01a05def-1c0d-76d1-abc6-07c63a443582/emulator-runs/initial/android/NUT-012-first-bypass-blank-uiautomator.xml
/Users/mason/.codex/visualizations/2026/09/01/01a05def-1c0d-76d1-abc6-07c63a443582/emulator-runs/initial/android/NUT-012-no-goal-fallback.png — After reload and on an immediate repeat, the no-goal state showed Set your daily calorie and macro goals before logging meals, a Set goals action, No daily target yet, and 0 g macro targets. The first bypass attempt showed none of that content until reload.</x:v>
      </x:c>
      <x:c r="Q165" s="58" t="str">
        <x:v>DEF-076</x:v>
      </x:c>
      <x:c r="R165" s="58" t="str">
        <x:v>Open</x:v>
      </x:c>
      <x:c r="S165" s="58" t="str"/>
      <x:c r="T165" s="58" t="str">
        <x:v>Not Run</x:v>
      </x:c>
      <x:c r="U165" s="58" t="str">
        <x:v>Passed</x:v>
      </x:c>
      <x:c r="V165" s="58" t="str">
        <x:v>Android: /Users/mason/.codex/visualizations/2026/09/06/01a07722-2d43-7910-aa74-f3a7d9489dc2/release-qa/DEF-076-first-bypass-final.json; /Users/mason/.codex/visualizations/2026/09/06/01a07722-2d43-7910-aa74-f3a7d9489dc2/release-qa/DEF-076-first-bypass-final.png — Fresh-account first explicit no-goal bypass rendered the complete fallback in 1262 ms; no blank page.</x:v>
      </x:c>
      <x:c r="W165" s="58" t="str">
        <x:f>IF(AND(OR(N165="Passed",N165="Failed",N165="Not Applicable"),OR(O165="Passed",O165="Failed",O165="Not Applicable"),OR(N165="Passed",N165="Failed",O165="Passed",O165="Failed"),OR(T165="Passed",T165="Not Applicable"),OR(U165="Passed",U165="Not Applicable"),OR(T165="Passed",U165="Passed"),Y165="Reconciled",Z165="Reconciled",IF(Q165&lt;&gt;"",R165="Fixed",TRUE)),"Verified",IF(OR(T165="Failed",U165="Failed"),"Retest Failed",IF(OR(N165="Failed",O165="Failed",Q165&lt;&gt;""),"Defect Found",IF(AND(OR(N165="Passed",N165="Not Applicable"),OR(O165="Passed",O165="Not Applicable"),OR(N165="Passed",O165="Passed")),"Initial Pass","Not Complete"))))</x:f>
        <x:v>Defect Found</x:v>
      </x:c>
      <x:c r="X165" s="58" t="str">
        <x:v>Ordinary navigation redirects before this state; test only for recovery/import edge cases.</x:v>
      </x:c>
      <x:c r="Y165" s="58" t="str">
        <x:f>IF(OR(N165="Not Run",O165="Not Run"),"Pending",IF(AND(OR(N165="Not Applicable",COUNTIFS('Test Runs'!$B$5:$B$2004,A165,'Test Runs'!$C$5:$C$2004,"Initial",'Test Runs'!$D$5:$D$2004,"iOS",'Test Runs'!$I$5:$I$2004,N165)&gt;0),OR(O165="Not Applicable",COUNTIFS('Test Runs'!$B$5:$B$2004,A165,'Test Runs'!$C$5:$C$2004,"Initial",'Test Runs'!$D$5:$D$2004,"Android",'Test Runs'!$I$5:$I$2004,O165)&gt;0)),"Reconciled","Mismatch"))</x:f>
        <x:v>Pending</x:v>
      </x:c>
      <x:c r="Z165" s="58" t="str">
        <x:f>IF(OR(T165="Not Run",U165="Not Run"),"Pending",IF(AND(OR(T165="Not Applicable",COUNTIFS('Test Runs'!$B$5:$B$2004,A165,'Test Runs'!$C$5:$C$2004,"Retest",'Test Runs'!$D$5:$D$2004,"iOS",'Test Runs'!$I$5:$I$2004,T165)&gt;0),OR(U165="Not Applicable",COUNTIFS('Test Runs'!$B$5:$B$2004,A165,'Test Runs'!$C$5:$C$2004,"Retest",'Test Runs'!$D$5:$D$2004,"Android",'Test Runs'!$I$5:$I$2004,U165)&gt;0)),"Reconciled","Mismatch"))</x:f>
        <x:v>Pending</x:v>
      </x:c>
    </x:row>
    <x:row r="166" ht="120" customHeight="1">
      <x:c r="A166" s="58" t="str">
        <x:v>NUT-013</x:v>
      </x:c>
      <x:c r="B166" s="58" t="str">
        <x:v>Today - goal history semantics</x:v>
      </x:c>
      <x:c r="C166" s="58" t="str">
        <x:v>Any historical Today or Weekly view after editing Goals</x:v>
      </x:c>
      <x:c r="D166" s="58" t="str">
        <x:v>As a user reviewing past nutrition, I want to understand which target is used so that status is interpretable.</x:v>
      </x:c>
      <x:c r="E166" s="58" t="str">
        <x:v>The most recently updated single DailyGoal is used for every date/week, not a historical snapshot. Weekly explicitly says targets use the current goal and update when it changes.</x:v>
      </x:c>
      <x:c r="F166" s="58" t="str">
        <x:v>Both</x:v>
      </x:c>
      <x:c r="G166" s="58" t="str">
        <x:v>Log a past day, note status, then change calorie/macros goal.</x:v>
      </x:c>
      <x:c r="H166" s="58" t="str">
        <x:v>Log a past day, change Goals and reopen that date/Weekly. Verify recalculated targets/status and the visible current-goal disclosure.</x:v>
      </x:c>
      <x:c r="I166" s="58" t="str">
        <x:v>Repeat on Android.</x:v>
      </x:c>
      <x:c r="J166" s="58" t="str">
        <x:v>No explicit historical-goal test</x:v>
      </x:c>
      <x:c r="K166" s="58" t="str">
        <x:v>/Users/mason/Sites/Buff/app/Services/DailySummaryService.php:18-20; /Users/mason/Sites/Buff/app/Services/WeekSummaryService.php:49-60; /Users/mason/Sites/Buff/app/Http/Controllers/MacroController.php:47-55</x:v>
      </x:c>
      <x:c r="L166" s="58" t="str">
        <x:v>Mapped</x:v>
      </x:c>
      <x:c r="M166" s="58" t="str">
        <x:v>Ready</x:v>
      </x:c>
      <x:c r="N166" s="58" t="str">
        <x:v>Not Run</x:v>
      </x:c>
      <x:c r="O166" s="58" t="str">
        <x:v>Failed</x:v>
      </x:c>
      <x:c r="P166" s="58" t="str">
        <x:v>Android: /Users/mason/.codex/visualizations/2026/09/01/01a05def-1c0d-76d1-abc6-07c63a443582/emulator-runs/initial/android/NUT-106-goal-only-empty-range.png
/Users/mason/.codex/visualizations/2026/09/01/01a05def-1c0d-76d1-abc6-07c63a443582/emulator-runs/initial/android/NUT-013-historical-goal-retroactive-2250.png
/Users/mason/.codex/visualizations/2026/09/01/01a05def-1c0d-76d1-abc6-07c63a443582/emulator-runs/initial/android/NUT-013-goal-restored-2200.png
/Users/mason/.codex/visualizations/2026/09/01/01a05def-1c0d-76d1-abc6-07c63a443582/emulator-runs/initial/android/NUT-013-018-094-105-106-observations.json — For 1-7 July 2026, the historical view showed a 15400 aggregate target and 2200 per-day rows with the current goal at 2200. Saving a current goal of 2250 changed the same range to 15750 and 2250 per day without disclosing that current goals were used. Restoring 2200 returned the range to 15400/2200.</x:v>
      </x:c>
      <x:c r="Q166" s="58" t="str">
        <x:v>DEF-075</x:v>
      </x:c>
      <x:c r="R166" s="58" t="str">
        <x:v>In Progress</x:v>
      </x:c>
      <x:c r="S166" s="58" t="str"/>
      <x:c r="T166" s="58" t="str">
        <x:v>Not Run</x:v>
      </x:c>
      <x:c r="U166" s="58" t="str">
        <x:v>Not Run</x:v>
      </x:c>
      <x:c r="V166" s="58" t="str"/>
      <x:c r="W166" s="58" t="str">
        <x:f>IF(AND(OR(N166="Passed",N166="Failed",N166="Not Applicable"),OR(O166="Passed",O166="Failed",O166="Not Applicable"),OR(N166="Passed",N166="Failed",O166="Passed",O166="Failed"),OR(T166="Passed",T166="Not Applicable"),OR(U166="Passed",U166="Not Applicable"),OR(T166="Passed",U166="Passed"),Y166="Reconciled",Z166="Reconciled",IF(Q166&lt;&gt;"",R166="Fixed",TRUE)),"Verified",IF(OR(T166="Failed",U166="Failed"),"Retest Failed",IF(OR(N166="Failed",O166="Failed",Q166&lt;&gt;""),"Defect Found",IF(AND(OR(N166="Passed",N166="Not Applicable"),OR(O166="Passed",O166="Not Applicable"),OR(N166="Passed",O166="Passed")),"Initial Pass","Not Complete"))))</x:f>
        <x:v>Defect Found</x:v>
      </x:c>
      <x:c r="X166" s="58" t="str">
        <x:v>Likely product/UX risk: historical adherence changes retroactively with current goals.</x:v>
      </x:c>
      <x:c r="Y166" s="58" t="str">
        <x:f>IF(OR(N166="Not Run",O166="Not Run"),"Pending",IF(AND(OR(N166="Not Applicable",COUNTIFS('Test Runs'!$B$5:$B$2004,A166,'Test Runs'!$C$5:$C$2004,"Initial",'Test Runs'!$D$5:$D$2004,"iOS",'Test Runs'!$I$5:$I$2004,N166)&gt;0),OR(O166="Not Applicable",COUNTIFS('Test Runs'!$B$5:$B$2004,A166,'Test Runs'!$C$5:$C$2004,"Initial",'Test Runs'!$D$5:$D$2004,"Android",'Test Runs'!$I$5:$I$2004,O166)&gt;0)),"Reconciled","Mismatch"))</x:f>
        <x:v>Pending</x:v>
      </x:c>
      <x:c r="Z166" s="58" t="str">
        <x:f>IF(OR(T166="Not Run",U166="Not Run"),"Pending",IF(AND(OR(T166="Not Applicable",COUNTIFS('Test Runs'!$B$5:$B$2004,A166,'Test Runs'!$C$5:$C$2004,"Retest",'Test Runs'!$D$5:$D$2004,"iOS",'Test Runs'!$I$5:$I$2004,T166)&gt;0),OR(U166="Not Applicable",COUNTIFS('Test Runs'!$B$5:$B$2004,A166,'Test Runs'!$C$5:$C$2004,"Retest",'Test Runs'!$D$5:$D$2004,"Android",'Test Runs'!$I$5:$I$2004,U166)&gt;0)),"Reconciled","Mismatch"))</x:f>
        <x:v>Pending</x:v>
      </x:c>
    </x:row>
    <x:row r="167" ht="120" customHeight="1">
      <x:c r="A167" s="58" t="str">
        <x:v>NUT-014</x:v>
      </x:c>
      <x:c r="B167" s="58" t="str">
        <x:v>Add launcher - global drawer</x:v>
      </x:c>
      <x:c r="C167" s="58" t="str">
        <x:v>Central Add button; sidebar Add; Today Add food</x:v>
      </x:c>
      <x:c r="D167" s="58" t="str">
        <x:v>As a user, I want the central Add action to open a lightweight chooser so that I can select what to log.</x:v>
      </x:c>
      <x:c r="E167" s="58" t="str">
        <x:v>Sidebar/mobile Add and Today's Start card open the same history-backed bottom drawer, apply haptic feedback, suppress ad placement as /add, and preserve Today's selected date when a mode is chosen.</x:v>
      </x:c>
      <x:c r="F167" s="58" t="str">
        <x:v>Both</x:v>
      </x:c>
      <x:c r="G167" s="58" t="str">
        <x:v>Signed-in/onboarded app; select a historical Today date.</x:v>
      </x:c>
      <x:c r="H167" s="58" t="str">
        <x:v>Tap Add; select Search; verify /add date matches selected day.</x:v>
      </x:c>
      <x:c r="I167" s="58" t="str">
        <x:v>Repeat; press system Back while drawer is open and verify it closes without leaving page.</x:v>
      </x:c>
      <x:c r="J167" s="58" t="str">
        <x:v>/Users/mason/Sites/Buff/tests/Feature/MealEntryTest.php:125; /Users/mason/Sites/Buff/tests/addChooser.test.ts; /Users/mason/Sites/Buff/tests/appShell.test.ts</x:v>
      </x:c>
      <x:c r="K167" s="58" t="str">
        <x:v>/Users/mason/Sites/Buff/resources/js/Layouts/AppShell.vue:62-78,136-154,359-367,393-410,436-444</x:v>
      </x:c>
      <x:c r="L167" s="58" t="str">
        <x:v>Mapped</x:v>
      </x:c>
      <x:c r="M167" s="58" t="str">
        <x:v>Ready</x:v>
      </x:c>
      <x:c r="N167" s="58" t="str">
        <x:v>Not Run</x:v>
      </x:c>
      <x:c r="O167" s="58" t="str">
        <x:v>Passed</x:v>
      </x:c>
      <x:c r="P167" s="58" t="str">
        <x:v>Android: /Users/mason/.codex/visualizations/2026/09/01/01a05def-1c0d-76d1-abc6-07c63a443582/emulator-runs/initial/android/NUT-014-historical-add-drawer.png
/Users/mason/.codex/visualizations/2026/09/01/01a05def-1c0d-76d1-abc6-07c63a443582/emulator-runs/initial/android/NUT-014-search-preserves-date.png — The central Add opened the six-choice history-backed drawer without changing /?date=2026-09-02; Search navigated to /add?date=2026-09-02&amp;mode=food, and one Android Back returned to the dated Today page.</x:v>
      </x:c>
      <x:c r="Q167" s="58" t="str"/>
      <x:c r="R167" s="58" t="str">
        <x:v>Not Needed</x:v>
      </x:c>
      <x:c r="S167" s="58" t="str"/>
      <x:c r="T167" s="58" t="str">
        <x:v>Not Run</x:v>
      </x:c>
      <x:c r="U167" s="58" t="str">
        <x:v>Not Run</x:v>
      </x:c>
      <x:c r="V167" s="58" t="str"/>
      <x:c r="W167" s="58" t="str">
        <x:f>IF(AND(OR(N167="Passed",N167="Failed",N167="Not Applicable"),OR(O167="Passed",O167="Failed",O167="Not Applicable"),OR(N167="Passed",N167="Failed",O167="Passed",O167="Failed"),OR(T167="Passed",T167="Not Applicable"),OR(U167="Passed",U167="Not Applicable"),OR(T167="Passed",U167="Passed"),Y167="Reconciled",Z167="Reconciled",IF(Q167&lt;&gt;"",R167="Fixed",TRUE)),"Verified",IF(OR(T167="Failed",U167="Failed"),"Retest Failed",IF(OR(N167="Failed",O167="Failed",Q167&lt;&gt;""),"Defect Found",IF(AND(OR(N167="Passed",N167="Not Applicable"),OR(O167="Passed",O167="Not Applicable"),OR(N167="Passed",O167="Passed")),"Initial Pass","Not Complete"))))</x:f>
        <x:v>Not Complete</x:v>
      </x:c>
      <x:c r="X167" s="58" t="str">
        <x:v>Opening Add from non-Today pages has no summary date and therefore defaults to today; this may surprise users working in another dated context.</x:v>
      </x:c>
      <x:c r="Y167" s="58" t="str">
        <x:f>IF(OR(N167="Not Run",O167="Not Run"),"Pending",IF(AND(OR(N167="Not Applicable",COUNTIFS('Test Runs'!$B$5:$B$2004,A167,'Test Runs'!$C$5:$C$2004,"Initial",'Test Runs'!$D$5:$D$2004,"iOS",'Test Runs'!$I$5:$I$2004,N167)&gt;0),OR(O167="Not Applicable",COUNTIFS('Test Runs'!$B$5:$B$2004,A167,'Test Runs'!$C$5:$C$2004,"Initial",'Test Runs'!$D$5:$D$2004,"Android",'Test Runs'!$I$5:$I$2004,O167)&gt;0)),"Reconciled","Mismatch"))</x:f>
        <x:v>Pending</x:v>
      </x:c>
      <x:c r="Z167" s="58" t="str">
        <x:f>IF(OR(T167="Not Run",U167="Not Run"),"Pending",IF(AND(OR(T167="Not Applicable",COUNTIFS('Test Runs'!$B$5:$B$2004,A167,'Test Runs'!$C$5:$C$2004,"Retest",'Test Runs'!$D$5:$D$2004,"iOS",'Test Runs'!$I$5:$I$2004,T167)&gt;0),OR(U167="Not Applicable",COUNTIFS('Test Runs'!$B$5:$B$2004,A167,'Test Runs'!$C$5:$C$2004,"Retest",'Test Runs'!$D$5:$D$2004,"Android",'Test Runs'!$I$5:$I$2004,U167)&gt;0)),"Reconciled","Mismatch"))</x:f>
        <x:v>Pending</x:v>
      </x:c>
    </x:row>
    <x:row r="168" ht="120" customHeight="1">
      <x:c r="A168" s="58" t="str">
        <x:v>NUT-015</x:v>
      </x:c>
      <x:c r="B168" s="58" t="str">
        <x:v>Add launcher - dismissal</x:v>
      </x:c>
      <x:c r="C168" s="58" t="str">
        <x:v>Open Add drawer</x:v>
      </x:c>
      <x:c r="D168" s="58" t="str">
        <x:v>As a user, I want to dismiss Add safely so that I can return without navigation.</x:v>
      </x:c>
      <x:c r="E168" s="58" t="str">
        <x:v>The drawer closes via explicit Close, backdrop/Escape when dismissible, drag-down over 96px or sufficient velocity on mobile, browser back, and Android native back; history is reconciled.</x:v>
      </x:c>
      <x:c r="F168" s="58" t="str">
        <x:v>Both</x:v>
      </x:c>
      <x:c r="G168" s="58" t="str">
        <x:v>Open drawer from Today.</x:v>
      </x:c>
      <x:c r="H168" s="58" t="str">
        <x:v>Test Close, swipe handle down, and browser-style back gesture.</x:v>
      </x:c>
      <x:c r="I168" s="58" t="str">
        <x:v>Test Close, swipe handle, and Android system Back.</x:v>
      </x:c>
      <x:c r="J168" s="58" t="str">
        <x:v>/Users/mason/Sites/Buff/tests/appShell.test.ts; no gesture interaction test</x:v>
      </x:c>
      <x:c r="K168" s="58" t="str">
        <x:v>/Users/mason/Sites/Buff/resources/js/Layouts/AppShell.vue:80-134; /Users/mason/Sites/Buff/resources/js/Components/AppSheet.vue:51-109,113-141</x:v>
      </x:c>
      <x:c r="L168" s="58" t="str">
        <x:v>Mapped</x:v>
      </x:c>
      <x:c r="M168" s="58" t="str">
        <x:v>Ready</x:v>
      </x:c>
      <x:c r="N168" s="58" t="str">
        <x:v>Not Run</x:v>
      </x:c>
      <x:c r="O168" s="58" t="str">
        <x:v>Passed</x:v>
      </x:c>
      <x:c r="P168" s="58" t="str">
        <x:v>Android: /Users/mason/.codex/visualizations/2026/09/01/01a05def-1c0d-76d1-abc6-07c63a443582/emulator-runs/initial/android/NUT-015-explicit-close.png
/Users/mason/.codex/visualizations/2026/09/01/01a05def-1c0d-76d1-abc6-07c63a443582/emulator-runs/initial/android/NUT-015-drag-dismissed.png
/Users/mason/.codex/visualizations/2026/09/01/01a05def-1c0d-76d1-abc6-07c63a443582/emulator-runs/initial/android/NUT-015-back-dismissed.png — Explicit Close, a 415px slow downward handle drag, and Android system Back each removed exactly one drawer while preserving /?date=2026-09-02; reopening remained functional.</x:v>
      </x:c>
      <x:c r="Q168" s="58" t="str"/>
      <x:c r="R168" s="58" t="str">
        <x:v>Not Needed</x:v>
      </x:c>
      <x:c r="S168" s="58" t="str"/>
      <x:c r="T168" s="58" t="str">
        <x:v>Not Run</x:v>
      </x:c>
      <x:c r="U168" s="58" t="str">
        <x:v>Not Run</x:v>
      </x:c>
      <x:c r="V168" s="58" t="str"/>
      <x:c r="W168" s="58" t="str">
        <x:f>IF(AND(OR(N168="Passed",N168="Failed",N168="Not Applicable"),OR(O168="Passed",O168="Failed",O168="Not Applicable"),OR(N168="Passed",N168="Failed",O168="Passed",O168="Failed"),OR(T168="Passed",T168="Not Applicable"),OR(U168="Passed",U168="Not Applicable"),OR(T168="Passed",U168="Passed"),Y168="Reconciled",Z168="Reconciled",IF(Q168&lt;&gt;"",R168="Fixed",TRUE)),"Verified",IF(OR(T168="Failed",U168="Failed"),"Retest Failed",IF(OR(N168="Failed",O168="Failed",Q168&lt;&gt;""),"Defect Found",IF(AND(OR(N168="Passed",N168="Not Applicable"),OR(O168="Passed",O168="Not Applicable"),OR(N168="Passed",O168="Passed")),"Initial Pass","Not Complete"))))</x:f>
        <x:v>Not Complete</x:v>
      </x:c>
      <x:c r="X168" s="58" t="str">
        <x:v>No direct automated gesture/back-stack coverage.</x:v>
      </x:c>
      <x:c r="Y168" s="58" t="str">
        <x:f>IF(OR(N168="Not Run",O168="Not Run"),"Pending",IF(AND(OR(N168="Not Applicable",COUNTIFS('Test Runs'!$B$5:$B$2004,A168,'Test Runs'!$C$5:$C$2004,"Initial",'Test Runs'!$D$5:$D$2004,"iOS",'Test Runs'!$I$5:$I$2004,N168)&gt;0),OR(O168="Not Applicable",COUNTIFS('Test Runs'!$B$5:$B$2004,A168,'Test Runs'!$C$5:$C$2004,"Initial",'Test Runs'!$D$5:$D$2004,"Android",'Test Runs'!$I$5:$I$2004,O168)&gt;0)),"Reconciled","Mismatch"))</x:f>
        <x:v>Pending</x:v>
      </x:c>
      <x:c r="Z168" s="58" t="str">
        <x:f>IF(OR(T168="Not Run",U168="Not Run"),"Pending",IF(AND(OR(T168="Not Applicable",COUNTIFS('Test Runs'!$B$5:$B$2004,A168,'Test Runs'!$C$5:$C$2004,"Retest",'Test Runs'!$D$5:$D$2004,"iOS",'Test Runs'!$I$5:$I$2004,T168)&gt;0),OR(U168="Not Applicable",COUNTIFS('Test Runs'!$B$5:$B$2004,A168,'Test Runs'!$C$5:$C$2004,"Retest",'Test Runs'!$D$5:$D$2004,"Android",'Test Runs'!$I$5:$I$2004,U168)&gt;0)),"Reconciled","Mismatch"))</x:f>
        <x:v>Pending</x:v>
      </x:c>
    </x:row>
    <x:row r="169" ht="120" customHeight="1">
      <x:c r="A169" s="58" t="str">
        <x:v>NUT-016</x:v>
      </x:c>
      <x:c r="B169" s="58" t="str">
        <x:v>Add launcher - choices</x:v>
      </x:c>
      <x:c r="C169" s="58" t="str">
        <x:v>Add drawer or /add chooser</x:v>
      </x:c>
      <x:c r="D169" s="58" t="str">
        <x:v>As a user, I want clear choices for search, scan, photo, custom food, recipe, and workout so that I enter the right workflow.</x:v>
      </x:c>
      <x:c r="E169" s="58" t="str">
        <x:v>Chooser exposes six labeled choices with descriptions; Search and Scan share food mode (Scan adds scan=1); Photo shows a lock badge when cached Buff+ expiry is inactive.</x:v>
      </x:c>
      <x:c r="F169" s="58" t="str">
        <x:v>Both</x:v>
      </x:c>
      <x:c r="G169" s="58" t="str">
        <x:v>Subscription active and inactive accounts.</x:v>
      </x:c>
      <x:c r="H169" s="58" t="str">
        <x:v>Inspect labels with VoiceOver; test every tile routes to expected mode; test Photo in both subscription states.</x:v>
      </x:c>
      <x:c r="I169" s="58" t="str">
        <x:v>Repeat with TalkBack.</x:v>
      </x:c>
      <x:c r="J169" s="58" t="str">
        <x:v>/Users/mason/Sites/Buff/tests/addChooser.test.ts; /Users/mason/Sites/Buff/tests/Feature/MealEntryTest.php:115,125</x:v>
      </x:c>
      <x:c r="K169" s="58" t="str">
        <x:v>/Users/mason/Sites/Buff/resources/js/Components/Add/AddChooser.vue:30-77,84-134; /Users/mason/Sites/Buff/resources/js/Pages/Add.vue:177-185</x:v>
      </x:c>
      <x:c r="L169" s="58" t="str">
        <x:v>Mapped</x:v>
      </x:c>
      <x:c r="M169" s="58" t="str">
        <x:v>Ready</x:v>
      </x:c>
      <x:c r="N169" s="58" t="str">
        <x:v>Not Run</x:v>
      </x:c>
      <x:c r="O169" s="58" t="str">
        <x:v>Blocked</x:v>
      </x:c>
      <x:c r="P169" s="58" t="str">
        <x:v>Android: /Users/mason/.codex/visualizations/2026/09/01/01a05def-1c0d-76d1-abc6-07c63a443582/emulator-runs/initial/android/NUT-016-add-chooser-inactive.png
/Users/mason/.codex/visualizations/2026/09/01/01a05def-1c0d-76d1-abc6-07c63a443582/emulator-runs/initial/android/NUT-016-scan-route.png — All six exact labels/descriptions and useful aria-labels were present. Search, Scan, Custom, Recipe, and Workout preserved 2026-09-02 and routed to their canonical modes; Scan added scan=1. The inactive Photo tile exposed Buff+ required and routed to Subscription.</x:v>
      </x:c>
      <x:c r="Q169" s="58" t="str"/>
      <x:c r="R169" s="58" t="str">
        <x:v>Not Needed</x:v>
      </x:c>
      <x:c r="S169" s="58" t="str"/>
      <x:c r="T169" s="58" t="str">
        <x:v>Not Run</x:v>
      </x:c>
      <x:c r="U169" s="58" t="str">
        <x:v>Not Run</x:v>
      </x:c>
      <x:c r="V169" s="58" t="str"/>
      <x:c r="W169" s="58" t="str">
        <x:f>IF(AND(OR(N169="Passed",N169="Failed",N169="Not Applicable"),OR(O169="Passed",O169="Failed",O169="Not Applicable"),OR(N169="Passed",N169="Failed",O169="Passed",O169="Failed"),OR(T169="Passed",T169="Not Applicable"),OR(U169="Passed",U169="Not Applicable"),OR(T169="Passed",U169="Passed"),Y169="Reconciled",Z169="Reconciled",IF(Q169&lt;&gt;"",R169="Fixed",TRUE)),"Verified",IF(OR(T169="Failed",U169="Failed"),"Retest Failed",IF(OR(N169="Failed",O169="Failed",Q169&lt;&gt;""),"Defect Found",IF(AND(OR(N169="Passed",N169="Not Applicable"),OR(O169="Passed",O169="Not Applicable"),OR(N169="Passed",O169="Passed")),"Initial Pass","Not Complete"))))</x:f>
        <x:v>Not Complete</x:v>
      </x:c>
      <x:c r="X169" s="58" t="str">
        <x:v>The client-side Photo gate uses cached expiry; server entitlement remains authoritative and may disagree until refresh.</x:v>
      </x:c>
      <x:c r="Y169" s="58" t="str">
        <x:f>IF(OR(N169="Not Run",O169="Not Run"),"Pending",IF(AND(OR(N169="Not Applicable",COUNTIFS('Test Runs'!$B$5:$B$2004,A169,'Test Runs'!$C$5:$C$2004,"Initial",'Test Runs'!$D$5:$D$2004,"iOS",'Test Runs'!$I$5:$I$2004,N169)&gt;0),OR(O169="Not Applicable",COUNTIFS('Test Runs'!$B$5:$B$2004,A169,'Test Runs'!$C$5:$C$2004,"Initial",'Test Runs'!$D$5:$D$2004,"Android",'Test Runs'!$I$5:$I$2004,O169)&gt;0)),"Reconciled","Mismatch"))</x:f>
        <x:v>Pending</x:v>
      </x:c>
      <x:c r="Z169" s="58" t="str">
        <x:f>IF(OR(T169="Not Run",U169="Not Run"),"Pending",IF(AND(OR(T169="Not Applicable",COUNTIFS('Test Runs'!$B$5:$B$2004,A169,'Test Runs'!$C$5:$C$2004,"Retest",'Test Runs'!$D$5:$D$2004,"iOS",'Test Runs'!$I$5:$I$2004,T169)&gt;0),OR(U169="Not Applicable",COUNTIFS('Test Runs'!$B$5:$B$2004,A169,'Test Runs'!$C$5:$C$2004,"Retest",'Test Runs'!$D$5:$D$2004,"Android",'Test Runs'!$I$5:$I$2004,U169)&gt;0)),"Reconciled","Mismatch"))</x:f>
        <x:v>Pending</x:v>
      </x:c>
    </x:row>
    <x:row r="170" ht="120" customHeight="1">
      <x:c r="A170" s="58" t="str">
        <x:v>NUT-017</x:v>
      </x:c>
      <x:c r="B170" s="58" t="str">
        <x:v>Add page - canonical modes</x:v>
      </x:c>
      <x:c r="C170" s="58" t="str">
        <x:v>/add query parameters; /?add=1; native shortcuts</x:v>
      </x:c>
      <x:c r="D170" s="58" t="str">
        <x:v>As a user following an old shortcut or deep link, I want to land in the supported Add workflow.</x:v>
      </x:c>
      <x:c r="E170" s="58" t="str">
        <x:v>Modes food/custom/workout/photo/recipe are accepted; legacy barcode/search aliases map to food; unknown/missing mode shows chooser. Legacy /?add=1 redirects to /add and preserves a valid date. Date defaults today; invalid dates redirect with errors. Back returns to the chosen Today date. Invalid meal query values normalize to null before rendering, so normal time-based defaults apply instead of invalid headings/forms.</x:v>
      </x:c>
      <x:c r="F170" s="58" t="str">
        <x:v>Both</x:v>
      </x:c>
      <x:c r="G170" s="58" t="str">
        <x:v>Deep links for each mode, /?add=1 with and without date, invalid mode/date/meal.</x:v>
      </x:c>
      <x:c r="H170" s="58" t="str">
        <x:v>Open each mode/alias and legacy URL with/without date; verify dated Back. Pass meal=nonsense and verify a valid time-based meal default, no invalid heading and successful valid save.</x:v>
      </x:c>
      <x:c r="I170" s="58" t="str">
        <x:v>Repeat through Android shortcuts/deep links, including invalid meal normalization and malformed-date feedback.</x:v>
      </x:c>
      <x:c r="J170" s="58" t="str">
        <x:v>/Users/mason/Sites/Buff/tests/Feature/MealEntryTest.php:71,115,125,228; /Users/mason/Sites/Buff/tests/Feature/DashboardTest.php:238; /Users/mason/Sites/Buff/tests/Unit/NativeShortcutHookTest.php</x:v>
      </x:c>
      <x:c r="K170" s="58" t="str">
        <x:v>/Users/mason/Sites/Buff/app/Http/Controllers/MealController.php:26-53; /Users/mason/Sites/Buff/resources/js/Pages/Add.vue:163-175,899-934; /Users/mason/Sites/Buff/app/Http/Controllers/DashboardController.php:70-75; /Users/mason/Sites/Buff/routes/web.php:89</x:v>
      </x:c>
      <x:c r="L170" s="58" t="str">
        <x:v>Mapped</x:v>
      </x:c>
      <x:c r="M170" s="58" t="str">
        <x:v>Ready</x:v>
      </x:c>
      <x:c r="N170" s="58" t="str">
        <x:v>Not Run</x:v>
      </x:c>
      <x:c r="O170" s="58" t="str">
        <x:v>Passed</x:v>
      </x:c>
      <x:c r="P170" s="58" t="str">
        <x:v>Android: /Users/mason/.codex/visualizations/2026/09/01/01a05def-1c0d-76d1-abc6-07c63a443582/emulator-runs/initial/android/NUT-017-legacy-date-chooser.png
/Users/mason/.codex/visualizations/2026/09/01/01a05def-1c0d-76d1-abc6-07c63a443582/emulator-runs/initial/android/NUT-017-scan-launch.png
/Users/mason/.codex/visualizations/2026/09/01/01a05def-1c0d-76d1-abc6-07c63a443582/emulator-runs/initial/android/NUT-017-invalid-date-error-hidden.png
/Users/mason/.codex/visualizations/2026/09/01/01a05def-1c0d-76d1-abc6-07c63a443582/emulator-runs/initial/android/NUT-017-invalid-meal-error-hidden.png — Missing and unknown modes showed the chooser; food, search, and barcode converged on All foods; custom, workout, photo, and recipe opened their canonical workflows. scan=1 launched the native barcode scanner and Android Back returned to dated Add. Legacy /?add=1 preserved a valid date and defaulted an omitted date to today. An invalid date redirected with a date error in page props, and an arbitrary meal propagated into the heading/form then failed server meal_type validation. Header Back returned to the supplied Today date.</x:v>
      </x:c>
      <x:c r="Q170" s="58" t="str">
        <x:v>DEF-008
DEF-009</x:v>
      </x:c>
      <x:c r="R170" s="58" t="str">
        <x:v>In Progress</x:v>
      </x:c>
      <x:c r="S170" s="58" t="str"/>
      <x:c r="T170" s="58" t="str">
        <x:v>Not Run</x:v>
      </x:c>
      <x:c r="U170" s="58" t="str">
        <x:v>Not Run</x:v>
      </x:c>
      <x:c r="V170" s="58" t="str"/>
      <x:c r="W170" s="58" t="str">
        <x:f>IF(AND(OR(N170="Passed",N170="Failed",N170="Not Applicable"),OR(O170="Passed",O170="Failed",O170="Not Applicable"),OR(N170="Passed",N170="Failed",O170="Passed",O170="Failed"),OR(T170="Passed",T170="Not Applicable"),OR(U170="Passed",U170="Not Applicable"),OR(T170="Passed",U170="Passed"),Y170="Reconciled",Z170="Reconciled",IF(Q170&lt;&gt;"",R170="Fixed",TRUE)),"Verified",IF(OR(T170="Failed",U170="Failed"),"Retest Failed",IF(OR(N170="Failed",O170="Failed",Q170&lt;&gt;""),"Defect Found",IF(AND(OR(N170="Passed",N170="Not Applicable"),OR(O170="Passed",O170="Not Applicable"),OR(N170="Passed",O170="Passed")),"Initial Pass","Not Complete"))))</x:f>
        <x:v>Defect Found</x:v>
      </x:c>
      <x:c r="X170" s="58" t="str">
        <x:v>Malformed date errors are not displayed after redirect, and arbitrary meal values surface later as invisible nested validation failures.</x:v>
      </x:c>
      <x:c r="Y170" s="58" t="str">
        <x:f>IF(OR(N170="Not Run",O170="Not Run"),"Pending",IF(AND(OR(N170="Not Applicable",COUNTIFS('Test Runs'!$B$5:$B$2004,A170,'Test Runs'!$C$5:$C$2004,"Initial",'Test Runs'!$D$5:$D$2004,"iOS",'Test Runs'!$I$5:$I$2004,N170)&gt;0),OR(O170="Not Applicable",COUNTIFS('Test Runs'!$B$5:$B$2004,A170,'Test Runs'!$C$5:$C$2004,"Initial",'Test Runs'!$D$5:$D$2004,"Android",'Test Runs'!$I$5:$I$2004,O170)&gt;0)),"Reconciled","Mismatch"))</x:f>
        <x:v>Pending</x:v>
      </x:c>
      <x:c r="Z170" s="58" t="str">
        <x:f>IF(OR(T170="Not Run",U170="Not Run"),"Pending",IF(AND(OR(T170="Not Applicable",COUNTIFS('Test Runs'!$B$5:$B$2004,A170,'Test Runs'!$C$5:$C$2004,"Retest",'Test Runs'!$D$5:$D$2004,"iOS",'Test Runs'!$I$5:$I$2004,T170)&gt;0),OR(U170="Not Applicable",COUNTIFS('Test Runs'!$B$5:$B$2004,A170,'Test Runs'!$C$5:$C$2004,"Retest",'Test Runs'!$D$5:$D$2004,"Android",'Test Runs'!$I$5:$I$2004,U170)&gt;0)),"Reconciled","Mismatch"))</x:f>
        <x:v>Pending</x:v>
      </x:c>
    </x:row>
    <x:row r="171" ht="120" customHeight="1">
      <x:c r="A171" s="58" t="str">
        <x:v>NUT-018</x:v>
      </x:c>
      <x:c r="B171" s="58" t="str">
        <x:v>Add page - meal type default</x:v>
      </x:c>
      <x:c r="C171" s="58" t="str">
        <x:v>Any food/custom Add form</x:v>
      </x:c>
      <x:c r="D171" s="58" t="str">
        <x:v>As a user, I want a sensible meal type preselected so that logging is fast.</x:v>
      </x:c>
      <x:c r="E171" s="58" t="str">
        <x:v>Food/custom defaults by local hour: breakfast before 10, lunch before 14, dinner before 20, snacks after; a valid meal query overrides it on mount and picker changes propagate to food/custom submission.</x:v>
      </x:c>
      <x:c r="F171" s="58" t="str">
        <x:v>Both</x:v>
      </x:c>
      <x:c r="G171" s="58" t="str">
        <x:v>Test device time in each boundary hour; deep link meal=lunch.</x:v>
      </x:c>
      <x:c r="H171" s="58" t="str">
        <x:v>At 09:59/10:00/14:00/20:00 inspect selected radio; submit one case.</x:v>
      </x:c>
      <x:c r="I171" s="58" t="str">
        <x:v>Repeat on Android.</x:v>
      </x:c>
      <x:c r="J171" s="58" t="str">
        <x:v>Selected query prop: /Users/mason/Sites/Buff/tests/Feature/MealEntryTest.php:104; no time-boundary test</x:v>
      </x:c>
      <x:c r="K171" s="58" t="str">
        <x:v>/Users/mason/Sites/Buff/resources/js/Pages/Add.vue:187-197,391-395,649-696,870-886; /Users/mason/Sites/Buff/resources/js/Components/Add/MealTypePicker.vue</x:v>
      </x:c>
      <x:c r="L171" s="58" t="str">
        <x:v>Mapped</x:v>
      </x:c>
      <x:c r="M171" s="58" t="str">
        <x:v>Ready</x:v>
      </x:c>
      <x:c r="N171" s="58" t="str">
        <x:v>Not Run</x:v>
      </x:c>
      <x:c r="O171" s="58" t="str">
        <x:v>Blocked</x:v>
      </x:c>
      <x:c r="P171" s="58" t="str">
        <x:v>Android: /Users/mason/.codex/visualizations/2026/09/01/01a05def-1c0d-76d1-abc6-07c63a443582/emulator-runs/initial/android/NUT-018-default-dinner-15xx.png
/Users/mason/.codex/visualizations/2026/09/01/01a05def-1c0d-76d1-abc6-07c63a443582/emulator-runs/initial/android/NUT-018-query-lunch-override.png
/Users/mason/.codex/visualizations/2026/09/01/01a05def-1c0d-76d1-abc6-07c63a443582/emulator-runs/initial/android/NUT-019-offline-custom-added.png
/Users/mason/.codex/visualizations/2026/09/01/01a05def-1c0d-76d1-abc6-07c63a443582/emulator-runs/initial/android/NUT-019-offline-local-first-observations.json
/Users/mason/.codex/visualizations/2026/09/01/01a05def-1c0d-76d1-abc6-07c63a443582/emulator-runs/initial/android/NUT-013-018-094-105-106-observations.json — At 15:xx local time, Custom food defaulted to Dinner with aria-checked=true. A meal=lunch query selected Lunch instead. Existing NUT-019 Android evidence also shows a picker change reaching a Snacks custom-food submission.</x:v>
      </x:c>
      <x:c r="Q171" s="58" t="str"/>
      <x:c r="R171" s="58" t="str">
        <x:v>Not Needed</x:v>
      </x:c>
      <x:c r="S171" s="58" t="str"/>
      <x:c r="T171" s="58" t="str">
        <x:v>Blocked</x:v>
      </x:c>
      <x:c r="U171" s="58" t="str">
        <x:v>Not Run</x:v>
      </x:c>
      <x:c r="V171" s="58" t="str">
        <x:v>iOS: /Users/mason/.codex/visualizations/2026/09/01/01a05def-1c0d-76d1-abc6-07c63a443582/emulator-runs/retest/ios/NUT-039-cross-device-meal-ready.png
/Users/mason/.codex/visualizations/2026/09/01/01a05def-1c0d-76d1-abc6-07c63a443582/emulator-runs/retest/ios/NUT-039-cross-device-meal500-today.png — At approximately 10:58 BST, Custom defaulted to Lunch with accessible aria-checked=true. The unchanged selection propagated into the saved meal's Lunch group.</x:v>
      </x:c>
      <x:c r="W171" s="58" t="str">
        <x:f>IF(AND(OR(N171="Passed",N171="Failed",N171="Not Applicable"),OR(O171="Passed",O171="Failed",O171="Not Applicable"),OR(N171="Passed",N171="Failed",O171="Passed",O171="Failed"),OR(T171="Passed",T171="Not Applicable"),OR(U171="Passed",U171="Not Applicable"),OR(T171="Passed",U171="Passed"),Y171="Reconciled",Z171="Reconciled",IF(Q171&lt;&gt;"",R171="Fixed",TRUE)),"Verified",IF(OR(T171="Failed",U171="Failed"),"Retest Failed",IF(OR(N171="Failed",O171="Failed",Q171&lt;&gt;""),"Defect Found",IF(AND(OR(N171="Passed",N171="Not Applicable"),OR(O171="Passed",O171="Not Applicable"),OR(N171="Passed",O171="Passed")),"Initial Pass","Not Complete"))))</x:f>
        <x:v>Not Complete</x:v>
      </x:c>
      <x:c r="X171" s="58" t="str">
        <x:v>Recipe logging separately defaults to breakfast rather than smart meal type when no meal query is supplied (covered NUT-050).</x:v>
      </x:c>
      <x:c r="Y171" s="58" t="str">
        <x:f>IF(OR(N171="Not Run",O171="Not Run"),"Pending",IF(AND(OR(N171="Not Applicable",COUNTIFS('Test Runs'!$B$5:$B$2004,A171,'Test Runs'!$C$5:$C$2004,"Initial",'Test Runs'!$D$5:$D$2004,"iOS",'Test Runs'!$I$5:$I$2004,N171)&gt;0),OR(O171="Not Applicable",COUNTIFS('Test Runs'!$B$5:$B$2004,A171,'Test Runs'!$C$5:$C$2004,"Initial",'Test Runs'!$D$5:$D$2004,"Android",'Test Runs'!$I$5:$I$2004,O171)&gt;0)),"Reconciled","Mismatch"))</x:f>
        <x:v>Pending</x:v>
      </x:c>
      <x:c r="Z171" s="58" t="str">
        <x:f>IF(OR(T171="Not Run",U171="Not Run"),"Pending",IF(AND(OR(T171="Not Applicable",COUNTIFS('Test Runs'!$B$5:$B$2004,A171,'Test Runs'!$C$5:$C$2004,"Retest",'Test Runs'!$D$5:$D$2004,"iOS",'Test Runs'!$I$5:$I$2004,T171)&gt;0),OR(U171="Not Applicable",COUNTIFS('Test Runs'!$B$5:$B$2004,A171,'Test Runs'!$C$5:$C$2004,"Retest",'Test Runs'!$D$5:$D$2004,"Android",'Test Runs'!$I$5:$I$2004,U171)&gt;0)),"Reconciled","Mismatch"))</x:f>
        <x:v>Pending</x:v>
      </x:c>
    </x:row>
    <x:row r="172" ht="120" customHeight="1">
      <x:c r="A172" s="58" t="str">
        <x:v>NUT-019</x:v>
      </x:c>
      <x:c r="B172" s="58" t="str">
        <x:v>Offline/local-first logging</x:v>
      </x:c>
      <x:c r="C172" s="58" t="str">
        <x:v>Any local logging flow while network is disabled</x:v>
      </x:c>
      <x:c r="D172" s="58" t="str">
        <x:v>As a user, I want local nutrition actions to remain available offline so that I do not lose a log.</x:v>
      </x:c>
      <x:c r="E172" s="58" t="str">
        <x:v>A global offline banner appears from navigator.onLine; local custom meals, repeats, recipes, edits, and deletes write to SQLite and enter sync outbox; app focus/visibility/online resumes sync and reloads.</x:v>
      </x:c>
      <x:c r="F172" s="58" t="str">
        <x:v>Both</x:v>
      </x:c>
      <x:c r="G172" s="58" t="str">
        <x:v>Authenticated account; disable network; existing goal.</x:v>
      </x:c>
      <x:c r="H172" s="58" t="str">
        <x:v>Go offline, add/edit/delete local meals and recipe, force-close/reopen, then reconnect and verify persistence/sync; reuse this run as NUT-108 evidence.</x:v>
      </x:c>
      <x:c r="I172" s="58" t="str">
        <x:v>Repeat using Android network controls; reuse this run as NUT-108 evidence.</x:v>
      </x:c>
      <x:c r="J172" s="58" t="str">
        <x:v>/Users/mason/Sites/Buff/tests/networkStatus.test.ts; sync coverage in /Users/mason/Sites/Buff/tests/Feature/BuffSyncTest.php and sibling server SyncTest.php</x:v>
      </x:c>
      <x:c r="K172" s="58" t="str">
        <x:v>/Users/mason/Sites/Buff/resources/js/Components/OfflineBanner.vue:6-49; /Users/mason/Sites/Buff/resources/js/Layouts/AppShell.vue:213-230,260-267; /Users/mason/Sites/Buff/app/Observers/SyncableObserver.php; /Users/mason/Sites/Buff/app/Services/BuffSyncService.php:61-148</x:v>
      </x:c>
      <x:c r="L172" s="58" t="str">
        <x:v>Mapped</x:v>
      </x:c>
      <x:c r="M172" s="58" t="str">
        <x:v>Ready</x:v>
      </x:c>
      <x:c r="N172" s="58" t="str">
        <x:v>Not Run</x:v>
      </x:c>
      <x:c r="O172" s="58" t="str">
        <x:v>Passed</x:v>
      </x:c>
      <x:c r="P172" s="58" t="str">
        <x:v>Android: /Users/mason/.codex/visualizations/2026/09/01/01a05def-1c0d-76d1-abc6-07c63a443582/emulator-runs/initial/android/NUT-019-offline-custom-added.png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 — With Android airplane mode enabled and Wi-Fi disabled, navigator.onLine was false and the visible banner read 'No internet connection.' Offline, a QA custom Snacks meal saved as 100g/39 kcal, survived force-stop and cold relaunch, updated immediately to 120g/47 kcal, repeated independently to Breakfast, and the repeat deleted while the source remained. A one-ingredient QA recipe saved and logged to Lunch offline. Reconnecting removed the banner; the surviving custom meal and recipe remained, and Inertia sync reported last_error null with pending 0.</x:v>
      </x:c>
      <x:c r="Q172" s="58" t="str"/>
      <x:c r="R172" s="58" t="str">
        <x:v>Not Needed</x:v>
      </x:c>
      <x:c r="S172" s="58" t="str"/>
      <x:c r="T172" s="58" t="str">
        <x:v>Not Run</x:v>
      </x:c>
      <x:c r="U172" s="58" t="str">
        <x:v>Not Run</x:v>
      </x:c>
      <x:c r="V172" s="58" t="str"/>
      <x:c r="W172" s="58" t="str">
        <x:f>IF(AND(OR(N172="Passed",N172="Failed",N172="Not Applicable"),OR(O172="Passed",O172="Failed",O172="Not Applicable"),OR(N172="Passed",N172="Failed",O172="Passed",O172="Failed"),OR(T172="Passed",T172="Not Applicable"),OR(U172="Passed",U172="Not Applicable"),OR(T172="Passed",U172="Passed"),Y172="Reconciled",Z172="Reconciled",IF(Q172&lt;&gt;"",R172="Fixed",TRUE)),"Verified",IF(OR(T172="Failed",U172="Failed"),"Retest Failed",IF(OR(N172="Failed",O172="Failed",Q172&lt;&gt;""),"Defect Found",IF(AND(OR(N172="Passed",N172="Not Applicable"),OR(O172="Passed",O172="Not Applicable"),OR(N172="Passed",O172="Passed")),"Initial Pass","Not Complete"))))</x:f>
        <x:v>Not Complete</x:v>
      </x:c>
      <x:c r="X172" s="58" t="str">
        <x:v>Remote-only barcode discovery, remote food search, AI analysis, and meal-photo retrieval do not work offline; their UI handling varies and is inventoried separately.</x:v>
      </x:c>
      <x:c r="Y172" s="58" t="str">
        <x:f>IF(OR(N172="Not Run",O172="Not Run"),"Pending",IF(AND(OR(N172="Not Applicable",COUNTIFS('Test Runs'!$B$5:$B$2004,A172,'Test Runs'!$C$5:$C$2004,"Initial",'Test Runs'!$D$5:$D$2004,"iOS",'Test Runs'!$I$5:$I$2004,N172)&gt;0),OR(O172="Not Applicable",COUNTIFS('Test Runs'!$B$5:$B$2004,A172,'Test Runs'!$C$5:$C$2004,"Initial",'Test Runs'!$D$5:$D$2004,"Android",'Test Runs'!$I$5:$I$2004,O172)&gt;0)),"Reconciled","Mismatch"))</x:f>
        <x:v>Pending</x:v>
      </x:c>
      <x:c r="Z172" s="58" t="str">
        <x:f>IF(OR(T172="Not Run",U172="Not Run"),"Pending",IF(AND(OR(T172="Not Applicable",COUNTIFS('Test Runs'!$B$5:$B$2004,A172,'Test Runs'!$C$5:$C$2004,"Retest",'Test Runs'!$D$5:$D$2004,"iOS",'Test Runs'!$I$5:$I$2004,T172)&gt;0),OR(U172="Not Applicable",COUNTIFS('Test Runs'!$B$5:$B$2004,A172,'Test Runs'!$C$5:$C$2004,"Retest",'Test Runs'!$D$5:$D$2004,"Android",'Test Runs'!$I$5:$I$2004,U172)&gt;0)),"Reconciled","Mismatch"))</x:f>
        <x:v>Pending</x:v>
      </x:c>
    </x:row>
    <x:row r="173" ht="506.3999938964844" hidden="0" customHeight="1">
      <x:c r="A173" s="58" t="str">
        <x:v>NUT-020</x:v>
      </x:c>
      <x:c r="B173" s="58" t="str">
        <x:v>Food search - query threshold</x:v>
      </x:c>
      <x:c r="C173" s="58" t="str">
        <x:v>Add &gt; Search</x:v>
      </x:c>
      <x:c r="D173" s="58" t="str">
        <x:v>As a user, I want search to wait until my query is meaningful so that results are relevant and requests are limited.</x:v>
      </x:c>
      <x:c r="E173" s="58" t="str">
        <x:v>Food search trims input, waits 250ms and requests at 2+ characters. Query changes invalidate pending responses immediately, before the next debounce, so stale results cannot replace the new query. Clearing shows previous entries; a one-character query says Enter one more character to search.</x:v>
      </x:c>
      <x:c r="F173" s="58" t="str">
        <x:v>Both</x:v>
      </x:c>
      <x:c r="G173" s="58" t="str">
        <x:v>Previous food history; queries of 0, 1, and 2+ chars.</x:v>
      </x:c>
      <x:c r="H173" s="58" t="str">
        <x:v>Type rapidly, delay older responses, clear and submit; verify old results cannot return after clearing/new input. At one character verify the hint and no request; at two characters verify search.</x:v>
      </x:c>
      <x:c r="I173" s="58" t="str">
        <x:v>Repeat on Android keyboard.</x:v>
      </x:c>
      <x:c r="J173" s="58" t="str">
        <x:v>foodRequests.test.ts executes actual shared Input, queue/retry/search and product-selection functions, plus compiled short-query hint;44 focused tests pass.</x:v>
      </x:c>
      <x:c r="K173" s="58" t="str">
        <x:v>/Users/mason/Sites/Buff/resources/js/Pages/Add.vue:388,444-480,1127-1213; /Users/mason/Sites/Buff/app/Http/Controllers/MealController.php:74-84</x:v>
      </x:c>
      <x:c r="L173" s="58" t="str">
        <x:v>Mapped</x:v>
      </x:c>
      <x:c r="M173" s="58" t="str">
        <x:v>Ready</x:v>
      </x:c>
      <x:c r="N173" s="58" t="str">
        <x:v>Not Run</x:v>
      </x:c>
      <x:c r="O173" s="58" t="str">
        <x:v>Failed</x:v>
      </x:c>
      <x:c r="P173" s="58" t="str">
        <x:v>Android: /Users/mason/.codex/visualizations/2026/09/01/01a05def-1c0d-76d1-abc6-07c63a443582/emulator-runs/initial/android/NUT-020-one-character-blank.png — An empty query showed the initial state; one character sent no request but left a blank content area; the second character sent exactly one search request and rendered No products found; clearing returned to the empty state. The no-history account could not exercise the previous-food repopulation branch.</x:v>
      </x:c>
      <x:c r="Q173" s="58" t="str">
        <x:v>DEF-014
DEF-015
DEF-100</x:v>
      </x:c>
      <x:c r="R173" s="58" t="str">
        <x:v>Fixed</x:v>
      </x:c>
      <x:c r="S173" s="58" t="str"/>
      <x:c r="T173" s="58" t="str">
        <x:v>Blocked</x:v>
      </x:c>
      <x:c r="U173" s="58" t="str">
        <x:v>Blocked</x:v>
      </x:c>
      <x:c r="V173" s="58" t="str">
        <x:v>RUN-0429 — Android.
RUN-0430 — iOS.
Full actual results, gaps and evidence are retained in Test Runs.
RUN-0435 — Android.
RUN-0436 — iOS.
Full actual results, gaps and evidence are retained in Test Runs.</x:v>
      </x:c>
      <x:c r="W173" s="58" t="str">
        <x:f>IF(AND(OR(N173="Passed",N173="Failed",N173="Not Applicable"),OR(O173="Passed",O173="Failed",O173="Not Applicable"),OR(N173="Passed",N173="Failed",O173="Passed",O173="Failed"),OR(T173="Passed",T173="Not Applicable"),OR(U173="Passed",U173="Not Applicable"),OR(T173="Passed",U173="Passed"),Y173="Reconciled",Z173="Reconciled",IF(Q173&lt;&gt;"",R173="Fixed",TRUE)),"Verified",IF(OR(T173="Failed",U173="Failed"),"Retest Failed",IF(OR(N173="Failed",O173="Failed",Q173&lt;&gt;""),"Defect Found",IF(AND(OR(N173="Passed",N173="Not Applicable"),OR(O173="Passed",O173="Not Applicable"),OR(N173="Passed",O173="Passed")),"Initial Pass","Not Complete"))))</x:f>
        <x:v>Defect Found</x:v>
      </x:c>
      <x:c r="X173" s="58" t="str">
        <x:v>A one-character non-empty query hides both history and the no-results message, leaving a blank content area.
RUN-0426: Android build 21 native input events show visible Thai peanut but request q=Thai+peanu, and Ab sends no request. The shared Input forwards caller input handlers before updateValue publishes the current model. Both food search consumers read that model. Source fix moves @input before v-bind attrs once in Input.vue; actual compiled-template callback test failed before fix and now passes for text, clearing, zero and decimal inputs. 38 focused tests, TypeScript and diff check pass. Native build 22 retests pending.
RUN-0427–0430: Build22 shared Input ordering passes native recipe and All foods search on both platforms. Android Ab sends q=Ab in both consumers; rapid Thai peanut sends one complete query 250.4ms after final input. iOS two-character All foods returns products and 121-character queries in both screens reach the 120-character server boundary. Both clear one-character/empty states correctly. Recipe error/Retry/recovery passes visible checks; iOS product selection clears search and Cancel/reopen resets the draft. Deliberately delayed stale responses and pending cancellation races remain unverified. Initial iOS cells are preserved; aggregate retests remain Blocked.
RUN-0435–0438:44 focused tests and TypeScript pass. New tests execute actual queue/retry/search functions with real Vue refs and controlled timers/responses: one request250ms after final trimmed input, old success ignored before next debounce, late failure ignored after clearing, one-character no request, one Retry request, and recipe previous_meal filtering. Compiled short-query hint tested for empty/space/one/two chars. Native23 All foods clear-during-Searching passes both; Android traces prove late completion. Recipe pending Cancel passes Android; iOS clear passes but pending Cancel timing remains unproven. DEF014/015/031 are Fixed at narrow defect scope; full stories stay Blocked for stated native-only matrix gaps.</x:v>
      </x:c>
      <x:c r="Y173" s="58" t="str">
        <x:f>IF(OR(N173="Not Run",O173="Not Run"),"Pending",IF(AND(OR(N173="Not Applicable",COUNTIFS('Test Runs'!$B$5:$B$2004,A173,'Test Runs'!$C$5:$C$2004,"Initial",'Test Runs'!$D$5:$D$2004,"iOS",'Test Runs'!$I$5:$I$2004,N173)&gt;0),OR(O173="Not Applicable",COUNTIFS('Test Runs'!$B$5:$B$2004,A173,'Test Runs'!$C$5:$C$2004,"Initial",'Test Runs'!$D$5:$D$2004,"Android",'Test Runs'!$I$5:$I$2004,O173)&gt;0)),"Reconciled","Mismatch"))</x:f>
        <x:v>Pending</x:v>
      </x:c>
      <x:c r="Z173" s="58" t="str">
        <x:f>IF(OR(T173="Not Run",U173="Not Run"),"Pending",IF(AND(OR(T173="Not Applicable",COUNTIFS('Test Runs'!$B$5:$B$2004,A173,'Test Runs'!$C$5:$C$2004,"Retest",'Test Runs'!$D$5:$D$2004,"iOS",'Test Runs'!$I$5:$I$2004,T173)&gt;0),OR(U173="Not Applicable",COUNTIFS('Test Runs'!$B$5:$B$2004,A173,'Test Runs'!$C$5:$C$2004,"Retest",'Test Runs'!$D$5:$D$2004,"Android",'Test Runs'!$I$5:$I$2004,U173)&gt;0)),"Reconciled","Mismatch"))</x:f>
        <x:v>Reconciled</x:v>
      </x:c>
    </x:row>
    <x:row r="174" ht="189.60000610351562" hidden="0" customHeight="1">
      <x:c r="A174" s="58" t="str">
        <x:v>NUT-021</x:v>
      </x:c>
      <x:c r="B174" s="58" t="str">
        <x:v>Food search - result composition</x:v>
      </x:c>
      <x:c r="C174" s="58" t="str">
        <x:v>Add &gt; Search, 2+ character query</x:v>
      </x:c>
      <x:c r="D174" s="58" t="str">
        <x:v>As a user, I want matching history and catalogue foods together so that the best reusable item appears first.</x:v>
      </x:c>
      <x:c r="E174" s="58" t="str">
        <x:v>Up to eight unique matching previous custom/barcode/recipe meals are prepended, then logged local products and remote catalogue products are de-duplicated and capped to 20 total; history result type controls repeat behavior.</x:v>
      </x:c>
      <x:c r="F174" s="58" t="str">
        <x:v>Both</x:v>
      </x:c>
      <x:c r="G174" s="58" t="str">
        <x:v>Matching previous custom, barcode and recipe snapshots, previously logged product and remote result</x:v>
      </x:c>
      <x:c r="H174" s="58" t="str">
        <x:v>Search shared term; verify history first, then products, and selecting each opens correct review.</x:v>
      </x:c>
      <x:c r="I174" s="58" t="str">
        <x:v>Repeat on Android.</x:v>
      </x:c>
      <x:c r="J174" s="58" t="str">
        <x:v>/Users/mason/Sites/Buff/tests/Feature/MealEntryTest.php:307,371; /Users/mason/Sites/Buff/tests/Feature/OpenFoodFactsLookupTest.php:74</x:v>
      </x:c>
      <x:c r="K174" s="58" t="str">
        <x:v>/Users/mason/Sites/Buff/app/Http/Controllers/MealController.php:86-114,349-411; /Users/mason/Sites/Buff/resources/js/Pages/Add.vue:1170-1187</x:v>
      </x:c>
      <x:c r="L174" s="58" t="str">
        <x:v>Mapped</x:v>
      </x:c>
      <x:c r="M174" s="58" t="str">
        <x:v>Ready</x:v>
      </x:c>
      <x:c r="N174" s="58" t="str">
        <x:v>Not Run</x:v>
      </x:c>
      <x:c r="O174" s="58" t="str">
        <x:v>Failed</x:v>
      </x:c>
      <x:c r="P174" s="58" t="str">
        <x:v>Android: /Users/mason/.codex/visualizations/2026/09/01/01a05def-1c0d-76d1-abc6-07c63a443582/emulator-runs/initial/android/NUT-021-search-query-omitted.png
/Users/mason/.codex/visualizations/2026/09/01/01a05def-1c0d-76d1-abc6-07c63a443582/emulator-runs/initial/android/NUT-021-search-query-omitted.json — Peanut was visible in the search field, but both UI-originated requests omitted q and the page showed no products. A same-session control request with q=peanut returned HTTP 200 with 20 results and the known previous/local match first.</x:v>
      </x:c>
      <x:c r="Q174" s="58" t="str">
        <x:v>DEF-072</x:v>
      </x:c>
      <x:c r="R174" s="58" t="str">
        <x:v>Fixed</x:v>
      </x:c>
      <x:c r="S174" s="58" t="str"/>
      <x:c r="T174" s="58" t="str">
        <x:v>Not Run</x:v>
      </x:c>
      <x:c r="U174" s="58" t="str">
        <x:v>Blocked</x:v>
      </x:c>
      <x:c r="V174" s="58" t="str">
        <x:v>RUN-0439 — Android.
Full actual results, gaps and evidence are retained in Test Runs.</x:v>
      </x:c>
      <x:c r="W174" s="58" t="str">
        <x:f>IF(AND(OR(N174="Passed",N174="Failed",N174="Not Applicable"),OR(O174="Passed",O174="Failed",O174="Not Applicable"),OR(N174="Passed",N174="Failed",O174="Passed",O174="Failed"),OR(T174="Passed",T174="Not Applicable"),OR(U174="Passed",U174="Not Applicable"),OR(T174="Passed",U174="Passed"),Y174="Reconciled",Z174="Reconciled",IF(Q174&lt;&gt;"",R174="Fixed",TRUE)),"Verified",IF(OR(T174="Failed",U174="Failed"),"Retest Failed",IF(OR(N174="Failed",O174="Failed",Q174&lt;&gt;""),"Defect Found",IF(AND(OR(N174="Passed",N174="Not Applicable"),OR(O174="Passed",O174="Not Applicable"),OR(N174="Passed",O174="Passed")),"Initial Pass","Not Complete"))))</x:f>
        <x:v>Defect Found</x:v>
      </x:c>
      <x:c r="X174" s="58" t="str">
        <x:v>Product brand/portion details are not shown in result rows, making duplicate product names hard to distinguish.
RUN-0439: DEF072 narrow Android retest passes native23. Typing peanut sends /food-products/search?q=peanut&amp;locale=en-US and returns200 with visible catalogue results; Android keyboard Search sends the same complete URL and returns200. Explicit query serialization is fixed. Broader NUT021 composition/history/selection, NUT023 locale-change/cache and NUT024 offline used-product behavior remain incomplete; this closure does not claim those cases passed. User requested finishing the current work; no further feature work started.</x:v>
      </x:c>
      <x:c r="Y174" s="58" t="str">
        <x:f>IF(OR(N174="Not Run",O174="Not Run"),"Pending",IF(AND(OR(N174="Not Applicable",COUNTIFS('Test Runs'!$B$5:$B$2004,A174,'Test Runs'!$C$5:$C$2004,"Initial",'Test Runs'!$D$5:$D$2004,"iOS",'Test Runs'!$I$5:$I$2004,N174)&gt;0),OR(O174="Not Applicable",COUNTIFS('Test Runs'!$B$5:$B$2004,A174,'Test Runs'!$C$5:$C$2004,"Initial",'Test Runs'!$D$5:$D$2004,"Android",'Test Runs'!$I$5:$I$2004,O174)&gt;0)),"Reconciled","Mismatch"))</x:f>
        <x:v>Pending</x:v>
      </x:c>
      <x:c r="Z174" s="58" t="str">
        <x:f>IF(OR(T174="Not Run",U174="Not Run"),"Pending",IF(AND(OR(T174="Not Applicable",COUNTIFS('Test Runs'!$B$5:$B$2004,A174,'Test Runs'!$C$5:$C$2004,"Retest",'Test Runs'!$D$5:$D$2004,"iOS",'Test Runs'!$I$5:$I$2004,T174)&gt;0),OR(U174="Not Applicable",COUNTIFS('Test Runs'!$B$5:$B$2004,A174,'Test Runs'!$C$5:$C$2004,"Retest",'Test Runs'!$D$5:$D$2004,"Android",'Test Runs'!$I$5:$I$2004,U174)&gt;0)),"Reconciled","Mismatch"))</x:f>
        <x:v>Pending</x:v>
      </x:c>
    </x:row>
    <x:row r="175" ht="120" customHeight="1">
      <x:c r="A175" s="58" t="str">
        <x:v>NUT-022</x:v>
      </x:c>
      <x:c r="B175" s="58" t="str">
        <x:v>Food search - blank history</x:v>
      </x:c>
      <x:c r="C175" s="58" t="str">
        <x:v>Add &gt; Search with empty query</x:v>
      </x:c>
      <x:c r="D175" s="58" t="str">
        <x:v>As a returning user, I want recent foods shown before I type so that repeating is one tap.</x:v>
      </x:c>
      <x:c r="E175" s="58" t="str">
        <x:v>Blank search shows the 12 most recent unique custom/barcode/recipe entry snapshots. Uniqueness includes source, product, name, portion, unit and macros, so materially different portions remain separate.</x:v>
      </x:c>
      <x:c r="F175" s="58" t="str">
        <x:v>Both</x:v>
      </x:c>
      <x:c r="G175" s="58" t="str">
        <x:v>More than 12 prior entries including exact duplicates and same name/different portion.</x:v>
      </x:c>
      <x:c r="H175" s="58" t="str">
        <x:v>Open Search and verify recency, de-duplication, 12-item cap, image fallback.</x:v>
      </x:c>
      <x:c r="I175" s="58" t="str">
        <x:v>Repeat on Android.</x:v>
      </x:c>
      <x:c r="J175" s="58" t="str">
        <x:v>/Users/mason/Sites/Buff/tests/Feature/MealEntryTest.php:135</x:v>
      </x:c>
      <x:c r="K175" s="58" t="str">
        <x:v>/Users/mason/Sites/Buff/app/Http/Controllers/MealController.php:362-393; /Users/mason/Sites/Buff/resources/js/Pages/Add.vue:1189-1209</x:v>
      </x:c>
      <x:c r="L175" s="58" t="str">
        <x:v>Mapped</x:v>
      </x:c>
      <x:c r="M175" s="58" t="str">
        <x:v>Ready</x:v>
      </x:c>
      <x:c r="N175" s="58" t="str">
        <x:v>Not Run</x:v>
      </x:c>
      <x:c r="O175" s="58" t="str">
        <x:v>Blocked</x:v>
      </x:c>
      <x:c r="P175" s="58" t="str">
        <x:v>Android: /Users/mason/.codex/visualizations/2026/09/01/01a05def-1c0d-76d1-abc6-07c63a443582/emulator-runs/initial/android/NUT-022-blank-history.png
/Users/mason/.codex/visualizations/2026/09/01/01a05def-1c0d-76d1-abc6-07c63a443582/emulator-runs/initial/android/NUT-022-blank-history-observations.json — Blank Add-food search showed all five eligible custom/barcode fixtures in descending last-used order and excluded recipe rows.</x:v>
      </x:c>
      <x:c r="Q175" s="58" t="str"/>
      <x:c r="R175" s="58" t="str">
        <x:v>Not Needed</x:v>
      </x:c>
      <x:c r="S175" s="58" t="str"/>
      <x:c r="T175" s="58" t="str">
        <x:v>Not Run</x:v>
      </x:c>
      <x:c r="U175" s="58" t="str">
        <x:v>Not Run</x:v>
      </x:c>
      <x:c r="V175" s="58" t="str"/>
      <x:c r="W175" s="58" t="str">
        <x:f>IF(AND(OR(N175="Passed",N175="Failed",N175="Not Applicable"),OR(O175="Passed",O175="Failed",O175="Not Applicable"),OR(N175="Passed",N175="Failed",O175="Passed",O175="Failed"),OR(T175="Passed",T175="Not Applicable"),OR(U175="Passed",U175="Not Applicable"),OR(T175="Passed",U175="Passed"),Y175="Reconciled",Z175="Reconciled",IF(Q175&lt;&gt;"",R175="Fixed",TRUE)),"Verified",IF(OR(T175="Failed",U175="Failed"),"Retest Failed",IF(OR(N175="Failed",O175="Failed",Q175&lt;&gt;""),"Defect Found",IF(AND(OR(N175="Passed",N175="Not Applicable"),OR(O175="Passed",O175="Not Applicable"),OR(N175="Passed",O175="Passed")),"Initial Pass","Not Complete"))))</x:f>
        <x:v>Not Complete</x:v>
      </x:c>
      <x:c r="X175" s="58" t="str">
        <x:v>No timestamp or meal type is displayed, so similar historical snapshots may be difficult to identify.</x:v>
      </x:c>
      <x:c r="Y175" s="58" t="str">
        <x:f>IF(OR(N175="Not Run",O175="Not Run"),"Pending",IF(AND(OR(N175="Not Applicable",COUNTIFS('Test Runs'!$B$5:$B$2004,A175,'Test Runs'!$C$5:$C$2004,"Initial",'Test Runs'!$D$5:$D$2004,"iOS",'Test Runs'!$I$5:$I$2004,N175)&gt;0),OR(O175="Not Applicable",COUNTIFS('Test Runs'!$B$5:$B$2004,A175,'Test Runs'!$C$5:$C$2004,"Initial",'Test Runs'!$D$5:$D$2004,"Android",'Test Runs'!$I$5:$I$2004,O175)&gt;0)),"Reconciled","Mismatch"))</x:f>
        <x:v>Pending</x:v>
      </x:c>
      <x:c r="Z175" s="58" t="str">
        <x:f>IF(OR(T175="Not Run",U175="Not Run"),"Pending",IF(AND(OR(T175="Not Applicable",COUNTIFS('Test Runs'!$B$5:$B$2004,A175,'Test Runs'!$C$5:$C$2004,"Retest",'Test Runs'!$D$5:$D$2004,"iOS",'Test Runs'!$I$5:$I$2004,T175)&gt;0),OR(U175="Not Applicable",COUNTIFS('Test Runs'!$B$5:$B$2004,A175,'Test Runs'!$C$5:$C$2004,"Retest",'Test Runs'!$D$5:$D$2004,"Android",'Test Runs'!$I$5:$I$2004,U175)&gt;0)),"Reconciled","Mismatch"))</x:f>
        <x:v>Pending</x:v>
      </x:c>
    </x:row>
    <x:row r="176" ht="255.60000610351562" hidden="0" customHeight="1">
      <x:c r="A176" s="58" t="str">
        <x:v>NUT-023</x:v>
      </x:c>
      <x:c r="B176" s="58" t="str">
        <x:v>Food search - locale/cache</x:v>
      </x:c>
      <x:c r="C176" s="58" t="str">
        <x:v>Add &gt; Search</x:v>
      </x:c>
      <x:c r="D176" s="58" t="str">
        <x:v>As a user, I want catalogue results localized to my device language and resilient to repeated searches.</x:v>
      </x:c>
      <x:c r="E176" s="58" t="str">
        <x:v>The app forwards preferred locale; server maps language/region, queries Open Food Facts, caches ordered result IDs for seven days per locale/query, skips malformed products, and returns at most 20.</x:v>
      </x:c>
      <x:c r="F176" s="58" t="str">
        <x:v>Both</x:v>
      </x:c>
      <x:c r="G176" s="58" t="str">
        <x:v>Device languages en-GB and fr-FR; remote fixture with locale-specific results.</x:v>
      </x:c>
      <x:c r="H176" s="58" t="str">
        <x:v>Change iOS preferred language, relaunch, search same term, compare locale results.</x:v>
      </x:c>
      <x:c r="I176" s="58" t="str">
        <x:v>Change Android app/system language, repeat.</x:v>
      </x:c>
      <x:c r="J176" s="58" t="str">
        <x:v>/Users/mason/Sites/Buff/tests/Feature/OpenFoodFactsLookupTest.php:74; /Users/mason/Sites/buff-server/tests/Feature/FoodProductApiTest.php:48,76,96</x:v>
      </x:c>
      <x:c r="K176" s="58" t="str">
        <x:v>/Users/mason/Sites/Buff/app/Http/Controllers/MealController.php:99-104; /Users/mason/Sites/Buff/app/Services/OpenFoodFactsService.php:43-62; /Users/mason/Sites/buff-server/app/Services/OpenFoodFactsService.php:60-108</x:v>
      </x:c>
      <x:c r="L176" s="58" t="str">
        <x:v>Mapped</x:v>
      </x:c>
      <x:c r="M176" s="58" t="str">
        <x:v>Ready</x:v>
      </x:c>
      <x:c r="N176" s="58" t="str">
        <x:v>Not Run</x:v>
      </x:c>
      <x:c r="O176" s="58" t="str">
        <x:v>Failed</x:v>
      </x:c>
      <x:c r="P176" s="58" t="str">
        <x:v>Android: /Users/mason/.codex/visualizations/2026/09/01/01a05def-1c0d-76d1-abc6-07c63a443582/emulator-runs/initial/android/NUT-023-fr-locale-request-omitted.png
/Users/mason/.codex/visualizations/2026/09/01/01a05def-1c0d-76d1-abc6-07c63a443582/emulator-runs/initial/android/NUT-023-fr-locale-request-observations.json
/Users/mason/.codex/visualizations/2026/09/01/01a05def-1c0d-76d1-abc6-07c63a443582/emulator-runs/initial/android/NUT-021-search-query-omitted.json — With the Android app locale set to fr-FR, cold-launch PID 12613 reported navigator.language fr-FR, navigator.languages [fr-FR, en-US], and online true. On /add?mode=food the visible search value was 'yogurt'. Behavior-preserving fetch and XHR instrumentation captured one debounced request: fetch GET /food-products/search with a null body. The screen displayed 'No products found.' Neither the visible query nor fr-FR preferred locale was sent, so localized catalogue/cache behavior could not work.</x:v>
      </x:c>
      <x:c r="Q176" s="58" t="str">
        <x:v>DEF-072</x:v>
      </x:c>
      <x:c r="R176" s="58" t="str">
        <x:v>Fixed</x:v>
      </x:c>
      <x:c r="S176" s="58" t="str"/>
      <x:c r="T176" s="58" t="str">
        <x:v>Not Run</x:v>
      </x:c>
      <x:c r="U176" s="58" t="str">
        <x:v>Not Run</x:v>
      </x:c>
      <x:c r="V176" s="58" t="str"/>
      <x:c r="W176" s="58" t="str">
        <x:f>IF(AND(OR(N176="Passed",N176="Failed",N176="Not Applicable"),OR(O176="Passed",O176="Failed",O176="Not Applicable"),OR(N176="Passed",N176="Failed",O176="Passed",O176="Failed"),OR(T176="Passed",T176="Not Applicable"),OR(U176="Passed",U176="Not Applicable"),OR(T176="Passed",U176="Passed"),Y176="Reconciled",Z176="Reconciled",IF(Q176&lt;&gt;"",R176="Fixed",TRUE)),"Verified",IF(OR(T176="Failed",U176="Failed"),"Retest Failed",IF(OR(N176="Failed",O176="Failed",Q176&lt;&gt;""),"Defect Found",IF(AND(OR(N176="Passed",N176="Not Applicable"),OR(O176="Passed",O176="Not Applicable"),OR(N176="Passed",O176="Passed")),"Initial Pass","Not Complete"))))</x:f>
        <x:v>Defect Found</x:v>
      </x:c>
      <x:c r="X176" s="58" t="str">
        <x:v>Cached seven-day results can be stale; UI does not disclose source/locale/cache age.
RUN-0439: DEF072 narrow Android retest passes native23. Typing peanut sends /food-products/search?q=peanut&amp;locale=en-US and returns200 with visible catalogue results; Android keyboard Search sends the same complete URL and returns200. Explicit query serialization is fixed. Broader NUT021 composition/history/selection, NUT023 locale-change/cache and NUT024 offline used-product behavior remain incomplete; this closure does not claim those cases passed. User requested finishing the current work; no further feature work started.</x:v>
      </x:c>
      <x:c r="Y176" s="58" t="str">
        <x:f>IF(OR(N176="Not Run",O176="Not Run"),"Pending",IF(AND(OR(N176="Not Applicable",COUNTIFS('Test Runs'!$B$5:$B$2004,A176,'Test Runs'!$C$5:$C$2004,"Initial",'Test Runs'!$D$5:$D$2004,"iOS",'Test Runs'!$I$5:$I$2004,N176)&gt;0),OR(O176="Not Applicable",COUNTIFS('Test Runs'!$B$5:$B$2004,A176,'Test Runs'!$C$5:$C$2004,"Initial",'Test Runs'!$D$5:$D$2004,"Android",'Test Runs'!$I$5:$I$2004,O176)&gt;0)),"Reconciled","Mismatch"))</x:f>
        <x:v>Pending</x:v>
      </x:c>
      <x:c r="Z176" s="58" t="str">
        <x:f>IF(OR(T176="Not Run",U176="Not Run"),"Pending",IF(AND(OR(T176="Not Applicable",COUNTIFS('Test Runs'!$B$5:$B$2004,A176,'Test Runs'!$C$5:$C$2004,"Retest",'Test Runs'!$D$5:$D$2004,"iOS",'Test Runs'!$I$5:$I$2004,T176)&gt;0),OR(U176="Not Applicable",COUNTIFS('Test Runs'!$B$5:$B$2004,A176,'Test Runs'!$C$5:$C$2004,"Retest",'Test Runs'!$D$5:$D$2004,"Android",'Test Runs'!$I$5:$I$2004,U176)&gt;0)),"Reconciled","Mismatch"))</x:f>
        <x:v>Pending</x:v>
      </x:c>
    </x:row>
    <x:row r="177" ht="202.8000030517578" hidden="0" customHeight="1">
      <x:c r="A177" s="58" t="str">
        <x:v>NUT-024</x:v>
      </x:c>
      <x:c r="B177" s="58" t="str">
        <x:v>Food search - offline fallback</x:v>
      </x:c>
      <x:c r="C177" s="58" t="str">
        <x:v>Add &gt; Search while offline</x:v>
      </x:c>
      <x:c r="D177" s="58" t="str">
        <x:v>As an offline user, I want previously used products and meals to remain searchable so that I can still log them.</x:v>
      </x:c>
      <x:c r="E177" s="58" t="str">
        <x:v>Remote search failure yields no remote products, but matching previous meals and locally stored products are returned only when those products have been used in a MealEntry; unselected prior search results are intentionally not reused offline.</x:v>
      </x:c>
      <x:c r="F177" s="58" t="str">
        <x:v>Both</x:v>
      </x:c>
      <x:c r="G177" s="58" t="str">
        <x:v>One previously logged product, one previous custom meal, one only-searched/unselected product.</x:v>
      </x:c>
      <x:c r="H177" s="58" t="str">
        <x:v>Prime data online; go offline; search each and verify used history works while unselected item does not.</x:v>
      </x:c>
      <x:c r="I177" s="58" t="str">
        <x:v>Repeat on Android.</x:v>
      </x:c>
      <x:c r="J177" s="58" t="str">
        <x:v>/Users/mason/Sites/Buff/tests/Feature/MealEntryTest.php:339; /Users/mason/Sites/Buff/tests/Feature/OpenFoodFactsLookupTest.php:102,125</x:v>
      </x:c>
      <x:c r="K177" s="58" t="str">
        <x:v>/Users/mason/Sites/Buff/app/Services/OpenFoodFactsService.php:51-55; /Users/mason/Sites/Buff/app/Http/Controllers/MealController.php:86-114; /Users/mason/Sites/Buff/tests/Feature/OpenFoodFactsLookupTest.php:102-134</x:v>
      </x:c>
      <x:c r="L177" s="58" t="str">
        <x:v>Mapped</x:v>
      </x:c>
      <x:c r="M177" s="58" t="str">
        <x:v>Ready</x:v>
      </x:c>
      <x:c r="N177" s="58" t="str">
        <x:v>Not Run</x:v>
      </x:c>
      <x:c r="O177" s="58" t="str">
        <x:v>Failed</x:v>
      </x:c>
      <x:c r="P177" s="58" t="str">
        <x:v>Android: /Users/mason/.codex/visualizations/2026/09/01/01a05def-1c0d-76d1-abc6-07c63a443582/emulator-runs/initial/android/NUT-024-offline-ui-blocked.png
/Users/mason/.codex/visualizations/2026/09/01/01a05def-1c0d-76d1-abc6-07c63a443582/emulator-runs/initial/android/NUT-024-offline-fallback-observations.json — With Android genuinely offline, the direct same-session endpoint control for q=peanut returned the prior 52g meal and its used local product, while the stored-but-unselected Peanut Butter Protein Bars query returned zero results. In the real UI, peanut was visible, but the request omitted q and the page showed 'No products found.'</x:v>
      </x:c>
      <x:c r="Q177" s="58" t="str">
        <x:v>DEF-072</x:v>
      </x:c>
      <x:c r="R177" s="58" t="str">
        <x:v>Fixed</x:v>
      </x:c>
      <x:c r="S177" s="58" t="str"/>
      <x:c r="T177" s="58" t="str">
        <x:v>Not Run</x:v>
      </x:c>
      <x:c r="U177" s="58" t="str">
        <x:v>Not Run</x:v>
      </x:c>
      <x:c r="V177" s="58" t="str"/>
      <x:c r="W177" s="58" t="str">
        <x:f>IF(AND(OR(N177="Passed",N177="Failed",N177="Not Applicable"),OR(O177="Passed",O177="Failed",O177="Not Applicable"),OR(N177="Passed",N177="Failed",O177="Passed",O177="Failed"),OR(T177="Passed",T177="Not Applicable"),OR(U177="Passed",U177="Not Applicable"),OR(T177="Passed",U177="Passed"),Y177="Reconciled",Z177="Reconciled",IF(Q177&lt;&gt;"",R177="Fixed",TRUE)),"Verified",IF(OR(T177="Failed",U177="Failed"),"Retest Failed",IF(OR(N177="Failed",O177="Failed",Q177&lt;&gt;""),"Defect Found",IF(AND(OR(N177="Passed",N177="Not Applicable"),OR(O177="Passed",O177="Not Applicable"),OR(N177="Passed",O177="Passed")),"Initial Pass","Not Complete"))))</x:f>
        <x:v>Defect Found</x:v>
      </x:c>
      <x:c r="X177" s="58" t="str">
        <x:v>Remote failure is presented as ordinary "No products found" rather than an offline/error state, which is misleading despite the global banner.
RUN-0439: DEF072 narrow Android retest passes native23. Typing peanut sends /food-products/search?q=peanut&amp;locale=en-US and returns200 with visible catalogue results; Android keyboard Search sends the same complete URL and returns200. Explicit query serialization is fixed. Broader NUT021 composition/history/selection, NUT023 locale-change/cache and NUT024 offline used-product behavior remain incomplete; this closure does not claim those cases passed. User requested finishing the current work; no further feature work started.</x:v>
      </x:c>
      <x:c r="Y177" s="58" t="str">
        <x:f>IF(OR(N177="Not Run",O177="Not Run"),"Pending",IF(AND(OR(N177="Not Applicable",COUNTIFS('Test Runs'!$B$5:$B$2004,A177,'Test Runs'!$C$5:$C$2004,"Initial",'Test Runs'!$D$5:$D$2004,"iOS",'Test Runs'!$I$5:$I$2004,N177)&gt;0),OR(O177="Not Applicable",COUNTIFS('Test Runs'!$B$5:$B$2004,A177,'Test Runs'!$C$5:$C$2004,"Initial",'Test Runs'!$D$5:$D$2004,"Android",'Test Runs'!$I$5:$I$2004,O177)&gt;0)),"Reconciled","Mismatch"))</x:f>
        <x:v>Pending</x:v>
      </x:c>
      <x:c r="Z177" s="58" t="str">
        <x:f>IF(OR(T177="Not Run",U177="Not Run"),"Pending",IF(AND(OR(T177="Not Applicable",COUNTIFS('Test Runs'!$B$5:$B$2004,A177,'Test Runs'!$C$5:$C$2004,"Retest",'Test Runs'!$D$5:$D$2004,"iOS",'Test Runs'!$I$5:$I$2004,T177)&gt;0),OR(U177="Not Applicable",COUNTIFS('Test Runs'!$B$5:$B$2004,A177,'Test Runs'!$C$5:$C$2004,"Retest",'Test Runs'!$D$5:$D$2004,"Android",'Test Runs'!$I$5:$I$2004,U177)&gt;0)),"Reconciled","Mismatch"))</x:f>
        <x:v>Pending</x:v>
      </x:c>
    </x:row>
    <x:row r="178" ht="120" customHeight="1">
      <x:c r="A178" s="58" t="str">
        <x:v>NUT-025</x:v>
      </x:c>
      <x:c r="B178" s="58" t="str">
        <x:v>Food search - request errors</x:v>
      </x:c>
      <x:c r="C178" s="58" t="str">
        <x:v>Add &gt; Search during 401/429/500/local endpoint failure</x:v>
      </x:c>
      <x:c r="D178" s="58" t="str">
        <x:v>As a user, I want useful feedback when search fails so that I know whether to retry.</x:v>
      </x:c>
      <x:c r="E178" s="58" t="str">
        <x:v>An HTTP/network search failure clears results and shows a search-specific alert with the server query error/message or connection fallback plus Retry. A successful zero-result response alone shows No products found. Retrying searches the current query.</x:v>
      </x:c>
      <x:c r="F178" s="58" t="str">
        <x:v>Both</x:v>
      </x:c>
      <x:c r="G178" s="58" t="str">
        <x:v>Throttle or force endpoint failure.</x:v>
      </x:c>
      <x:c r="H178" s="58" t="str">
        <x:v>Force local 401/422/429/500/network failures and verify error/Retry rather than No products found. Restore the endpoint and retry the current query; separately verify genuine zero-result copy.</x:v>
      </x:c>
      <x:c r="I178" s="58" t="str">
        <x:v>Repeat Android, including native string error payloads and a query changed while Retry is pending.</x:v>
      </x:c>
      <x:c r="J178" s="58" t="str">
        <x:v>No automated UI error-state coverage</x:v>
      </x:c>
      <x:c r="K178" s="58" t="str">
        <x:v>/Users/mason/Sites/Buff/resources/js/Pages/Add.vue:451-480,1165-1213; /Users/mason/Sites/Buff/routes/web.php:91</x:v>
      </x:c>
      <x:c r="L178" s="58" t="str">
        <x:v>Mapped</x:v>
      </x:c>
      <x:c r="M178" s="58" t="str">
        <x:v>Ready</x:v>
      </x:c>
      <x:c r="N178" s="58" t="str">
        <x:v>Not Run</x:v>
      </x:c>
      <x:c r="O178" s="58" t="str">
        <x:v>Failed</x:v>
      </x:c>
      <x:c r="P178" s="58" t="str">
        <x:v>Android: /Users/mason/.codex/visualizations/2026/09/01/01a05def-1c0d-76d1-abc6-07c63a443582/emulator-runs/initial/android/NUT-025-search-request-error.png
/Users/mason/.codex/visualizations/2026/09/01/01a05def-1c0d-76d1-abc6-07c63a443582/emulator-runs/initial/android/NUT-025-search-request-error-observations.json — A deliberately forced fetch rejection scoped only to /food-products/search was triggered exactly once by entering cashew with real Android text input. The UI showed 'No products found.' with no search-specific error, status, or retry action.</x:v>
      </x:c>
      <x:c r="Q178" s="58" t="str">
        <x:v>DEF-073</x:v>
      </x:c>
      <x:c r="R178" s="58" t="str">
        <x:v>In Progress</x:v>
      </x:c>
      <x:c r="S178" s="58" t="str"/>
      <x:c r="T178" s="58" t="str">
        <x:v>Not Run</x:v>
      </x:c>
      <x:c r="U178" s="58" t="str">
        <x:v>Not Run</x:v>
      </x:c>
      <x:c r="V178" s="58" t="str"/>
      <x:c r="W178" s="58" t="str">
        <x:f>IF(AND(OR(N178="Passed",N178="Failed",N178="Not Applicable"),OR(O178="Passed",O178="Failed",O178="Not Applicable"),OR(N178="Passed",N178="Failed",O178="Passed",O178="Failed"),OR(T178="Passed",T178="Not Applicable"),OR(U178="Passed",U178="Not Applicable"),OR(T178="Passed",U178="Passed"),Y178="Reconciled",Z178="Reconciled",IF(Q178&lt;&gt;"",R178="Fixed",TRUE)),"Verified",IF(OR(T178="Failed",U178="Failed"),"Retest Failed",IF(OR(N178="Failed",O178="Failed",Q178&lt;&gt;""),"Defect Found",IF(AND(OR(N178="Passed",N178="Not Applicable"),OR(O178="Passed",O178="Not Applicable"),OR(N178="Passed",O178="Passed")),"Initial Pass","Not Complete"))))</x:f>
        <x:v>Defect Found</x:v>
      </x:c>
      <x:c r="X178" s="58" t="str">
        <x:v>Likely UX defect: 401, rate limit, server failure, and genuine zero results collapse to the same empty/no-results experience.</x:v>
      </x:c>
      <x:c r="Y178" s="58" t="str">
        <x:f>IF(OR(N178="Not Run",O178="Not Run"),"Pending",IF(AND(OR(N178="Not Applicable",COUNTIFS('Test Runs'!$B$5:$B$2004,A178,'Test Runs'!$C$5:$C$2004,"Initial",'Test Runs'!$D$5:$D$2004,"iOS",'Test Runs'!$I$5:$I$2004,N178)&gt;0),OR(O178="Not Applicable",COUNTIFS('Test Runs'!$B$5:$B$2004,A178,'Test Runs'!$C$5:$C$2004,"Initial",'Test Runs'!$D$5:$D$2004,"Android",'Test Runs'!$I$5:$I$2004,O178)&gt;0)),"Reconciled","Mismatch"))</x:f>
        <x:v>Pending</x:v>
      </x:c>
      <x:c r="Z178" s="58" t="str">
        <x:f>IF(OR(T178="Not Run",U178="Not Run"),"Pending",IF(AND(OR(T178="Not Applicable",COUNTIFS('Test Runs'!$B$5:$B$2004,A178,'Test Runs'!$C$5:$C$2004,"Retest",'Test Runs'!$D$5:$D$2004,"iOS",'Test Runs'!$I$5:$I$2004,T178)&gt;0),OR(U178="Not Applicable",COUNTIFS('Test Runs'!$B$5:$B$2004,A178,'Test Runs'!$C$5:$C$2004,"Retest",'Test Runs'!$D$5:$D$2004,"Android",'Test Runs'!$I$5:$I$2004,U178)&gt;0)),"Reconciled","Mismatch"))</x:f>
        <x:v>Pending</x:v>
      </x:c>
    </x:row>
    <x:row r="179" ht="120" customHeight="1">
      <x:c r="A179" s="58" t="str">
        <x:v>NUT-026</x:v>
      </x:c>
      <x:c r="B179" s="58" t="str">
        <x:v>Food product review</x:v>
      </x:c>
      <x:c r="C179" s="58" t="str">
        <x:v>Tap a product search result or successful barcode lookup</x:v>
      </x:c>
      <x:c r="D179" s="58" t="str">
        <x:v>As a user, I want to review a selected catalogue product before adding it so that I can verify nutrition.</x:v>
      </x:c>
      <x:c r="E179" s="58" t="str">
        <x:v>Selecting a product opens an Add food drawer showing image/fallback, name, brand, per-100 kcal/macros, a portion editor, meal-type picker, calculated summary, and Add &lt;kcal&gt; action.</x:v>
      </x:c>
      <x:c r="F179" s="58" t="str">
        <x:v>Both</x:v>
      </x:c>
      <x:c r="G179" s="58" t="str">
        <x:v>Catalogue product with image and one without.</x:v>
      </x:c>
      <x:c r="H179" s="58" t="str">
        <x:v>Open each result; verify focus/dialog semantics, image fallback, values, close without saving.</x:v>
      </x:c>
      <x:c r="I179" s="58" t="str">
        <x:v>Repeat with TalkBack.</x:v>
      </x:c>
      <x:c r="J179" s="58" t="str">
        <x:v>Design/source coverage in /Users/mason/Sites/Buff/tests/recipeDesign.test.ts; backend payload in OpenFoodFactsLookupTest</x:v>
      </x:c>
      <x:c r="K179" s="58" t="str">
        <x:v>/Users/mason/Sites/Buff/resources/js/Pages/Add.vue:482-493,1216-1296; /Users/mason/Sites/Buff/resources/js/Components/Add/MacroSummary.vue</x:v>
      </x:c>
      <x:c r="L179" s="58" t="str">
        <x:v>Mapped</x:v>
      </x:c>
      <x:c r="M179" s="58" t="str">
        <x:v>Ready</x:v>
      </x:c>
      <x:c r="N179" s="58" t="str">
        <x:v>Not Run</x:v>
      </x:c>
      <x:c r="O179" s="58" t="str">
        <x:v>Passed</x:v>
      </x:c>
      <x:c r="P179" s="58" t="str">
        <x:v>Android: /Users/mason/.codex/visualizations/2026/09/01/01a05def-1c0d-76d1-abc6-07c63a443582/emulator-runs/initial/android/NUT-027-barcode-52g-preview.png — The selected product opened a dialog with name, brand, image, per-100 nutrition, portion and meal controls, scaled summary, Add action, and a working Close path.</x:v>
      </x:c>
      <x:c r="Q179" s="58" t="str">
        <x:v>DEF-029</x:v>
      </x:c>
      <x:c r="R179" s="58" t="str">
        <x:v>In Progress</x:v>
      </x:c>
      <x:c r="S179" s="58" t="str"/>
      <x:c r="T179" s="58" t="str">
        <x:v>Not Run</x:v>
      </x:c>
      <x:c r="U179" s="58" t="str">
        <x:v>Not Run</x:v>
      </x:c>
      <x:c r="V179" s="58" t="str"/>
      <x:c r="W179" s="58" t="str">
        <x:f>IF(AND(OR(N179="Passed",N179="Failed",N179="Not Applicable"),OR(O179="Passed",O179="Failed",O179="Not Applicable"),OR(N179="Passed",N179="Failed",O179="Passed",O179="Failed"),OR(T179="Passed",T179="Not Applicable"),OR(U179="Passed",U179="Not Applicable"),OR(T179="Passed",U179="Passed"),Y179="Reconciled",Z179="Reconciled",IF(Q179&lt;&gt;"",R179="Fixed",TRUE)),"Verified",IF(OR(T179="Failed",U179="Failed"),"Retest Failed",IF(OR(N179="Failed",O179="Failed",Q179&lt;&gt;""),"Defect Found",IF(AND(OR(N179="Passed",N179="Not Applicable"),OR(O179="Passed",O179="Not Applicable"),OR(N179="Passed",O179="Passed")),"Initial Pass","Not Complete"))))</x:f>
        <x:v>Defect Found</x:v>
      </x:c>
      <x:c r="X179" s="58" t="str">
        <x:v>No direct end-to-end drawer interaction coverage.</x:v>
      </x:c>
      <x:c r="Y179" s="58" t="str">
        <x:f>IF(OR(N179="Not Run",O179="Not Run"),"Pending",IF(AND(OR(N179="Not Applicable",COUNTIFS('Test Runs'!$B$5:$B$2004,A179,'Test Runs'!$C$5:$C$2004,"Initial",'Test Runs'!$D$5:$D$2004,"iOS",'Test Runs'!$I$5:$I$2004,N179)&gt;0),OR(O179="Not Applicable",COUNTIFS('Test Runs'!$B$5:$B$2004,A179,'Test Runs'!$C$5:$C$2004,"Initial",'Test Runs'!$D$5:$D$2004,"Android",'Test Runs'!$I$5:$I$2004,O179)&gt;0)),"Reconciled","Mismatch"))</x:f>
        <x:v>Pending</x:v>
      </x:c>
      <x:c r="Z179" s="58" t="str">
        <x:f>IF(OR(T179="Not Run",U179="Not Run"),"Pending",IF(AND(OR(T179="Not Applicable",COUNTIFS('Test Runs'!$B$5:$B$2004,A179,'Test Runs'!$C$5:$C$2004,"Retest",'Test Runs'!$D$5:$D$2004,"iOS",'Test Runs'!$I$5:$I$2004,T179)&gt;0),OR(U179="Not Applicable",COUNTIFS('Test Runs'!$B$5:$B$2004,A179,'Test Runs'!$C$5:$C$2004,"Retest",'Test Runs'!$D$5:$D$2004,"Android",'Test Runs'!$I$5:$I$2004,U179)&gt;0)),"Reconciled","Mismatch"))</x:f>
        <x:v>Pending</x:v>
      </x:c>
    </x:row>
    <x:row r="180" ht="120" customHeight="1">
      <x:c r="A180" s="58" t="str">
        <x:v>NUT-027</x:v>
      </x:c>
      <x:c r="B180" s="58" t="str">
        <x:v>Food product portion preview</x:v>
      </x:c>
      <x:c r="C180" s="58" t="str">
        <x:v>Product Add food drawer</x:v>
      </x:c>
      <x:c r="D180" s="58" t="str">
        <x:v>As a user, I want portion changes to update calories and macros before saving so that the log matches what I ate.</x:v>
      </x:c>
      <x:c r="E180" s="58" t="str">
        <x:v>Product quantity scales per-100 nutrition and rounds UI kcal to integer/macros to 0.1g. Search selections start at 100g/ml; barcode lookup can offer serving/package/common chips. Portion quantity/unit have accessible names, chips expose pressed selection, and only the product nutrition unit can be selected.</x:v>
      </x:c>
      <x:c r="F180" s="58" t="str">
        <x:v>Both</x:v>
      </x:c>
      <x:c r="G180" s="58" t="str">
        <x:v>Product with known per-100 macros and serving/package data.</x:v>
      </x:c>
      <x:c r="H180" s="58" t="str">
        <x:v>Change quantity and chips; verify preview math; test g and ml.</x:v>
      </x:c>
      <x:c r="I180" s="58" t="str">
        <x:v>Repeat on Android.</x:v>
      </x:c>
      <x:c r="J180" s="58" t="str">
        <x:v>/Users/mason/Sites/Buff/tests/Unit/NutritionCalculatorTest.php:33; /Users/mason/Sites/Buff/tests/Unit/PortionParserTest.php:23</x:v>
      </x:c>
      <x:c r="K180" s="58" t="str">
        <x:v>/Users/mason/Sites/Buff/resources/js/Pages/Add.vue:265-289,342-385,397-413,1249-1284; /Users/mason/Sites/Buff/app/Services/NutritionCalculator.php:67-80</x:v>
      </x:c>
      <x:c r="L180" s="58" t="str">
        <x:v>Mapped</x:v>
      </x:c>
      <x:c r="M180" s="58" t="str">
        <x:v>Ready</x:v>
      </x:c>
      <x:c r="N180" s="58" t="str">
        <x:v>Not Run</x:v>
      </x:c>
      <x:c r="O180" s="58" t="str">
        <x:v>Passed</x:v>
      </x:c>
      <x:c r="P180" s="58" t="str">
        <x:v>Android: /Users/mason/.codex/visualizations/2026/09/01/01a05def-1c0d-76d1-abc6-07c63a443582/emulator-runs/initial/android/NUT-027-barcode-52g-preview.png — The product displayed 385 kcal/P9.6/C71.2/F7.7 per 100g; its 52g chip recalculated to 200 kcal/P5/C37/F4 and the saved row retained 52g.</x:v>
      </x:c>
      <x:c r="Q180" s="58" t="str">
        <x:v>DEF-029</x:v>
      </x:c>
      <x:c r="R180" s="58" t="str">
        <x:v>In Progress</x:v>
      </x:c>
      <x:c r="S180" s="58" t="str"/>
      <x:c r="T180" s="58" t="str">
        <x:v>Not Run</x:v>
      </x:c>
      <x:c r="U180" s="58" t="str">
        <x:v>Not Run</x:v>
      </x:c>
      <x:c r="V180" s="58" t="str"/>
      <x:c r="W180" s="58" t="str">
        <x:f>IF(AND(OR(N180="Passed",N180="Failed",N180="Not Applicable"),OR(O180="Passed",O180="Failed",O180="Not Applicable"),OR(N180="Passed",N180="Failed",O180="Passed",O180="Failed"),OR(T180="Passed",T180="Not Applicable"),OR(U180="Passed",U180="Not Applicable"),OR(T180="Passed",U180="Passed"),Y180="Reconciled",Z180="Reconciled",IF(Q180&lt;&gt;"",R180="Fixed",TRUE)),"Verified",IF(OR(T180="Failed",U180="Failed"),"Retest Failed",IF(OR(N180="Failed",O180="Failed",Q180&lt;&gt;""),"Defect Found",IF(AND(OR(N180="Passed",N180="Not Applicable"),OR(O180="Passed",O180="Not Applicable"),OR(N180="Passed",O180="Passed")),"Initial Pass","Not Complete"))))</x:f>
        <x:v>Defect Found</x:v>
      </x:c>
      <x:c r="X180" s="58" t="str">
        <x:v>UI macro preview rounds to one decimal while stored values round to two decimals, so small display/storage differences are expected.</x:v>
      </x:c>
      <x:c r="Y180" s="58" t="str">
        <x:f>IF(OR(N180="Not Run",O180="Not Run"),"Pending",IF(AND(OR(N180="Not Applicable",COUNTIFS('Test Runs'!$B$5:$B$2004,A180,'Test Runs'!$C$5:$C$2004,"Initial",'Test Runs'!$D$5:$D$2004,"iOS",'Test Runs'!$I$5:$I$2004,N180)&gt;0),OR(O180="Not Applicable",COUNTIFS('Test Runs'!$B$5:$B$2004,A180,'Test Runs'!$C$5:$C$2004,"Initial",'Test Runs'!$D$5:$D$2004,"Android",'Test Runs'!$I$5:$I$2004,O180)&gt;0)),"Reconciled","Mismatch"))</x:f>
        <x:v>Pending</x:v>
      </x:c>
      <x:c r="Z180" s="58" t="str">
        <x:f>IF(OR(T180="Not Run",U180="Not Run"),"Pending",IF(AND(OR(T180="Not Applicable",COUNTIFS('Test Runs'!$B$5:$B$2004,A180,'Test Runs'!$C$5:$C$2004,"Retest",'Test Runs'!$D$5:$D$2004,"iOS",'Test Runs'!$I$5:$I$2004,T180)&gt;0),OR(U180="Not Applicable",COUNTIFS('Test Runs'!$B$5:$B$2004,A180,'Test Runs'!$C$5:$C$2004,"Retest",'Test Runs'!$D$5:$D$2004,"Android",'Test Runs'!$I$5:$I$2004,U180)&gt;0)),"Reconciled","Mismatch"))</x:f>
        <x:v>Pending</x:v>
      </x:c>
    </x:row>
    <x:row r="181" ht="120" customHeight="1">
      <x:c r="A181" s="58" t="str">
        <x:v>NUT-028</x:v>
      </x:c>
      <x:c r="B181" s="58" t="str">
        <x:v>Previous meal review/repeat</x:v>
      </x:c>
      <x:c r="C181" s="58" t="str">
        <x:v>Blank history or history search result</x:v>
      </x:c>
      <x:c r="D181" s="58" t="str">
        <x:v>As a user, I want to reuse a previous custom or barcode meal and optionally change its portion so that repeat logging is quick.</x:v>
      </x:c>
      <x:c r="E181" s="58" t="str">
        <x:v>Selecting history opens the drawer with original kcal/macros. When quantity and a non-null g/ml unit exist, changing quantity scales macros and repeats to the selected date/type. Without an editable unit, including recipe servings, repeat preserves the exact snapshot; recipes display serving/servings.</x:v>
      </x:c>
      <x:c r="F181" s="58" t="str">
        <x:v>Both</x:v>
      </x:c>
      <x:c r="G181" s="58" t="str">
        <x:v>Prior custom/barcode meal with portion, a no-portion meal and a recipe meal with null unit; a different destination date/type</x:v>
      </x:c>
      <x:c r="H181" s="58" t="str">
        <x:v>Repeat exact and 2x portion; verify resulting Today rows/macros/date/type; reuse this run for NUT-088 snapshot assertions.</x:v>
      </x:c>
      <x:c r="I181" s="58" t="str">
        <x:v>Repeat on Android; reuse this run for NUT-088 snapshot assertions.</x:v>
      </x:c>
      <x:c r="J181" s="58" t="str">
        <x:v>/Users/mason/Sites/Buff/tests/Feature/MealEntryTest.php:239,264</x:v>
      </x:c>
      <x:c r="K181" s="58" t="str">
        <x:v>/Users/mason/Sites/Buff/resources/js/Pages/Add.vue:291-332,495-511,655-676,1229-1294; /Users/mason/Sites/Buff/app/Http/Controllers/MealController.php:258-285</x:v>
      </x:c>
      <x:c r="L181" s="58" t="str">
        <x:v>Mapped</x:v>
      </x:c>
      <x:c r="M181" s="58" t="str">
        <x:v>Ready</x:v>
      </x:c>
      <x:c r="N181" s="58" t="str">
        <x:v>Not Run</x:v>
      </x:c>
      <x:c r="O181" s="58" t="str">
        <x:v>Blocked</x:v>
      </x:c>
      <x:c r="P181" s="58" t="str">
        <x:v>Android: /Users/mason/.codex/visualizations/2026/09/01/01a05def-1c0d-76d1-abc6-07c63a443582/emulator-runs/initial/android/NUT-028-previous-review.png
/Users/mason/.codex/visualizations/2026/09/01/01a05def-1c0d-76d1-abc6-07c63a443582/emulator-runs/initial/android/NUT-028-previous-scaled-review.png
/Users/mason/.codex/visualizations/2026/09/01/01a05def-1c0d-76d1-abc6-07c63a443582/emulator-runs/initial/android/NUT-028-repeated-row.png
/Users/mason/.codex/visualizations/2026/09/01/01a05def-1c0d-76d1-abc6-07c63a443582/emulator-runs/initial/android/NUT-028-repeated-detail.png
/Users/mason/.codex/visualizations/2026/09/01/01a05def-1c0d-76d1-abc6-07c63a443582/emulator-runs/initial/android/NUT-028-exact-review.png
/Users/mason/.codex/visualizations/2026/09/01/01a05def-1c0d-76d1-abc6-07c63a443582/emulator-runs/initial/android/NUT-028-exact-repeated-row.png
/Users/mason/.codex/visualizations/2026/09/01/01a05def-1c0d-76d1-abc6-07c63a443582/emulator-runs/initial/android/NUT-028-repeat-observations.json — The prior 100g/39-kcal item opened with its 1g protein, 2g carbs, and 3g fat snapshot. Repeating at 150g created a separate 59-kcal Snacks row with 1.5g protein, 3g carbs, and 4.5g fat; repeating at the exact 100g created another independent 39-kcal row. Both disposable repeats were deleted after capture and the original remained.</x:v>
      </x:c>
      <x:c r="Q181" s="58" t="str"/>
      <x:c r="R181" s="58" t="str">
        <x:v>Not Needed</x:v>
      </x:c>
      <x:c r="S181" s="58" t="str"/>
      <x:c r="T181" s="58" t="str">
        <x:v>Not Run</x:v>
      </x:c>
      <x:c r="U181" s="58" t="str">
        <x:v>Not Run</x:v>
      </x:c>
      <x:c r="V181" s="58" t="str"/>
      <x:c r="W181" s="58" t="str">
        <x:f>IF(AND(OR(N181="Passed",N181="Failed",N181="Not Applicable"),OR(O181="Passed",O181="Failed",O181="Not Applicable"),OR(N181="Passed",N181="Failed",O181="Passed",O181="Failed"),OR(T181="Passed",T181="Not Applicable"),OR(U181="Passed",U181="Not Applicable"),OR(T181="Passed",U181="Passed"),Y181="Reconciled",Z181="Reconciled",IF(Q181&lt;&gt;"",R181="Fixed",TRUE)),"Verified",IF(OR(T181="Failed",U181="Failed"),"Retest Failed",IF(OR(N181="Failed",O181="Failed",Q181&lt;&gt;""),"Defect Found",IF(AND(OR(N181="Passed",N181="Not Applicable"),OR(O181="Passed",O181="Not Applicable"),OR(N181="Passed",O181="Passed")),"Initial Pass","Not Complete"))))</x:f>
        <x:v>Not Complete</x:v>
      </x:c>
      <x:c r="X181" s="58" t="str">
        <x:v>The repeat request uses router.post rather than useForm; validation failures are not displayed in the drawer.</x:v>
      </x:c>
      <x:c r="Y181" s="58" t="str">
        <x:f>IF(OR(N181="Not Run",O181="Not Run"),"Pending",IF(AND(OR(N181="Not Applicable",COUNTIFS('Test Runs'!$B$5:$B$2004,A181,'Test Runs'!$C$5:$C$2004,"Initial",'Test Runs'!$D$5:$D$2004,"iOS",'Test Runs'!$I$5:$I$2004,N181)&gt;0),OR(O181="Not Applicable",COUNTIFS('Test Runs'!$B$5:$B$2004,A181,'Test Runs'!$C$5:$C$2004,"Initial",'Test Runs'!$D$5:$D$2004,"Android",'Test Runs'!$I$5:$I$2004,O181)&gt;0)),"Reconciled","Mismatch"))</x:f>
        <x:v>Pending</x:v>
      </x:c>
      <x:c r="Z181" s="58" t="str">
        <x:f>IF(OR(T181="Not Run",U181="Not Run"),"Pending",IF(AND(OR(T181="Not Applicable",COUNTIFS('Test Runs'!$B$5:$B$2004,A181,'Test Runs'!$C$5:$C$2004,"Retest",'Test Runs'!$D$5:$D$2004,"iOS",'Test Runs'!$I$5:$I$2004,T181)&gt;0),OR(U181="Not Applicable",COUNTIFS('Test Runs'!$B$5:$B$2004,A181,'Test Runs'!$C$5:$C$2004,"Retest",'Test Runs'!$D$5:$D$2004,"Android",'Test Runs'!$I$5:$I$2004,U181)&gt;0)),"Reconciled","Mismatch"))</x:f>
        <x:v>Pending</x:v>
      </x:c>
    </x:row>
    <x:row r="182" ht="120" customHeight="1">
      <x:c r="A182" s="58" t="str">
        <x:v>NUT-029</x:v>
      </x:c>
      <x:c r="B182" s="58" t="str">
        <x:v>Food add validation</x:v>
      </x:c>
      <x:c r="C182" s="58" t="str">
        <x:v>Add button in product/history drawer</x:v>
      </x:c>
      <x:c r="D182" s="58" t="str">
        <x:v>As a user, I want invalid portions rejected clearly so that corrupt nutrition is not saved.</x:v>
      </x:c>
      <x:c r="E182" s="58" t="str">
        <x:v>Server requires valid date/type, existing UUID product, quantity 0.1-10000, g/ml unit and exact product nutrition unit. Invalid input creates no meal; the food drawer renders the first returned product-add error, including the specific unit explanation. Opening/closing a product clears stale add errors.</x:v>
      </x:c>
      <x:c r="F182" s="58" t="str">
        <x:v>Both</x:v>
      </x:c>
      <x:c r="G182" s="58" t="str">
        <x:v>Manipulate quantity to 0, negative, &gt;10000, or stale/deleted product.</x:v>
      </x:c>
      <x:c r="H182" s="58" t="str">
        <x:v>Submit invalid quantity, unit/date/type or stale product via UI/test hook; verify no row and visible drawer error. Close and open another product and verify old errors are cleared.</x:v>
      </x:c>
      <x:c r="I182" s="58" t="str">
        <x:v>Repeat on Android.</x:v>
      </x:c>
      <x:c r="J182" s="58" t="str">
        <x:v>Positive paths: /Users/mason/Sites/Buff/tests/Feature/MealEntryTest.php:45,78,264; unit rejection covered in RecipeTest.php:83</x:v>
      </x:c>
      <x:c r="K182" s="58" t="str">
        <x:v>/Users/mason/Sites/Buff/app/Http/Controllers/MealController.php:155-184,258-280,313-346; /Users/mason/Sites/Buff/resources/js/Pages/Add.vue:1249-1294</x:v>
      </x:c>
      <x:c r="L182" s="58" t="str">
        <x:v>Mapped</x:v>
      </x:c>
      <x:c r="M182" s="58" t="str">
        <x:v>Ready</x:v>
      </x:c>
      <x:c r="N182" s="58" t="str">
        <x:v>Not Run</x:v>
      </x:c>
      <x:c r="O182" s="58" t="str">
        <x:v>Failed</x:v>
      </x:c>
      <x:c r="P182" s="58" t="str">
        <x:v>Android: /Users/mason/.codex/visualizations/2026/09/01/01a05def-1c0d-76d1-abc6-07c63a443582/emulator-runs/initial/android/NUT-029-product-error-hidden.png — Quantity 0 was rejected and created no meal, but the open drawer showed no returned validation message. Correcting it to 52g then saved successfully.</x:v>
      </x:c>
      <x:c r="Q182" s="58" t="str">
        <x:v>DEF-030</x:v>
      </x:c>
      <x:c r="R182" s="58" t="str">
        <x:v>In Progress</x:v>
      </x:c>
      <x:c r="S182" s="58" t="str"/>
      <x:c r="T182" s="58" t="str">
        <x:v>Not Run</x:v>
      </x:c>
      <x:c r="U182" s="58" t="str">
        <x:v>Not Run</x:v>
      </x:c>
      <x:c r="V182" s="58" t="str"/>
      <x:c r="W182" s="58" t="str">
        <x:f>IF(AND(OR(N182="Passed",N182="Failed",N182="Not Applicable"),OR(O182="Passed",O182="Failed",O182="Not Applicable"),OR(N182="Passed",N182="Failed",O182="Passed",O182="Failed"),OR(T182="Passed",T182="Not Applicable"),OR(U182="Passed",U182="Not Applicable"),OR(T182="Passed",U182="Passed"),Y182="Reconciled",Z182="Reconciled",IF(Q182&lt;&gt;"",R182="Fixed",TRUE)),"Verified",IF(OR(T182="Failed",U182="Failed"),"Retest Failed",IF(OR(N182="Failed",O182="Failed",Q182&lt;&gt;""),"Defect Found",IF(AND(OR(N182="Passed",N182="Not Applicable"),OR(O182="Passed",O182="Not Applicable"),OR(N182="Passed",O182="Passed")),"Initial Pass","Not Complete"))))</x:f>
        <x:v>Defect Found</x:v>
      </x:c>
      <x:c r="X182" s="58" t="str">
        <x:v>Likely UX defect: barcodeMealForm errors and repeat errors are not rendered anywhere in the food drawer, so failed submission can look inert.</x:v>
      </x:c>
      <x:c r="Y182" s="58" t="str">
        <x:f>IF(OR(N182="Not Run",O182="Not Run"),"Pending",IF(AND(OR(N182="Not Applicable",COUNTIFS('Test Runs'!$B$5:$B$2004,A182,'Test Runs'!$C$5:$C$2004,"Initial",'Test Runs'!$D$5:$D$2004,"iOS",'Test Runs'!$I$5:$I$2004,N182)&gt;0),OR(O182="Not Applicable",COUNTIFS('Test Runs'!$B$5:$B$2004,A182,'Test Runs'!$C$5:$C$2004,"Initial",'Test Runs'!$D$5:$D$2004,"Android",'Test Runs'!$I$5:$I$2004,O182)&gt;0)),"Reconciled","Mismatch"))</x:f>
        <x:v>Pending</x:v>
      </x:c>
      <x:c r="Z182" s="58" t="str">
        <x:f>IF(OR(T182="Not Run",U182="Not Run"),"Pending",IF(AND(OR(T182="Not Applicable",COUNTIFS('Test Runs'!$B$5:$B$2004,A182,'Test Runs'!$C$5:$C$2004,"Retest",'Test Runs'!$D$5:$D$2004,"iOS",'Test Runs'!$I$5:$I$2004,T182)&gt;0),OR(U182="Not Applicable",COUNTIFS('Test Runs'!$B$5:$B$2004,A182,'Test Runs'!$C$5:$C$2004,"Retest",'Test Runs'!$D$5:$D$2004,"Android",'Test Runs'!$I$5:$I$2004,U182)&gt;0)),"Reconciled","Mismatch"))</x:f>
        <x:v>Pending</x:v>
      </x:c>
    </x:row>
    <x:row r="183" ht="120" customHeight="1">
      <x:c r="A183" s="58" t="str">
        <x:v>NUT-030</x:v>
      </x:c>
      <x:c r="B183" s="58" t="str">
        <x:v>Barcode scanner - launch/formats</x:v>
      </x:c>
      <x:c r="C183" s="58" t="str">
        <x:v>Add &gt; Scan; /add?mode=food&amp;scan=1</x:v>
      </x:c>
      <x:c r="D183" s="58" t="str">
        <x:v>As a user, I want to scan common retail barcodes so that I do not type them.</x:v>
      </x:c>
      <x:c r="E183" s="58" t="str">
        <x:v>Scan first attempts NativePHP Scanner with EAN-13, EAN-8, UPC-A, UPC-E, Code 128 and id product-scanner; if unavailable it opens the in-WebView rear-camera ZXing scanner with the same formats; scan=1 auto-launches on mount.</x:v>
      </x:c>
      <x:c r="F183" s="58" t="str">
        <x:v>Both</x:v>
      </x:c>
      <x:c r="G183" s="58" t="str">
        <x:v>Physical barcode images for each format; camera-capable device/emulator feed.</x:v>
      </x:c>
      <x:c r="H183" s="58" t="str">
        <x:v>Open Scan/deep link; present supported barcode image to simulator camera feed if available; verify lookup starts once.</x:v>
      </x:c>
      <x:c r="I183" s="58" t="str">
        <x:v>Repeat with Android emulator virtual scene/camera image.</x:v>
      </x:c>
      <x:c r="J183" s="58" t="str">
        <x:v>/Users/mason/Sites/Buff/tests/Feature/MealEntryTest.php:115; /Users/mason/Sites/Buff/tests/barcodeScanner.test.ts</x:v>
      </x:c>
      <x:c r="K183" s="58" t="str">
        <x:v>/Users/mason/Sites/Buff/resources/js/Pages/Add.vue:513-534,545-608,636-647,870-881</x:v>
      </x:c>
      <x:c r="L183" s="58" t="str">
        <x:v>Mapped</x:v>
      </x:c>
      <x:c r="M183" s="58" t="str">
        <x:v>Ready</x:v>
      </x:c>
      <x:c r="N183" s="58" t="str">
        <x:v>Not Run</x:v>
      </x:c>
      <x:c r="O183" s="58" t="str">
        <x:v>Blocked</x:v>
      </x:c>
      <x:c r="P183" s="58" t="str">
        <x:v>Android: /Users/mason/.codex/visualizations/2026/09/01/01a05def-1c0d-76d1-abc6-07c63a443582/emulator-runs/initial/android/NUT-016-scan-route.png — Both the Scan choice and a direct scan=1 URL auto-opened the full-screen rear-camera web scanner with a live emulator camera feed. The repository has no registered native scanner, so the documented web fallback was the effective path.</x:v>
      </x:c>
      <x:c r="Q183" s="58" t="str"/>
      <x:c r="R183" s="58" t="str">
        <x:v>Not Needed</x:v>
      </x:c>
      <x:c r="S183" s="58" t="str"/>
      <x:c r="T183" s="58" t="str">
        <x:v>Not Run</x:v>
      </x:c>
      <x:c r="U183" s="58" t="str">
        <x:v>Not Run</x:v>
      </x:c>
      <x:c r="V183" s="58" t="str"/>
      <x:c r="W183" s="58" t="str">
        <x:f>IF(AND(OR(N183="Passed",N183="Failed",N183="Not Applicable"),OR(O183="Passed",O183="Failed",O183="Not Applicable"),OR(N183="Passed",N183="Failed",O183="Passed",O183="Failed"),OR(T183="Passed",T183="Not Applicable"),OR(U183="Passed",U183="Not Applicable"),OR(T183="Passed",U183="Passed"),Y183="Reconciled",Z183="Reconciled",IF(Q183&lt;&gt;"",R183="Fixed",TRUE)),"Verified",IF(OR(T183="Failed",U183="Failed"),"Retest Failed",IF(OR(N183="Failed",O183="Failed",Q183&lt;&gt;""),"Defect Found",IF(AND(OR(N183="Passed",N183="Not Applicable"),OR(O183="Passed",O183="Not Applicable"),OR(N183="Passed",O183="Passed")),"Initial Pass","Not Complete"))))</x:f>
        <x:v>Not Complete</x:v>
      </x:c>
      <x:c r="X183" s="58" t="str">
        <x:v>No scanner plugin is installed/registered in NativeServiceProvider, so the native call currently throws and web-camera fallback is the effective path on both platforms.</x:v>
      </x:c>
      <x:c r="Y183" s="58" t="str">
        <x:f>IF(OR(N183="Not Run",O183="Not Run"),"Pending",IF(AND(OR(N183="Not Applicable",COUNTIFS('Test Runs'!$B$5:$B$2004,A183,'Test Runs'!$C$5:$C$2004,"Initial",'Test Runs'!$D$5:$D$2004,"iOS",'Test Runs'!$I$5:$I$2004,N183)&gt;0),OR(O183="Not Applicable",COUNTIFS('Test Runs'!$B$5:$B$2004,A183,'Test Runs'!$C$5:$C$2004,"Initial",'Test Runs'!$D$5:$D$2004,"Android",'Test Runs'!$I$5:$I$2004,O183)&gt;0)),"Reconciled","Mismatch"))</x:f>
        <x:v>Pending</x:v>
      </x:c>
      <x:c r="Z183" s="58" t="str">
        <x:f>IF(OR(T183="Not Run",U183="Not Run"),"Pending",IF(AND(OR(T183="Not Applicable",COUNTIFS('Test Runs'!$B$5:$B$2004,A183,'Test Runs'!$C$5:$C$2004,"Retest",'Test Runs'!$D$5:$D$2004,"iOS",'Test Runs'!$I$5:$I$2004,T183)&gt;0),OR(U183="Not Applicable",COUNTIFS('Test Runs'!$B$5:$B$2004,A183,'Test Runs'!$C$5:$C$2004,"Retest",'Test Runs'!$D$5:$D$2004,"Android",'Test Runs'!$I$5:$I$2004,U183)&gt;0)),"Reconciled","Mismatch"))</x:f>
        <x:v>Pending</x:v>
      </x:c>
    </x:row>
    <x:row r="184" ht="120" customHeight="1">
      <x:c r="A184" s="58" t="str">
        <x:v>NUT-031</x:v>
      </x:c>
      <x:c r="B184" s="58" t="str">
        <x:v>Barcode scanner - camera ready/close</x:v>
      </x:c>
      <x:c r="C184" s="58" t="str">
        <x:v>Active web barcode scanner</x:v>
      </x:c>
      <x:c r="D184" s="58" t="str">
        <x:v>As a user, I want clear scanner startup and cancellation so that camera use feels controlled.</x:v>
      </x:c>
      <x:c r="E184" s="58" t="str">
        <x:v>Full-screen scanner shows Opening camera/loading until video plays, offers a high-contrast Close button, stops stream/controls on close, successful scan, mode change, or unmount, and prevents picture-in-picture/remote playback.</x:v>
      </x:c>
      <x:c r="F184" s="58" t="str">
        <x:v>Both</x:v>
      </x:c>
      <x:c r="G184" s="58" t="str">
        <x:v>Camera permission granted; slow camera startup.</x:v>
      </x:c>
      <x:c r="H184" s="58" t="str">
        <x:v>Open scanner; verify loading, video, Close, reopen, navigate away, and camera indicator stops.</x:v>
      </x:c>
      <x:c r="I184" s="58" t="str">
        <x:v>Repeat on Android and confirm camera indicator/stream releases.</x:v>
      </x:c>
      <x:c r="J184" s="58" t="str">
        <x:v>/Users/mason/Sites/Buff/tests/barcodeScanner.test.ts</x:v>
      </x:c>
      <x:c r="K184" s="58" t="str">
        <x:v>/Users/mason/Sites/Buff/resources/js/Pages/Add.vue:545-620,944-1000</x:v>
      </x:c>
      <x:c r="L184" s="58" t="str">
        <x:v>Mapped</x:v>
      </x:c>
      <x:c r="M184" s="58" t="str">
        <x:v>Ready</x:v>
      </x:c>
      <x:c r="N184" s="58" t="str">
        <x:v>Not Run</x:v>
      </x:c>
      <x:c r="O184" s="58" t="str">
        <x:v>Passed</x:v>
      </x:c>
      <x:c r="P184" s="58" t="str">
        <x:v>Android: /Users/mason/.codex/visualizations/2026/09/01/01a05def-1c0d-76d1-abc6-07c63a443582/emulator-runs/initial/android/NUT-016-scan-route.png — The scanner reached readyState 4 with one live video track, autoplay/muted/playsInline, picture-in-picture disabled, remote/download/playback controls disabled, and a 44x44 Close control. Close ended the captured track; reopening created a live stream; Inertia navigation away ended that second track on unmount.</x:v>
      </x:c>
      <x:c r="Q184" s="58" t="str"/>
      <x:c r="R184" s="58" t="str">
        <x:v>Not Needed</x:v>
      </x:c>
      <x:c r="S184" s="58" t="str"/>
      <x:c r="T184" s="58" t="str">
        <x:v>Not Run</x:v>
      </x:c>
      <x:c r="U184" s="58" t="str">
        <x:v>Not Run</x:v>
      </x:c>
      <x:c r="V184" s="58" t="str"/>
      <x:c r="W184" s="58" t="str">
        <x:f>IF(AND(OR(N184="Passed",N184="Failed",N184="Not Applicable"),OR(O184="Passed",O184="Failed",O184="Not Applicable"),OR(N184="Passed",N184="Failed",O184="Passed",O184="Failed"),OR(T184="Passed",T184="Not Applicable"),OR(U184="Passed",U184="Not Applicable"),OR(T184="Passed",U184="Passed"),Y184="Reconciled",Z184="Reconciled",IF(Q184&lt;&gt;"",R184="Fixed",TRUE)),"Verified",IF(OR(T184="Failed",U184="Failed"),"Retest Failed",IF(OR(N184="Failed",O184="Failed",Q184&lt;&gt;""),"Defect Found",IF(AND(OR(N184="Passed",N184="Not Applicable"),OR(O184="Passed",O184="Not Applicable"),OR(N184="Passed",O184="Passed")),"Initial Pass","Not Complete"))))</x:f>
        <x:v>Not Complete</x:v>
      </x:c>
      <x:c r="X184" s="58" t="str">
        <x:v>No automated assertion that MediaStream tracks stop on every branch; ZXing controls own that cleanup.</x:v>
      </x:c>
      <x:c r="Y184" s="58" t="str">
        <x:f>IF(OR(N184="Not Run",O184="Not Run"),"Pending",IF(AND(OR(N184="Not Applicable",COUNTIFS('Test Runs'!$B$5:$B$2004,A184,'Test Runs'!$C$5:$C$2004,"Initial",'Test Runs'!$D$5:$D$2004,"iOS",'Test Runs'!$I$5:$I$2004,N184)&gt;0),OR(O184="Not Applicable",COUNTIFS('Test Runs'!$B$5:$B$2004,A184,'Test Runs'!$C$5:$C$2004,"Initial",'Test Runs'!$D$5:$D$2004,"Android",'Test Runs'!$I$5:$I$2004,O184)&gt;0)),"Reconciled","Mismatch"))</x:f>
        <x:v>Pending</x:v>
      </x:c>
      <x:c r="Z184" s="58" t="str">
        <x:f>IF(OR(T184="Not Run",U184="Not Run"),"Pending",IF(AND(OR(T184="Not Applicable",COUNTIFS('Test Runs'!$B$5:$B$2004,A184,'Test Runs'!$C$5:$C$2004,"Retest",'Test Runs'!$D$5:$D$2004,"iOS",'Test Runs'!$I$5:$I$2004,T184)&gt;0),OR(U184="Not Applicable",COUNTIFS('Test Runs'!$B$5:$B$2004,A184,'Test Runs'!$C$5:$C$2004,"Retest",'Test Runs'!$D$5:$D$2004,"Android",'Test Runs'!$I$5:$I$2004,U184)&gt;0)),"Reconciled","Mismatch"))</x:f>
        <x:v>Pending</x:v>
      </x:c>
    </x:row>
    <x:row r="185" ht="120" customHeight="1">
      <x:c r="A185" s="58" t="str">
        <x:v>NUT-032</x:v>
      </x:c>
      <x:c r="B185" s="58" t="str">
        <x:v>Barcode scanner - permission/hardware fallback</x:v>
      </x:c>
      <x:c r="C185" s="58" t="str">
        <x:v>Add &gt; Scan with denied/no camera</x:v>
      </x:c>
      <x:c r="D185" s="58" t="str">
        <x:v>As a user whose camera is denied or unavailable, I want a manual path and actionable message so that I can still log food.</x:v>
      </x:c>
      <x:c r="E185" s="58" t="str">
        <x:v>No mediaDevices closes scanner and says scanning unavailable; permission/security denial, no camera/constraint failure, and generic startup failure produce distinct messages and recommend manual entry; scanner also exposes Enter barcode manually before failure.</x:v>
      </x:c>
      <x:c r="F185" s="58" t="str">
        <x:v>Both</x:v>
      </x:c>
      <x:c r="G185" s="58" t="str">
        <x:v>Reset camera permission; emulator with no usable camera.</x:v>
      </x:c>
      <x:c r="H185" s="58" t="str">
        <x:v>Deny iOS camera; verify permission message, manual entry, Settings recovery on next attempt.</x:v>
      </x:c>
      <x:c r="I185" s="58" t="str">
        <x:v>Deny Android camera; verify WebView prompt/message/manual entry; grant in Settings and retry.</x:v>
      </x:c>
      <x:c r="J185" s="58" t="str">
        <x:v>No permission interaction test</x:v>
      </x:c>
      <x:c r="K185" s="58" t="str">
        <x:v>/Users/mason/Sites/Buff/resources/js/Pages/Add.vue:536-559,602-633,974-998; /Users/mason/Sites/Buff/config/nativephp.php:71; /Users/mason/Sites/Buff/native-plugins/camera-permissions/nativephp.json</x:v>
      </x:c>
      <x:c r="L185" s="58" t="str">
        <x:v>Mapped</x:v>
      </x:c>
      <x:c r="M185" s="58" t="str">
        <x:v>Ready</x:v>
      </x:c>
      <x:c r="N185" s="58" t="str">
        <x:v>Not Run</x:v>
      </x:c>
      <x:c r="O185" s="58" t="str">
        <x:v>Failed</x:v>
      </x:c>
      <x:c r="P185" s="58" t="str">
        <x:v>Android: /Users/mason/.codex/visualizations/2026/09/01/01a05def-1c0d-76d1-abc6-07c63a443582/emulator-runs/initial/android/NUT-033-manual-button-obscured-by-ad.png — The live scanner exposed Enter barcode manually, but the native banner covered most of that fallback control on the actual emulator screen.</x:v>
      </x:c>
      <x:c r="Q185" s="58" t="str">
        <x:v>DEF-021</x:v>
      </x:c>
      <x:c r="R185" s="58" t="str">
        <x:v>Fixed</x:v>
      </x:c>
      <x:c r="S185" s="58" t="str"/>
      <x:c r="T185" s="58" t="str">
        <x:v>Not Run</x:v>
      </x:c>
      <x:c r="U185" s="58" t="str">
        <x:v>Not Run</x:v>
      </x:c>
      <x:c r="V185" s="58" t="str"/>
      <x:c r="W185" s="58" t="str">
        <x:f>IF(AND(OR(N185="Passed",N185="Failed",N185="Not Applicable"),OR(O185="Passed",O185="Failed",O185="Not Applicable"),OR(N185="Passed",N185="Failed",O185="Passed",O185="Failed"),OR(T185="Passed",T185="Not Applicable"),OR(U185="Passed",U185="Not Applicable"),OR(T185="Passed",U185="Passed"),Y185="Reconciled",Z185="Reconciled",IF(Q185&lt;&gt;"",R185="Fixed",TRUE)),"Verified",IF(OR(T185="Failed",U185="Failed"),"Retest Failed",IF(OR(N185="Failed",O185="Failed",Q185&lt;&gt;""),"Defect Found",IF(AND(OR(N185="Passed",N185="Not Applicable"),OR(O185="Passed",O185="Not Applicable"),OR(N185="Passed",O185="Passed")),"Initial Pass","Not Complete"))))</x:f>
        <x:v>Defect Found</x:v>
      </x:c>
      <x:c r="X185" s="58" t="str">
        <x:v>The code advises allowing access but offers no direct Open Settings action; iOS/Android permission recovery is manual.</x:v>
      </x:c>
      <x:c r="Y185" s="58" t="str">
        <x:f>IF(OR(N185="Not Run",O185="Not Run"),"Pending",IF(AND(OR(N185="Not Applicable",COUNTIFS('Test Runs'!$B$5:$B$2004,A185,'Test Runs'!$C$5:$C$2004,"Initial",'Test Runs'!$D$5:$D$2004,"iOS",'Test Runs'!$I$5:$I$2004,N185)&gt;0),OR(O185="Not Applicable",COUNTIFS('Test Runs'!$B$5:$B$2004,A185,'Test Runs'!$C$5:$C$2004,"Initial",'Test Runs'!$D$5:$D$2004,"Android",'Test Runs'!$I$5:$I$2004,O185)&gt;0)),"Reconciled","Mismatch"))</x:f>
        <x:v>Pending</x:v>
      </x:c>
      <x:c r="Z185" s="58" t="str">
        <x:f>IF(OR(T185="Not Run",U185="Not Run"),"Pending",IF(AND(OR(T185="Not Applicable",COUNTIFS('Test Runs'!$B$5:$B$2004,A185,'Test Runs'!$C$5:$C$2004,"Retest",'Test Runs'!$D$5:$D$2004,"iOS",'Test Runs'!$I$5:$I$2004,T185)&gt;0),OR(U185="Not Applicable",COUNTIFS('Test Runs'!$B$5:$B$2004,A185,'Test Runs'!$C$5:$C$2004,"Retest",'Test Runs'!$D$5:$D$2004,"Android",'Test Runs'!$I$5:$I$2004,U185)&gt;0)),"Reconciled","Mismatch"))</x:f>
        <x:v>Pending</x:v>
      </x:c>
    </x:row>
    <x:row r="186" ht="120" customHeight="1">
      <x:c r="A186" s="58" t="str">
        <x:v>NUT-033</x:v>
      </x:c>
      <x:c r="B186" s="58" t="str">
        <x:v>Barcode - manual normalization</x:v>
      </x:c>
      <x:c r="C186" s="58" t="str">
        <x:v>Scanner &gt; Enter barcode manually</x:v>
      </x:c>
      <x:c r="D186" s="58" t="str">
        <x:v>As a user, I want spaces and non-digit separators tolerated so that printed barcode formatting does not cause failure.</x:v>
      </x:c>
      <x:c r="E186" s="58" t="str">
        <x:v>App removes whitespace before local validation; lookup service strips all non-digits before the server request; empty/non-usable input returns Enter a valid barcode; server requires 4-32 digits.</x:v>
      </x:c>
      <x:c r="F186" s="58" t="str">
        <x:v>Both</x:v>
      </x:c>
      <x:c r="G186" s="58" t="str">
        <x:v>Barcode typed with spaces/newline/hyphens/letters; empty and &lt;4 digits.</x:v>
      </x:c>
      <x:c r="H186" s="58" t="str">
        <x:v>Enter formatted valid barcode then invalid cases; verify valid lookup and error text on food page.</x:v>
      </x:c>
      <x:c r="I186" s="58" t="str">
        <x:v>Repeat on Android numeric keyboard/paste.</x:v>
      </x:c>
      <x:c r="J186" s="58" t="str">
        <x:v>/Users/mason/Sites/Buff/tests/Feature/OpenFoodFactsLookupTest.php:35; sibling server FoodProductApiTest covers validation</x:v>
      </x:c>
      <x:c r="K186" s="58" t="str">
        <x:v>/Users/mason/Sites/Buff/app/Http/Controllers/MealController.php:56-66; /Users/mason/Sites/Buff/app/Services/OpenFoodFactsService.php:13-19; /Users/mason/Sites/buff-server/app/Http/Requests/Api/V1/BarcodeLookupRequest.php:23-33</x:v>
      </x:c>
      <x:c r="L186" s="58" t="str">
        <x:v>Mapped</x:v>
      </x:c>
      <x:c r="M186" s="58" t="str">
        <x:v>Ready</x:v>
      </x:c>
      <x:c r="N186" s="58" t="str">
        <x:v>Not Run</x:v>
      </x:c>
      <x:c r="O186" s="58" t="str">
        <x:v>Failed</x:v>
      </x:c>
      <x:c r="P186" s="58" t="str">
        <x:v>Android: /Users/mason/.codex/visualizations/2026/09/01/01a05def-1c0d-76d1-abc6-07c63a443582/emulator-runs/initial/android/NUT-033-formatted-valid-lookup.png
/Users/mason/.codex/visualizations/2026/09/01/01a05def-1c0d-76d1-abc6-07c63a443582/emulator-runs/initial/android/NUT-033-formatted-invalid-error.png — Pasted 737 628-064 502 normalized to a successful product lookup and review without adding a meal. Empty, ABC---, 12, and 0000-0000-0000 each returned only the same generic failure after the scanner closed; the native banner also obscured most of the manual-entry control.</x:v>
      </x:c>
      <x:c r="Q186" s="58" t="str">
        <x:v>DEF-020
DEF-021</x:v>
      </x:c>
      <x:c r="R186" s="58" t="str">
        <x:v>In Progress</x:v>
      </x:c>
      <x:c r="S186" s="58" t="str"/>
      <x:c r="T186" s="58" t="str">
        <x:v>Not Run</x:v>
      </x:c>
      <x:c r="U186" s="58" t="str">
        <x:v>Blocked</x:v>
      </x:c>
      <x:c r="V186" s="58" t="str">
        <x:v>Android: /Users/mason/.codex/visualizations/2026/09/06/01a07722-2d43-7910-aa74-f3a7d9489dc2/release-qa/DEF-021-banner-before.png
/Users/mason/.codex/visualizations/2026/09/06/01a07722-2d43-7910-aa74-f3a7d9489dc2/release-qa/DEF-021-excluded-route-permission.png — Partial: Progress native ad visible before transition; excluded full-screen scanner removes ad and shows manual barcode control. OS camera permission remains ungranted; camera-ready subset blocked. Prompt dismissed without granting.
Android: /Users/mason/.codex/visualizations/2026/09/06/01a07722-2d43-7910-aa74-f3a7d9489dc2/release-qa/DEF-021-scanner-ready-failed.png
/Users/mason/.codex/visualizations/2026/09/06/01a07722-2d43-7910-aa74-f3a7d9489dc2/release-qa/DEF-021-scanner-fixed.png
/Users/mason/.codex/visualizations/2026/09/06/01a07722-2d43-7910-aa74-f3a7d9489dc2/release-qa/frontend-after-ad-race.log — Exact blocked-control regression Passed on rebuilt shell: full-screen ready scanner, ad absent, manual barcode control visible. Delayed platform regression and full frontend suite pass.</x:v>
      </x:c>
      <x:c r="W186" s="58" t="str">
        <x:f>IF(AND(OR(N186="Passed",N186="Failed",N186="Not Applicable"),OR(O186="Passed",O186="Failed",O186="Not Applicable"),OR(N186="Passed",N186="Failed",O186="Passed",O186="Failed"),OR(T186="Passed",T186="Not Applicable"),OR(U186="Passed",U186="Not Applicable"),OR(T186="Passed",U186="Passed"),Y186="Reconciled",Z186="Reconciled",IF(Q186&lt;&gt;"",R186="Fixed",TRUE)),"Verified",IF(OR(T186="Failed",U186="Failed"),"Retest Failed",IF(OR(N186="Failed",O186="Failed",Q186&lt;&gt;""),"Defect Found",IF(AND(OR(N186="Passed",N186="Not Applicable"),OR(O186="Passed",O186="Not Applicable"),OR(N186="Passed",O186="Passed")),"Initial Pass","Not Complete"))))</x:f>
        <x:v>Defect Found</x:v>
      </x:c>
      <x:c r="X186" s="58" t="str">
        <x:v>Manual lookup closes the scanner immediately before the asynchronous result, so the user returns to the page without an in-scanner progress cue.</x:v>
      </x:c>
      <x:c r="Y186" s="58" t="str">
        <x:f>IF(OR(N186="Not Run",O186="Not Run"),"Pending",IF(AND(OR(N186="Not Applicable",COUNTIFS('Test Runs'!$B$5:$B$2004,A186,'Test Runs'!$C$5:$C$2004,"Initial",'Test Runs'!$D$5:$D$2004,"iOS",'Test Runs'!$I$5:$I$2004,N186)&gt;0),OR(O186="Not Applicable",COUNTIFS('Test Runs'!$B$5:$B$2004,A186,'Test Runs'!$C$5:$C$2004,"Initial",'Test Runs'!$D$5:$D$2004,"Android",'Test Runs'!$I$5:$I$2004,O186)&gt;0)),"Reconciled","Mismatch"))</x:f>
        <x:v>Pending</x:v>
      </x:c>
      <x:c r="Z186" s="58" t="str">
        <x:f>IF(OR(T186="Not Run",U186="Not Run"),"Pending",IF(AND(OR(T186="Not Applicable",COUNTIFS('Test Runs'!$B$5:$B$2004,A186,'Test Runs'!$C$5:$C$2004,"Retest",'Test Runs'!$D$5:$D$2004,"iOS",'Test Runs'!$I$5:$I$2004,T186)&gt;0),OR(U186="Not Applicable",COUNTIFS('Test Runs'!$B$5:$B$2004,A186,'Test Runs'!$C$5:$C$2004,"Retest",'Test Runs'!$D$5:$D$2004,"Android",'Test Runs'!$I$5:$I$2004,U186)&gt;0)),"Reconciled","Mismatch"))</x:f>
        <x:v>Pending</x:v>
      </x:c>
    </x:row>
    <x:row r="187" ht="120" customHeight="1">
      <x:c r="A187" s="58" t="str">
        <x:v>NUT-034</x:v>
      </x:c>
      <x:c r="B187" s="58" t="str">
        <x:v>Barcode - successful lookup/cache</x:v>
      </x:c>
      <x:c r="C187" s="58" t="str">
        <x:v>POST /barcode/lookup after scan/manual entry</x:v>
      </x:c>
      <x:c r="D187" s="58" t="str">
        <x:v>As a user, I want a scanned barcode resolved to normalized product nutrition and reusable portions so that logging is accurate.</x:v>
      </x:c>
      <x:c r="E187" s="58" t="str">
        <x:v>Authenticated server lookup uses a fresh (&lt;30 days) server cache or Open Food Facts; app stores/updates by barcode, preserving an existing local ID; response supplies product plus locally derived serving, whole-package, and common portion options with duplicates removed.</x:v>
      </x:c>
      <x:c r="F187" s="58" t="str">
        <x:v>Both</x:v>
      </x:c>
      <x:c r="G187" s="58" t="str">
        <x:v>Known barcode with serving and package; repeat after first lookup.</x:v>
      </x:c>
      <x:c r="H187" s="58" t="str">
        <x:v>Scan twice; verify second result, portion chip order, and no duplicate local product.</x:v>
      </x:c>
      <x:c r="I187" s="58" t="str">
        <x:v>Repeat on Android.</x:v>
      </x:c>
      <x:c r="J187" s="58" t="str">
        <x:v>/Users/mason/Sites/Buff/tests/Feature/OpenFoodFactsLookupTest.php:16,86; /Users/mason/Sites/buff-server/tests/Feature/FoodProductApiTest.php:16</x:v>
      </x:c>
      <x:c r="K187" s="58" t="str">
        <x:v>/Users/mason/Sites/Buff/app/Services/OpenFoodFactsService.php:21-31,65-99; /Users/mason/Sites/Buff/app/Services/PortionParser.php:54-93; /Users/mason/Sites/buff-server/app/Services/OpenFoodFactsService.php:21-57,145-197</x:v>
      </x:c>
      <x:c r="L187" s="58" t="str">
        <x:v>Mapped</x:v>
      </x:c>
      <x:c r="M187" s="58" t="str">
        <x:v>Ready</x:v>
      </x:c>
      <x:c r="N187" s="58" t="str">
        <x:v>Not Run</x:v>
      </x:c>
      <x:c r="O187" s="58" t="str">
        <x:v>Passed</x:v>
      </x:c>
      <x:c r="P187" s="58" t="str">
        <x:v>Android: /Users/mason/.codex/visualizations/2026/09/01/01a05def-1c0d-76d1-abc6-07c63a443582/emulator-runs/initial/android/NUT-034-037-liquid-review.png
/Users/mason/.codex/visualizations/2026/09/01/01a05def-1c0d-76d1-abc6-07c63a443582/emulator-runs/initial/android/NUT-034-037-barcode-observations.json — Online lookup returned liquid barcode 5038862102704 as local product 01a06278-69f9-72ed-9552-084f8b7187bb with serving 150ml, whole 1.35L, and 100/250/330/500ml options. Solid barcode 5060088700082 returned local product 01a06255-206c-72bb-b372-c9f78f9d0742 with serving 45g and 50/100/150/250g options. Repeating the liquid lookup preserved its local ID and options, and the real scanner/manual path displayed the review.</x:v>
      </x:c>
      <x:c r="Q187" s="58" t="str"/>
      <x:c r="R187" s="58" t="str">
        <x:v>Not Needed</x:v>
      </x:c>
      <x:c r="S187" s="58" t="str"/>
      <x:c r="T187" s="58" t="str">
        <x:v>Not Run</x:v>
      </x:c>
      <x:c r="U187" s="58" t="str">
        <x:v>Not Run</x:v>
      </x:c>
      <x:c r="V187" s="58" t="str"/>
      <x:c r="W187" s="58" t="str">
        <x:f>IF(AND(OR(N187="Passed",N187="Failed",N187="Not Applicable"),OR(O187="Passed",O187="Failed",O187="Not Applicable"),OR(N187="Passed",N187="Failed",O187="Passed",O187="Failed"),OR(T187="Passed",T187="Not Applicable"),OR(U187="Passed",U187="Not Applicable"),OR(T187="Passed",U187="Passed"),Y187="Reconciled",Z187="Reconciled",IF(Q187&lt;&gt;"",R187="Fixed",TRUE)),"Verified",IF(OR(T187="Failed",U187="Failed"),"Retest Failed",IF(OR(N187="Failed",O187="Failed",Q187&lt;&gt;""),"Defect Found",IF(AND(OR(N187="Passed",N187="Not Applicable"),OR(O187="Passed",O187="Not Applicable"),OR(N187="Passed",O187="Passed")),"Initial Pass","Not Complete"))))</x:f>
        <x:v>Not Complete</x:v>
      </x:c>
      <x:c r="X187" s="58" t="str">
        <x:v>Server cache can retain changed label/nutrition for up to 30 days.</x:v>
      </x:c>
      <x:c r="Y187" s="58" t="str">
        <x:f>IF(OR(N187="Not Run",O187="Not Run"),"Pending",IF(AND(OR(N187="Not Applicable",COUNTIFS('Test Runs'!$B$5:$B$2004,A187,'Test Runs'!$C$5:$C$2004,"Initial",'Test Runs'!$D$5:$D$2004,"iOS",'Test Runs'!$I$5:$I$2004,N187)&gt;0),OR(O187="Not Applicable",COUNTIFS('Test Runs'!$B$5:$B$2004,A187,'Test Runs'!$C$5:$C$2004,"Initial",'Test Runs'!$D$5:$D$2004,"Android",'Test Runs'!$I$5:$I$2004,O187)&gt;0)),"Reconciled","Mismatch"))</x:f>
        <x:v>Pending</x:v>
      </x:c>
      <x:c r="Z187" s="58" t="str">
        <x:f>IF(OR(T187="Not Run",U187="Not Run"),"Pending",IF(AND(OR(T187="Not Applicable",COUNTIFS('Test Runs'!$B$5:$B$2004,A187,'Test Runs'!$C$5:$C$2004,"Retest",'Test Runs'!$D$5:$D$2004,"iOS",'Test Runs'!$I$5:$I$2004,T187)&gt;0),OR(U187="Not Applicable",COUNTIFS('Test Runs'!$B$5:$B$2004,A187,'Test Runs'!$C$5:$C$2004,"Retest",'Test Runs'!$D$5:$D$2004,"Android",'Test Runs'!$I$5:$I$2004,U187)&gt;0)),"Reconciled","Mismatch"))</x:f>
        <x:v>Pending</x:v>
      </x:c>
    </x:row>
    <x:row r="188" ht="120" customHeight="1">
      <x:c r="A188" s="58" t="str">
        <x:v>NUT-035</x:v>
      </x:c>
      <x:c r="B188" s="58" t="str">
        <x:v>Barcode - not found/invalid nutrition/rate/auth</x:v>
      </x:c>
      <x:c r="C188" s="58" t="str">
        <x:v>Barcode lookup error branches</x:v>
      </x:c>
      <x:c r="D188" s="58" t="str">
        <x:v>As a user, I want a specific lookup error so that I know whether the barcode, product data, account, or service is the problem.</x:v>
      </x:c>
      <x:c r="E188" s="58" t="str">
        <x:v>Unknown barcode returns food_not_found; missing usable protein/carbs/fat/kcal returns barcode validation; upstream busy returns 429/retry_after; unauthenticated local proxy says Sign in to look up new foods; UI displays the first barcode error/message with a generic custom-food fallback.</x:v>
      </x:c>
      <x:c r="F188" s="58" t="str">
        <x:v>Both</x:v>
      </x:c>
      <x:c r="G188" s="58" t="str">
        <x:v>Unknown barcode; incomplete Open Food Facts record; expired token; throttle.</x:v>
      </x:c>
      <x:c r="H188" s="58" t="str">
        <x:v>Exercise each fixture and verify error remains visible plus Add custom food alternative.</x:v>
      </x:c>
      <x:c r="I188" s="58" t="str">
        <x:v>Repeat on Android.</x:v>
      </x:c>
      <x:c r="J188" s="58" t="str">
        <x:v>/Users/mason/Sites/buff-server/tests/Feature/FoodProductApiTest.php:102,133; local lookup positive tests only</x:v>
      </x:c>
      <x:c r="K188" s="58" t="str">
        <x:v>/Users/mason/Sites/Buff/app/Services/OpenFoodFactsService.php:33-39; /Users/mason/Sites/Buff/resources/js/Pages/Add.vue:415-441,1162-1163; /Users/mason/Sites/buff-server/app/Services/OpenFoodFactsService.php:41-54,121-133,145-159</x:v>
      </x:c>
      <x:c r="L188" s="58" t="str">
        <x:v>Mapped</x:v>
      </x:c>
      <x:c r="M188" s="58" t="str">
        <x:v>Ready</x:v>
      </x:c>
      <x:c r="N188" s="58" t="str">
        <x:v>Not Run</x:v>
      </x:c>
      <x:c r="O188" s="58" t="str">
        <x:v>Blocked</x:v>
      </x:c>
      <x:c r="P188" s="58" t="str">
        <x:v>Android: /Users/mason/.codex/visualizations/2026/09/01/01a05def-1c0d-76d1-abc6-07c63a443582/emulator-runs/initial/android/NUT-036-offline-unknown-barcode.png
/Users/mason/.codex/visualizations/2026/09/01/01a05def-1c0d-76d1-abc6-07c63a443582/emulator-runs/initial/android/NUT-034-037-barcode-observations.json — The uncached unknown-barcode path was exercised offline. It showed a visible generic lookup error and kept the Add custom food alternative available.</x:v>
      </x:c>
      <x:c r="Q188" s="58" t="str"/>
      <x:c r="R188" s="58" t="str">
        <x:v>Not Needed</x:v>
      </x:c>
      <x:c r="S188" s="58" t="str"/>
      <x:c r="T188" s="58" t="str">
        <x:v>Not Run</x:v>
      </x:c>
      <x:c r="U188" s="58" t="str">
        <x:v>Not Run</x:v>
      </x:c>
      <x:c r="V188" s="58" t="str"/>
      <x:c r="W188" s="58" t="str">
        <x:f>IF(AND(OR(N188="Passed",N188="Failed",N188="Not Applicable"),OR(O188="Passed",O188="Failed",O188="Not Applicable"),OR(N188="Passed",N188="Failed",O188="Passed",O188="Failed"),OR(T188="Passed",T188="Not Applicable"),OR(U188="Passed",U188="Not Applicable"),OR(T188="Passed",U188="Passed"),Y188="Reconciled",Z188="Reconciled",IF(Q188&lt;&gt;"",R188="Fixed",TRUE)),"Verified",IF(OR(T188="Failed",U188="Failed"),"Retest Failed",IF(OR(N188="Failed",O188="Failed",Q188&lt;&gt;""),"Defect Found",IF(AND(OR(N188="Passed",N188="Not Applicable"),OR(O188="Passed",O188="Not Applicable"),OR(N188="Passed",O188="Passed")),"Initial Pass","Not Complete"))))</x:f>
        <x:v>Not Complete</x:v>
      </x:c>
      <x:c r="X188" s="58" t="str">
        <x:v>UI does not expose retry_after or differentiate a service throttle beyond the returned message.</x:v>
      </x:c>
      <x:c r="Y188" s="58" t="str">
        <x:f>IF(OR(N188="Not Run",O188="Not Run"),"Pending",IF(AND(OR(N188="Not Applicable",COUNTIFS('Test Runs'!$B$5:$B$2004,A188,'Test Runs'!$C$5:$C$2004,"Initial",'Test Runs'!$D$5:$D$2004,"iOS",'Test Runs'!$I$5:$I$2004,N188)&gt;0),OR(O188="Not Applicable",COUNTIFS('Test Runs'!$B$5:$B$2004,A188,'Test Runs'!$C$5:$C$2004,"Initial",'Test Runs'!$D$5:$D$2004,"Android",'Test Runs'!$I$5:$I$2004,O188)&gt;0)),"Reconciled","Mismatch"))</x:f>
        <x:v>Pending</x:v>
      </x:c>
      <x:c r="Z188" s="58" t="str">
        <x:f>IF(OR(T188="Not Run",U188="Not Run"),"Pending",IF(AND(OR(T188="Not Applicable",COUNTIFS('Test Runs'!$B$5:$B$2004,A188,'Test Runs'!$C$5:$C$2004,"Retest",'Test Runs'!$D$5:$D$2004,"iOS",'Test Runs'!$I$5:$I$2004,T188)&gt;0),OR(U188="Not Applicable",COUNTIFS('Test Runs'!$B$5:$B$2004,A188,'Test Runs'!$C$5:$C$2004,"Retest",'Test Runs'!$D$5:$D$2004,"Android",'Test Runs'!$I$5:$I$2004,U188)&gt;0)),"Reconciled","Mismatch"))</x:f>
        <x:v>Pending</x:v>
      </x:c>
    </x:row>
    <x:row r="189" ht="120" customHeight="1">
      <x:c r="A189" s="58" t="str">
        <x:v>NUT-036</x:v>
      </x:c>
      <x:c r="B189" s="58" t="str">
        <x:v>Barcode - offline fallback</x:v>
      </x:c>
      <x:c r="C189" s="58" t="str">
        <x:v>Scan/manual lookup with network disabled</x:v>
      </x:c>
      <x:c r="D189" s="58" t="str">
        <x:v>As an offline user, I want a stored barcode to work and an unstored one to explain why it cannot so that I can choose another path.</x:v>
      </x:c>
      <x:c r="E189" s="58" t="str">
        <x:v>After any failed remote lookup, a local FoodProduct with the normalized barcode is returned; if absent the exact error is "You are offline and this barcode is not stored on this device."</x:v>
      </x:c>
      <x:c r="F189" s="58" t="str">
        <x:v>Both</x:v>
      </x:c>
      <x:c r="G189" s="58" t="str">
        <x:v>One previously cached barcode and one never seen.</x:v>
      </x:c>
      <x:c r="H189" s="58" t="str">
        <x:v>Prime one online, go offline, scan both; add cached item and verify local save.</x:v>
      </x:c>
      <x:c r="I189" s="58" t="str">
        <x:v>Repeat on Android.</x:v>
      </x:c>
      <x:c r="J189" s="58" t="str">
        <x:v>No dedicated local barcode-offline test; server/cache failure paths covered in FoodProductApiTest</x:v>
      </x:c>
      <x:c r="K189" s="58" t="str">
        <x:v>/Users/mason/Sites/Buff/app/Services/OpenFoodFactsService.php:21-39</x:v>
      </x:c>
      <x:c r="L189" s="58" t="str">
        <x:v>Mapped</x:v>
      </x:c>
      <x:c r="M189" s="58" t="str">
        <x:v>Ready</x:v>
      </x:c>
      <x:c r="N189" s="58" t="str">
        <x:v>Not Run</x:v>
      </x:c>
      <x:c r="O189" s="58" t="str">
        <x:v>Failed</x:v>
      </x:c>
      <x:c r="P189" s="58" t="str">
        <x:v>Android: /Users/mason/.codex/visualizations/2026/09/01/01a05def-1c0d-76d1-abc6-07c63a443582/emulator-runs/initial/android/NUT-036-offline-cached-barcode.png
/Users/mason/.codex/visualizations/2026/09/01/01a05def-1c0d-76d1-abc6-07c63a443582/emulator-runs/initial/android/NUT-036-offline-unknown-barcode.png
/Users/mason/.codex/visualizations/2026/09/01/01a05def-1c0d-76d1-abc6-07c63a443582/emulator-runs/initial/android/NUT-034-037-barcode-observations.json — In airplane mode, cached barcode 5038862102704 succeeded and displayed the same local product review and portion options. Never-seen barcode 9999999999999 instead showed the generic 'Could not look up that barcode. Add it as custom food instead.' rather than the required exact offline explanation.</x:v>
      </x:c>
      <x:c r="Q189" s="58" t="str">
        <x:v>DEF-074</x:v>
      </x:c>
      <x:c r="R189" s="58" t="str">
        <x:v>In Progress</x:v>
      </x:c>
      <x:c r="S189" s="58" t="str"/>
      <x:c r="T189" s="58" t="str">
        <x:v>Not Run</x:v>
      </x:c>
      <x:c r="U189" s="58" t="str">
        <x:v>Not Run</x:v>
      </x:c>
      <x:c r="V189" s="58" t="str"/>
      <x:c r="W189" s="58" t="str">
        <x:f>IF(AND(OR(N189="Passed",N189="Failed",N189="Not Applicable"),OR(O189="Passed",O189="Failed",O189="Not Applicable"),OR(N189="Passed",N189="Failed",O189="Passed",O189="Failed"),OR(T189="Passed",T189="Not Applicable"),OR(U189="Passed",U189="Not Applicable"),OR(T189="Passed",U189="Passed"),Y189="Reconciled",Z189="Reconciled",IF(Q189&lt;&gt;"",R189="Fixed",TRUE)),"Verified",IF(OR(T189="Failed",U189="Failed"),"Retest Failed",IF(OR(N189="Failed",O189="Failed",Q189&lt;&gt;""),"Defect Found",IF(AND(OR(N189="Passed",N189="Not Applicable"),OR(O189="Passed",O189="Not Applicable"),OR(N189="Passed",O189="Passed")),"Initial Pass","Not Complete"))))</x:f>
        <x:v>Defect Found</x:v>
      </x:c>
      <x:c r="X189" s="58" t="str">
        <x:v>A product cached only through search can satisfy barcode lookup even if never logged; that is consistent with local cache but differs from offline text for text search.</x:v>
      </x:c>
      <x:c r="Y189" s="58" t="str">
        <x:f>IF(OR(N189="Not Run",O189="Not Run"),"Pending",IF(AND(OR(N189="Not Applicable",COUNTIFS('Test Runs'!$B$5:$B$2004,A189,'Test Runs'!$C$5:$C$2004,"Initial",'Test Runs'!$D$5:$D$2004,"iOS",'Test Runs'!$I$5:$I$2004,N189)&gt;0),OR(O189="Not Applicable",COUNTIFS('Test Runs'!$B$5:$B$2004,A189,'Test Runs'!$C$5:$C$2004,"Initial",'Test Runs'!$D$5:$D$2004,"Android",'Test Runs'!$I$5:$I$2004,O189)&gt;0)),"Reconciled","Mismatch"))</x:f>
        <x:v>Pending</x:v>
      </x:c>
      <x:c r="Z189" s="58" t="str">
        <x:f>IF(OR(T189="Not Run",U189="Not Run"),"Pending",IF(AND(OR(T189="Not Applicable",COUNTIFS('Test Runs'!$B$5:$B$2004,A189,'Test Runs'!$C$5:$C$2004,"Retest",'Test Runs'!$D$5:$D$2004,"iOS",'Test Runs'!$I$5:$I$2004,T189)&gt;0),OR(U189="Not Applicable",COUNTIFS('Test Runs'!$B$5:$B$2004,A189,'Test Runs'!$C$5:$C$2004,"Retest",'Test Runs'!$D$5:$D$2004,"Android",'Test Runs'!$I$5:$I$2004,U189)&gt;0)),"Reconciled","Mismatch"))</x:f>
        <x:v>Pending</x:v>
      </x:c>
    </x:row>
    <x:row r="190" ht="120" customHeight="1">
      <x:c r="A190" s="58" t="str">
        <x:v>NUT-037</x:v>
      </x:c>
      <x:c r="B190" s="58" t="str">
        <x:v>Barcode - liquid normalization</x:v>
      </x:c>
      <x:c r="C190" s="58" t="str">
        <x:v>Lookup liquid vs solid barcode</x:v>
      </x:c>
      <x:c r="D190" s="58" t="str">
        <x:v>As a user scanning drinks, I want ml units and package sizes normalized so that quantity math is not treated as grams.</x:v>
      </x:c>
      <x:c r="E190" s="58" t="str">
        <x:v>Server chooses ml when nutrition says per 100ml or serving/package is ml, converts mismatched g portion metadata to ml labels, and app offers ml defaults 100/250/330/500; g defaults are 50/100/150/250.</x:v>
      </x:c>
      <x:c r="F190" s="58" t="str">
        <x:v>Both</x:v>
      </x:c>
      <x:c r="G190" s="58" t="str">
        <x:v>Milk/drink product and solid bar product.</x:v>
      </x:c>
      <x:c r="H190" s="58" t="str">
        <x:v>Compare unit, serving, whole-package, and defaults; log 200ml and verify macros.</x:v>
      </x:c>
      <x:c r="I190" s="58" t="str">
        <x:v>Repeat on Android.</x:v>
      </x:c>
      <x:c r="J190" s="58" t="str">
        <x:v>/Users/mason/Sites/Buff/tests/Feature/OpenFoodFactsLookupTest.php:49; /Users/mason/Sites/Buff/tests/Feature/MealEntryTest.php:78</x:v>
      </x:c>
      <x:c r="K190" s="58" t="str">
        <x:v>/Users/mason/Sites/buff-server/app/Services/OpenFoodFactsService.php:161-175,204-215; /Users/mason/Sites/Buff/app/Services/PortionParser.php:74-87</x:v>
      </x:c>
      <x:c r="L190" s="58" t="str">
        <x:v>Mapped</x:v>
      </x:c>
      <x:c r="M190" s="58" t="str">
        <x:v>Ready</x:v>
      </x:c>
      <x:c r="N190" s="58" t="str">
        <x:v>Not Run</x:v>
      </x:c>
      <x:c r="O190" s="58" t="str">
        <x:v>Passed</x:v>
      </x:c>
      <x:c r="P190" s="58" t="str">
        <x:v>Android: /Users/mason/.codex/visualizations/2026/09/01/01a05def-1c0d-76d1-abc6-07c63a443582/emulator-runs/initial/android/NUT-034-037-liquid-review.png
/Users/mason/.codex/visualizations/2026/09/01/01a05def-1c0d-76d1-abc6-07c63a443582/emulator-runs/initial/android/NUT-037-liquid-200ml-ready.png
/Users/mason/.codex/visualizations/2026/09/01/01a05def-1c0d-76d1-abc6-07c63a443582/emulator-runs/initial/android/NUT-037-liquid-200ml-logged.png
/Users/mason/.codex/visualizations/2026/09/01/01a05def-1c0d-76d1-abc6-07c63a443582/emulator-runs/initial/android/NUT-034-037-barcode-observations.json — The liquid product used ml with serving 150ml, whole 1.35L, and 100/250/330/500ml options, while the solid product used g with serving 45g and 50/100/150/250g options. Logging 200ml to Snacks produced 82 kcal.</x:v>
      </x:c>
      <x:c r="Q190" s="58" t="str"/>
      <x:c r="R190" s="58" t="str">
        <x:v>Not Needed</x:v>
      </x:c>
      <x:c r="S190" s="58" t="str"/>
      <x:c r="T190" s="58" t="str">
        <x:v>Not Run</x:v>
      </x:c>
      <x:c r="U190" s="58" t="str">
        <x:v>Not Run</x:v>
      </x:c>
      <x:c r="V190" s="58" t="str"/>
      <x:c r="W190" s="58" t="str">
        <x:f>IF(AND(OR(N190="Passed",N190="Failed",N190="Not Applicable"),OR(O190="Passed",O190="Failed",O190="Not Applicable"),OR(N190="Passed",N190="Failed",O190="Passed",O190="Failed"),OR(T190="Passed",T190="Not Applicable"),OR(U190="Passed",U190="Not Applicable"),OR(T190="Passed",U190="Passed"),Y190="Reconciled",Z190="Reconciled",IF(Q190&lt;&gt;"",R190="Fixed",TRUE)),"Verified",IF(OR(T190="Failed",U190="Failed"),"Retest Failed",IF(OR(N190="Failed",O190="Failed",Q190&lt;&gt;""),"Defect Found",IF(AND(OR(N190="Passed",N190="Not Applicable"),OR(O190="Passed",O190="Not Applicable"),OR(N190="Passed",O190="Passed")),"Initial Pass","Not Complete"))))</x:f>
        <x:v>Not Complete</x:v>
      </x:c>
      <x:c r="X190" s="58" t="str">
        <x:v>Heuristic can classify products as ml based solely on package/serving metadata; density conversion is not performed.</x:v>
      </x:c>
      <x:c r="Y190" s="58" t="str">
        <x:f>IF(OR(N190="Not Run",O190="Not Run"),"Pending",IF(AND(OR(N190="Not Applicable",COUNTIFS('Test Runs'!$B$5:$B$2004,A190,'Test Runs'!$C$5:$C$2004,"Initial",'Test Runs'!$D$5:$D$2004,"iOS",'Test Runs'!$I$5:$I$2004,N190)&gt;0),OR(O190="Not Applicable",COUNTIFS('Test Runs'!$B$5:$B$2004,A190,'Test Runs'!$C$5:$C$2004,"Initial",'Test Runs'!$D$5:$D$2004,"Android",'Test Runs'!$I$5:$I$2004,O190)&gt;0)),"Reconciled","Mismatch"))</x:f>
        <x:v>Pending</x:v>
      </x:c>
      <x:c r="Z190" s="58" t="str">
        <x:f>IF(OR(T190="Not Run",U190="Not Run"),"Pending",IF(AND(OR(T190="Not Applicable",COUNTIFS('Test Runs'!$B$5:$B$2004,A190,'Test Runs'!$C$5:$C$2004,"Retest",'Test Runs'!$D$5:$D$2004,"iOS",'Test Runs'!$I$5:$I$2004,T190)&gt;0),OR(U190="Not Applicable",COUNTIFS('Test Runs'!$B$5:$B$2004,A190,'Test Runs'!$C$5:$C$2004,"Retest",'Test Runs'!$D$5:$D$2004,"Android",'Test Runs'!$I$5:$I$2004,U190)&gt;0)),"Reconciled","Mismatch"))</x:f>
        <x:v>Pending</x:v>
      </x:c>
    </x:row>
    <x:row r="191" ht="120" customHeight="1">
      <x:c r="A191" s="58" t="str">
        <x:v>NUT-038</x:v>
      </x:c>
      <x:c r="B191" s="58" t="str">
        <x:v>Barcode - save product meal</x:v>
      </x:c>
      <x:c r="C191" s="58" t="str">
        <x:v>Add &lt;kcal&gt; in product drawer</x:v>
      </x:c>
      <x:c r="D191" s="58" t="str">
        <x:v>As a user, I want the reviewed product saved to the chosen day and meal type so that totals update immediately.</x:v>
      </x:c>
      <x:c r="E191" s="58" t="str">
        <x:v>Server records source=barcode, product ID/name, selected portion/unit, and per-100 scaled nutrition, redirects to dated Today, flashes Meal added, and queues sync.</x:v>
      </x:c>
      <x:c r="F191" s="58" t="str">
        <x:v>Both</x:v>
      </x:c>
      <x:c r="G191" s="58" t="str">
        <x:v>Known g and ml product; historical date; each meal type.</x:v>
      </x:c>
      <x:c r="H191" s="58" t="str">
        <x:v>Add product, verify redirect/toast/Today totals/detail and offline persistence.</x:v>
      </x:c>
      <x:c r="I191" s="58" t="str">
        <x:v>Repeat on Android.</x:v>
      </x:c>
      <x:c r="J191" s="58" t="str">
        <x:v>/Users/mason/Sites/Buff/tests/Feature/MealEntryTest.php:45,78</x:v>
      </x:c>
      <x:c r="K191" s="58" t="str">
        <x:v>/Users/mason/Sites/Buff/app/Http/Controllers/MealController.php:155-184; /Users/mason/Sites/Buff/resources/js/Pages/Add.vue:649-653,1281-1294</x:v>
      </x:c>
      <x:c r="L191" s="58" t="str">
        <x:v>Mapped</x:v>
      </x:c>
      <x:c r="M191" s="58" t="str">
        <x:v>Ready</x:v>
      </x:c>
      <x:c r="N191" s="58" t="str">
        <x:v>Not Run</x:v>
      </x:c>
      <x:c r="O191" s="58" t="str">
        <x:v>Passed</x:v>
      </x:c>
      <x:c r="P191" s="58" t="str">
        <x:v>Android: /Users/mason/.codex/visualizations/2026/09/01/01a05def-1c0d-76d1-abc6-07c63a443582/emulator-runs/initial/android/NUT-038-product-meal-detail.png — The reviewed 52g product saved to Breakfast on 2026-09-02, redirected to dated Today, updated totals, and reopened with its 200-kcal product snapshot and portion intact.</x:v>
      </x:c>
      <x:c r="Q191" s="58" t="str"/>
      <x:c r="R191" s="58" t="str">
        <x:v>Not Needed</x:v>
      </x:c>
      <x:c r="S191" s="58" t="str"/>
      <x:c r="T191" s="58" t="str">
        <x:v>Not Run</x:v>
      </x:c>
      <x:c r="U191" s="58" t="str">
        <x:v>Not Run</x:v>
      </x:c>
      <x:c r="V191" s="58" t="str"/>
      <x:c r="W191" s="58" t="str">
        <x:f>IF(AND(OR(N191="Passed",N191="Failed",N191="Not Applicable"),OR(O191="Passed",O191="Failed",O191="Not Applicable"),OR(N191="Passed",N191="Failed",O191="Passed",O191="Failed"),OR(T191="Passed",T191="Not Applicable"),OR(U191="Passed",U191="Not Applicable"),OR(T191="Passed",U191="Passed"),Y191="Reconciled",Z191="Reconciled",IF(Q191&lt;&gt;"",R191="Fixed",TRUE)),"Verified",IF(OR(T191="Failed",U191="Failed"),"Retest Failed",IF(OR(N191="Failed",O191="Failed",Q191&lt;&gt;""),"Defect Found",IF(AND(OR(N191="Passed",N191="Not Applicable"),OR(O191="Passed",O191="Not Applicable"),OR(N191="Passed",O191="Passed")),"Initial Pass","Not Complete"))))</x:f>
        <x:v>Not Complete</x:v>
      </x:c>
      <x:c r="X191" s="58" t="str">
        <x:v>No known code-level defect beyond hidden validation feedback in NUT-029.</x:v>
      </x:c>
      <x:c r="Y191" s="58" t="str">
        <x:f>IF(OR(N191="Not Run",O191="Not Run"),"Pending",IF(AND(OR(N191="Not Applicable",COUNTIFS('Test Runs'!$B$5:$B$2004,A191,'Test Runs'!$C$5:$C$2004,"Initial",'Test Runs'!$D$5:$D$2004,"iOS",'Test Runs'!$I$5:$I$2004,N191)&gt;0),OR(O191="Not Applicable",COUNTIFS('Test Runs'!$B$5:$B$2004,A191,'Test Runs'!$C$5:$C$2004,"Initial",'Test Runs'!$D$5:$D$2004,"Android",'Test Runs'!$I$5:$I$2004,O191)&gt;0)),"Reconciled","Mismatch"))</x:f>
        <x:v>Pending</x:v>
      </x:c>
      <x:c r="Z191" s="58" t="str">
        <x:f>IF(OR(T191="Not Run",U191="Not Run"),"Pending",IF(AND(OR(T191="Not Applicable",COUNTIFS('Test Runs'!$B$5:$B$2004,A191,'Test Runs'!$C$5:$C$2004,"Retest",'Test Runs'!$D$5:$D$2004,"iOS",'Test Runs'!$I$5:$I$2004,T191)&gt;0),OR(U191="Not Applicable",COUNTIFS('Test Runs'!$B$5:$B$2004,A191,'Test Runs'!$C$5:$C$2004,"Retest",'Test Runs'!$D$5:$D$2004,"Android",'Test Runs'!$I$5:$I$2004,U191)&gt;0)),"Reconciled","Mismatch"))</x:f>
        <x:v>Pending</x:v>
      </x:c>
    </x:row>
    <x:row r="192" ht="480" hidden="0" customHeight="1">
      <x:c r="A192" s="58" t="str">
        <x:v>NUT-039</x:v>
      </x:c>
      <x:c r="B192" s="58" t="str">
        <x:v>Custom food - manual entry</x:v>
      </x:c>
      <x:c r="C192" s="58" t="str">
        <x:v>Add &gt; Custom or Add custom food</x:v>
      </x:c>
      <x:c r="D192" s="58" t="str">
        <x:v>As a user, I want to enter a food name, physical portion, macros, and meal type so that foods absent from the catalogue can be logged.</x:v>
      </x:c>
      <x:c r="E192" s="58" t="str">
        <x:v>Form supports name, quantity 0.1-10000, g/ml, protein/carbs/fat 0-1000, selected day/type; kcal is computed and stored from 4/4/9 with no independent calorie field.</x:v>
      </x:c>
      <x:c r="F192" s="58" t="str">
        <x:v>Both</x:v>
      </x:c>
      <x:c r="G192" s="58" t="str">
        <x:v>Manual food example P45/C50/F12, 350g.</x:v>
      </x:c>
      <x:c r="H192" s="58" t="str">
        <x:v>Enter values, verify button says 488 kcal, submit, verify Today and toast.</x:v>
      </x:c>
      <x:c r="I192" s="58" t="str">
        <x:v>Repeat on Android.</x:v>
      </x:c>
      <x:c r="J192" s="58" t="str">
        <x:v>/Users/mason/Sites/Buff/tests/Feature/MealEntryTest.php:8; /Users/mason/Sites/Buff/tests/Unit/NutritionCalculatorTest.php:7</x:v>
      </x:c>
      <x:c r="K192" s="58" t="str">
        <x:v>/Users/mason/Sites/Buff/resources/js/Pages/Add.vue:234-244,261-263,686-697,1298-1405; /Users/mason/Sites/Buff/app/Http/Controllers/MealController.php:117-153; /Users/mason/Sites/Buff/app/Services/NutritionCalculator.php:10-18</x:v>
      </x:c>
      <x:c r="L192" s="58" t="str">
        <x:v>Mapped</x:v>
      </x:c>
      <x:c r="M192" s="58" t="str">
        <x:v>Ready</x:v>
      </x:c>
      <x:c r="N192" s="58" t="str">
        <x:v>Not Run</x:v>
      </x:c>
      <x:c r="O192" s="58" t="str">
        <x:v>Passed</x:v>
      </x:c>
      <x:c r="P192" s="58" t="str">
        <x:v>Android: /Users/mason/.codex/visualizations/2026/09/01/01a05def-1c0d-76d1-abc6-07c63a443582/emulator-runs/initial/android/NUT-039-custom-meal-before-save.png
/Users/mason/.codex/visualizations/2026/09/01/01a05def-1c0d-76d1-abc6-07c63a443582/emulator-runs/initial/android/NUT-039-custom-meal-after-save.png
/Users/mason/.codex/visualizations/2026/09/01/01a05def-1c0d-76d1-abc6-07c63a443582/emulator-runs/initial/android/NUT-039-second-custom-meal-before-save.png — A 350g P45/C50/F12 meal previewed and saved as 488 kcal. A second 200ml P20/C60/F10 meal previewed and saved as 410 kcal to Breakfast on 2026-09-02; Today totals and rows matched 4/4/9 exactly.</x:v>
      </x:c>
      <x:c r="Q192" s="58" t="str">
        <x:v>DEF-091
DEF-098</x:v>
      </x:c>
      <x:c r="R192" s="58" t="str">
        <x:v>Open</x:v>
      </x:c>
      <x:c r="S192" s="58" t="str"/>
      <x:c r="T192" s="58" t="str">
        <x:v>Passed</x:v>
      </x:c>
      <x:c r="U192" s="58" t="str">
        <x:v>Passed</x:v>
      </x:c>
      <x:c r="V192" s="58" t="str">
        <x:v>iOS: /Users/mason/.codex/visualizations/2026/09/01/01a05def-1c0d-76d1-abc6-07c63a443582/emulator-runs/retest/ios/NUT-039-cross-device-meal-ready.png
/Users/mason/.codex/visualizations/2026/09/01/01a05def-1c0d-76d1-abc6-07c63a443582/emulator-runs/retest/ios/NUT-039-cross-device-meal500-today.png
/Users/mason/.codex/visualizations/2026/09/01/01a05def-1c0d-76d1-abc6-07c63a443582/emulator-runs/retest/ios/NUT-039-cross-device-meal-observation.json — Opened Today Add food drawer then Custom. Entered a clearly named QA meal with 100 g portion and 20 g protein, 60 g carbs, 20 g fat; button calculated 500 kcal from 4/4/9 with no calorie field. Submitted once after cross-device coordination signal. Dated Today showed exactly one matching Lunch row, 500 kcal, macros 20/60/20 and 1,600 kcal remaining. Current page flash message is Custom food added; sync props subsequently reported pending 0 and no error.
RUN-0404 — Android.
Full actual results, gaps and evidence are retained in Test Runs.
RUN-0406 — Android.
Full actual results, gaps and evidence are retained in Test Runs.
RUN-0407 — Android.
Full actual results, gaps and evidence are retained in Test Runs.
RUN-0408 — Android.
RUN-0409 — Android.
Full actual results, gaps and evidence are retained in Test Runs.
RUN-0410 — iOS.
RUN-0411 — iOS.
Full actual results, gaps and evidence are retained in Test Runs.
RUN-0412 — iOS.
Full actual results, gaps and evidence are retained in Test Runs.
RUN-0413 — iOS.
Full actual results, gaps and evidence are retained in Test Runs.
RUN-0418 — Android.
Full actual results, gaps and evidence are retained in Test Runs.</x:v>
      </x:c>
      <x:c r="W192" s="58" t="str">
        <x:f>IF(AND(OR(N192="Passed",N192="Failed",N192="Not Applicable"),OR(O192="Passed",O192="Failed",O192="Not Applicable"),OR(N192="Passed",N192="Failed",O192="Passed",O192="Failed"),OR(T192="Passed",T192="Not Applicable"),OR(U192="Passed",U192="Not Applicable"),OR(T192="Passed",U192="Passed"),Y192="Reconciled",Z192="Reconciled",IF(Q192&lt;&gt;"",R192="Fixed",TRUE)),"Verified",IF(OR(T192="Failed",U192="Failed"),"Retest Failed",IF(OR(N192="Failed",O192="Failed",Q192&lt;&gt;""),"Defect Found",IF(AND(OR(N192="Passed",N192="Not Applicable"),OR(O192="Passed",O192="Not Applicable"),OR(N192="Passed",O192="Passed")),"Initial Pass","Not Complete"))))</x:f>
        <x:v>Defect Found</x:v>
      </x:c>
      <x:c r="X192" s="58" t="str">
        <x:v>Users cannot enter a label-calorie value that intentionally differs from Atwater macro calories.
Build16 Android350g/P45/C50/F12=488kcal save and exact cold persistence passed, but native result rendering remains corrupted (DEF091); native success-toast visibility was not captured. No whole-story pass is claimed.
Build17 Android: new165kcal Dinner saves exactly and preserves prior488kcal Breakfast. Native rendering DEF091 remains. No new cold-launch test or full database comparison.
RUN-0407: Complete 2026-08-23 summary independently deep-compared equal before and after build17 cold launch. Both meals retain exact IDs, portions and macros: Breakfast 488 kcal P45/C50/F12 and Dinner 165 kcal P10/C20/F5, total 653 kcal P55/C70/F17. Goal, empty workouts and streak also match. Native screenshot still shows a clipped upper-left date and duplicated calorie-ring fragments. Data persistence passes; native rendering fails under DEF-091.
Renderer follow-up: host GPU clears the visible corruption with exact data preservation, including a repeated cold launch. NUT039 now Blocked for remaining complete-story cases; earlier Failed runs remain historical.
iOS build16 native-only g/ml saves on22Aug pass arithmetic, date/type and one visible row per save. Combined898/P65/C110/F22. DEF098 clips the grams success toast when the native banner appears. Later ml toast was unobscured before banner arrival. Cold persistence and post-fix matrix remain incomplete.
RUN-0413 supersedes the pending iOS g/ml/toast/cold checks: all passed on build 19. DEF-098 is Fixed. The initial iOS entry and remaining Android retest coverage still prevent full story verification.
RUN-0418: Android build20 g/ml manual entry,readable confirmations and exact full-summary cold persistence pass with host GPU. DEF091 remains Open; full matrix incomplete.</x:v>
      </x:c>
      <x:c r="Y192" s="58" t="str">
        <x:f>IF(OR(N192="Not Run",O192="Not Run"),"Pending",IF(AND(OR(N192="Not Applicable",COUNTIFS('Test Runs'!$B$5:$B$2004,A192,'Test Runs'!$C$5:$C$2004,"Initial",'Test Runs'!$D$5:$D$2004,"iOS",'Test Runs'!$I$5:$I$2004,N192)&gt;0),OR(O192="Not Applicable",COUNTIFS('Test Runs'!$B$5:$B$2004,A192,'Test Runs'!$C$5:$C$2004,"Initial",'Test Runs'!$D$5:$D$2004,"Android",'Test Runs'!$I$5:$I$2004,O192)&gt;0)),"Reconciled","Mismatch"))</x:f>
        <x:v>Pending</x:v>
      </x:c>
      <x:c r="Z192" s="58" t="str">
        <x:f>IF(OR(T192="Not Run",U192="Not Run"),"Pending",IF(AND(OR(T192="Not Applicable",COUNTIFS('Test Runs'!$B$5:$B$2004,A192,'Test Runs'!$C$5:$C$2004,"Retest",'Test Runs'!$D$5:$D$2004,"iOS",'Test Runs'!$I$5:$I$2004,T192)&gt;0),OR(U192="Not Applicable",COUNTIFS('Test Runs'!$B$5:$B$2004,A192,'Test Runs'!$C$5:$C$2004,"Retest",'Test Runs'!$D$5:$D$2004,"Android",'Test Runs'!$I$5:$I$2004,U192)&gt;0)),"Reconciled","Mismatch"))</x:f>
        <x:v>Reconciled</x:v>
      </x:c>
    </x:row>
    <x:row r="193" ht="427.20001220703125" hidden="0" customHeight="1">
      <x:c r="A193" s="58" t="str">
        <x:v>NUT-040</x:v>
      </x:c>
      <x:c r="B193" s="58" t="str">
        <x:v>Custom food - validation feedback</x:v>
      </x:c>
      <x:c r="C193" s="58" t="str">
        <x:v>Submit Custom with invalid inputs</x:v>
      </x:c>
      <x:c r="D193" s="58" t="str">
        <x:v>As a user, I want every invalid custom value explained inline so that I can correct it.</x:v>
      </x:c>
      <x:c r="E193" s="58" t="str">
        <x:v>Server validates every custom-food field and prevents invalid saves. UI renders name, quantity, unit and protein/carbs/fat errors; editing a macro clears its stale error. Empty macros still transform to numeric zero. Rejected submissions preserve scroll to keep the form in view; successful submission keeps normal dated Today navigation.</x:v>
      </x:c>
      <x:c r="F193" s="58" t="str">
        <x:v>Both</x:v>
      </x:c>
      <x:c r="G193" s="58" t="str">
        <x:v>Blank/long name; 0/&gt;10000 portion; negative/&gt;1000 macro.</x:v>
      </x:c>
      <x:c r="H193" s="58" t="str">
        <x:v>Submit each invalid field, verify no meal and visible error, correct it and save. Include all three macros and verify corrected macro errors disappear.</x:v>
      </x:c>
      <x:c r="I193" s="58" t="str">
        <x:v>Repeat on Android.</x:v>
      </x:c>
      <x:c r="J193" s="58" t="str">
        <x:v>/Users/mason/Sites/Buff/tests/Feature/MealEntryTest.php:28,78 adds11 rejected-boundary and2 accepted-boundary cases; focused13/111 assertions, whole file42/369. /Users/mason/Sites/Buff/tests/recipeDesign.test.ts:73 executes the shared custom/photo-review submit callback with real useForm. Full PHP409/3252, frontend219 and TypeScript passed.</x:v>
      </x:c>
      <x:c r="K193" s="58" t="str">
        <x:v>/Users/mason/Sites/Buff/app/Http/Controllers/MealController.php:119-129; /Users/mason/Sites/Buff/resources/js/Pages/Add.vue:1338-1405</x:v>
      </x:c>
      <x:c r="L193" s="58" t="str">
        <x:v>Mapped</x:v>
      </x:c>
      <x:c r="M193" s="58" t="str">
        <x:v>Ready</x:v>
      </x:c>
      <x:c r="N193" s="58" t="str">
        <x:v>Not Run</x:v>
      </x:c>
      <x:c r="O193" s="58" t="str">
        <x:v>Failed</x:v>
      </x:c>
      <x:c r="P193" s="58" t="str">
        <x:v>Android: /Users/mason/.codex/visualizations/2026/09/01/01a05def-1c0d-76d1-abc6-07c63a443582/emulator-runs/initial/android/NUT-040-macro-errors-hidden.png — Blank and 121-character names plus a 10001 portion each retained the rejected value and displayed the correct inline error. A direct invalid request confirmed 422 keys for protein_g/carbs_g/fat_g at 1001; the UI submission retained all three values but displayed no error or alert and created no meal.</x:v>
      </x:c>
      <x:c r="Q193" s="58" t="str">
        <x:v>DEF-022
DEF-097
DEF-099</x:v>
      </x:c>
      <x:c r="R193" s="58" t="str">
        <x:v>Fixed</x:v>
      </x:c>
      <x:c r="S193" s="58" t="str"/>
      <x:c r="T193" s="58" t="str">
        <x:v>Passed</x:v>
      </x:c>
      <x:c r="U193" s="58" t="str">
        <x:v>Passed</x:v>
      </x:c>
      <x:c r="V193" s="58" t="str">
        <x:v>iOS: /Users/mason/.codex/visualizations/2026/09/01/01a05def-1c0d-76d1-abc6-07c63a443582/emulator-runs/retest/ios/NUT-039-cross-device-meal-observation.json — Before final valid submission, entered protein -1 without submitting. Native HTML input had min 0, validity false and rangeUnderflow true. Correcting to 20 restored valid input and the expected calorie preview; every prepared field was valid before the one authorized save.
RUN-0403 — Android.
Full actual results, gaps and evidence are retained in Test Runs.
RUN-0405 — Android.
Full actual results, gaps and evidence are retained in Test Runs.
RUN-0414 — iOS.
Full actual results, gaps and evidence are retained in Test Runs.
RUN-0415 — iOS.
Full actual results, gaps and evidence are retained in Test Runs.
RUN-0416 — iOS.
Full actual results, gaps and evidence are retained in Test Runs.
RUN-0417 — Android.
Full actual results, gaps and evidence are retained in Test Runs.</x:v>
      </x:c>
      <x:c r="W193" s="58" t="str">
        <x:f>IF(AND(OR(N193="Passed",N193="Failed",N193="Not Applicable"),OR(O193="Passed",O193="Failed",O193="Not Applicable"),OR(N193="Passed",N193="Failed",O193="Passed",O193="Failed"),OR(T193="Passed",T193="Not Applicable"),OR(U193="Passed",U193="Not Applicable"),OR(T193="Passed",U193="Passed"),Y193="Reconciled",Z193="Reconciled",IF(Q193&lt;&gt;"",R193="Fixed",TRUE)),"Verified",IF(OR(T193="Failed",U193="Failed"),"Retest Failed",IF(OR(N193="Failed",O193="Failed",Q193&lt;&gt;""),"Defect Found",IF(AND(OR(N193="Passed",N193="Not Applicable"),OR(O193="Passed",O193="Not Applicable"),OR(N193="Passed",O193="Passed")),"Initial Pass","Not Complete"))))</x:f>
        <x:v>Defect Found</x:v>
      </x:c>
      <x:c r="X193" s="58" t="str">
        <x:v>Likely UX defect: macro validation errors exist in useForm but have no rendered error elements, so those submissions appear to fail silently.
Build16 clarification: the original missing-markup sentence is historical. All three macro errors now render and clear independently on Android. New DEF097 tracks submission scroll resetting above those errors. Its one-option source fix is not installed yet. iOS validation batch paused before testing after the user reported a crash.
Build17 Android: DEF097 installed/extracted and all four scroll reproductions pass. Macro feedback clears independently and successful save navigates normally. Remaining complete-story boundary/unit coverage is explicitly Blocked; iOS still paused.
RUN-0414: iOS build 19 passes visible macro errors, no invalid save, independent clearing and one corrected dated save. DEF-022 is now Fixed on both platforms. Full native boundary/unit coverage remains incomplete.
RUN-0415: name/portion rejection works, but old feedback survives edits (DEF-099). Shared source fix passes focused tests and awaits fresh native installation.
RUN-0416: iOS build 20 passes DEF-099 independent clearing and remaining lower/accepted boundaries; g/ml and blank-macro zero saves verified exactly with pending sync 0. iOS retest Passed using this round plus unchanged macro-maximum evidence RUN-0414. Android post-fix and initial iOS matrix entries remain incomplete.
RUN-0417: Android build20 passes the remaining boundary cases and DEF099 native field correction. Both retest cells now Passed; historical initial iOS gap still prevents full matrix verification.</x:v>
      </x:c>
      <x:c r="Y193" s="58" t="str">
        <x:f>IF(OR(N193="Not Run",O193="Not Run"),"Pending",IF(AND(OR(N193="Not Applicable",COUNTIFS('Test Runs'!$B$5:$B$2004,A193,'Test Runs'!$C$5:$C$2004,"Initial",'Test Runs'!$D$5:$D$2004,"iOS",'Test Runs'!$I$5:$I$2004,N193)&gt;0),OR(O193="Not Applicable",COUNTIFS('Test Runs'!$B$5:$B$2004,A193,'Test Runs'!$C$5:$C$2004,"Initial",'Test Runs'!$D$5:$D$2004,"Android",'Test Runs'!$I$5:$I$2004,O193)&gt;0)),"Reconciled","Mismatch"))</x:f>
        <x:v>Pending</x:v>
      </x:c>
      <x:c r="Z193" s="58" t="str">
        <x:f>IF(OR(T193="Not Run",U193="Not Run"),"Pending",IF(AND(OR(T193="Not Applicable",COUNTIFS('Test Runs'!$B$5:$B$2004,A193,'Test Runs'!$C$5:$C$2004,"Retest",'Test Runs'!$D$5:$D$2004,"iOS",'Test Runs'!$I$5:$I$2004,T193)&gt;0),OR(U193="Not Applicable",COUNTIFS('Test Runs'!$B$5:$B$2004,A193,'Test Runs'!$C$5:$C$2004,"Retest",'Test Runs'!$D$5:$D$2004,"Android",'Test Runs'!$I$5:$I$2004,U193)&gt;0)),"Reconciled","Mismatch"))</x:f>
        <x:v>Reconciled</x:v>
      </x:c>
    </x:row>
    <x:row r="194" ht="849.5999755859375" hidden="0" customHeight="1">
      <x:c r="A194" s="58" t="str">
        <x:v>NUT-041</x:v>
      </x:c>
      <x:c r="B194" s="58" t="str">
        <x:v>Custom food - recent quick-fill</x:v>
      </x:c>
      <x:c r="C194" s="58" t="str">
        <x:v>Add &gt; Custom, Previous custom foods</x:v>
      </x:c>
      <x:c r="D194" s="58" t="str">
        <x:v>As a returning user, I want recent custom foods to prefill the form so that I can reuse values without creating a separate saved item.</x:v>
      </x:c>
      <x:c r="E194" s="58" t="str">
        <x:v>Up to 10 recent unique custom snapshots are shown; tapping copies name, portion/unit/macros and clears old errors, after which the user can edit and submit a new custom entry.</x:v>
      </x:c>
      <x:c r="F194" s="58" t="str">
        <x:v>Both</x:v>
      </x:c>
      <x:c r="G194" s="58" t="str">
        <x:v>Duplicate and distinct prior custom meals.</x:v>
      </x:c>
      <x:c r="H194" s="58" t="str">
        <x:v>Tap a prior item, verify all fields, alter one macro, submit and compare.</x:v>
      </x:c>
      <x:c r="I194" s="58" t="str">
        <x:v>Repeat on Android.</x:v>
      </x:c>
      <x:c r="J194" s="58" t="str">
        <x:v>/Users/mason/Sites/Buff/tests/Feature/MealEntryTest.php:172</x:v>
      </x:c>
      <x:c r="K194" s="58" t="str">
        <x:v>/Users/mason/Sites/Buff/app/Http/Controllers/MealController.php:414-442; /Users/mason/Sites/Buff/resources/js/Pages/Add.vue:860-868,1317-1336</x:v>
      </x:c>
      <x:c r="L194" s="58" t="str">
        <x:v>Mapped</x:v>
      </x:c>
      <x:c r="M194" s="58" t="str">
        <x:v>Ready</x:v>
      </x:c>
      <x:c r="N194" s="58" t="str">
        <x:v>Passed</x:v>
      </x:c>
      <x:c r="O194" s="58" t="str">
        <x:v>Passed</x:v>
      </x:c>
      <x:c r="P194" s="58" t="str">
        <x:v>Android: /Users/mason/.codex/visualizations/2026/09/01/01a05def-1c0d-76d1-abc6-07c63a443582/emulator-runs/initial/android/NUT-041-recent-prefill-edited.png — Tapping the recent 410-kcal custom snapshot copied its name, 200ml unit/portion, P20/C60/F10, and cleared errors. Renaming it, changing carbs to 61, selecting Lunch, and submitting created a distinct 414-kcal entry.
iOS: /Users/mason/.codex/visualizations/2026/09/01/01a05def-1c0d-76d1-abc6-07c63a443582/emulator-runs/retest/ios/NUT-041-b20-recent-top.png
/Users/mason/.codex/visualizations/2026/09/01/01a05def-1c0d-76d1-abc6-07c63a443582/emulator-runs/retest/ios/NUT-041-b20-errors.png
/Users/mason/.codex/visualizations/2026/09/01/01a05def-1c0d-76d1-abc6-07c63a443582/emulator-runs/retest/ios/NUT-041-b20-prefilled.png
/Users/mason/.codex/visualizations/2026/09/01/01a05def-1c0d-76d1-abc6-07c63a443582/emulator-runs/retest/ios/NUT-041-b20-duplicate-saved.png
/Users/mason/.codex/visualizations/2026/09/01/01a05def-1c0d-76d1-abc6-07c63a443582/emulator-runs/retest/ios/NUT-041-b20-deduplicated-top.png
/Users/mason/.codex/visualizations/2026/09/01/01a05def-1c0d-76d1-abc6-07c63a443582/emulator-runs/retest/ios/NUT-041-b20-deduplicated-bottom.png
/Users/mason/.codex/visualizations/2026/09/01/01a05def-1c0d-76d1-abc6-07c63a443582/emulator-runs/retest/ios/NUT-041-b20-edited-ready.png
/Users/mason/.codex/visualizations/2026/09/01/01a05def-1c0d-76d1-abc6-07c63a443582/emulator-runs/retest/ios/NUT-041-b20-edited-saved.png
/Users/mason/.codex/visualizations/2026/09/01/01a05def-1c0d-76d1-abc6-07c63a443582/emulator-runs/retest/ios/NUT-041-b20-saved-rows.png
/Users/mason/.codex/visualizations/2026/09/01/01a05def-1c0d-76d1-abc6-07c63a443582/emulator-runs/retest/ios/NUT-041-b20-recent-after-edit-top.png
/Users/mason/.codex/visualizations/2026/09/01/01a05def-1c0d-76d1-abc6-07c63a443582/emulator-runs/retest/ios/NUT-041-b20-recent-after-edit-bottom.png
/Users/mason/.codex/visualizations/2026/09/01/01a05def-1c0d-76d1-abc6-07c63a443582/inventory/ios-reuse-b20-before.json
/Users/mason/.codex/visualizations/2026/09/01/01a05def-1c0d-76d1-abc6-07c63a443582/inventory/ios-reuse-b20-duplicate.json
/Users/mason/.codex/visualizations/2026/09/01/01a05def-1c0d-76d1-abc6-07c63a443582/inventory/ios-reuse-b20-saved.json — Fresh QA Pro launch synced all seven newer Android fixtures,including exact offline-meal UUID/values. On initially empty13August,blank name/portion10001/protein1001 produced three native-visible server errors. Tapping recent QA b20 Android ml copied name,200ml,P20/C60/F10,cleared all errors and previewed410kcal. One Breakfast duplicate saved UUID01a0766d-a216-72cc-859a-3339957006c9. Reopening showed ten unique custom cards and one matching ml snapshot. Selecting it,renaming QA b20 iOS reuse and editing carbs60→61 previewed414kcal;one Lunch save created UUID01a0766f-d50b-73c4-990d-197a3d06f511. Native Today totals824/P40/C121/F20,1276remaining;both410/414 rows visible. Read-only QA records confirm earlier410 meal and seven Android fixtures unchanged,mealcount35,outbox0. Reopening confirms edited414 and original410 among ten unique cards. Returned to datedToday,no draft.</x:v>
      </x:c>
      <x:c r="Q194" s="58" t="str"/>
      <x:c r="R194" s="58" t="str">
        <x:v>Not Needed</x:v>
      </x:c>
      <x:c r="S194" s="58" t="str"/>
      <x:c r="T194" s="58" t="str">
        <x:v>Not Run</x:v>
      </x:c>
      <x:c r="U194" s="58" t="str">
        <x:v>Passed</x:v>
      </x:c>
      <x:c r="V194" s="58" t="str">
        <x:v>RUN-0419 — Android.
Full actual results, gaps and evidence are retained in Test Runs.
RUN-0421 — iOS.
Full actual results, gaps and evidence are retained in Test Runs.</x:v>
      </x:c>
      <x:c r="W194" s="58" t="str">
        <x:f>IF(AND(OR(N194="Passed",N194="Failed",N194="Not Applicable"),OR(O194="Passed",O194="Failed",O194="Not Applicable"),OR(N194="Passed",N194="Failed",O194="Passed",O194="Failed"),OR(T194="Passed",T194="Not Applicable"),OR(U194="Passed",U194="Not Applicable"),OR(T194="Passed",U194="Passed"),Y194="Reconciled",Z194="Reconciled",IF(Q194&lt;&gt;"",R194="Fixed",TRUE)),"Verified",IF(OR(T194="Failed",U194="Failed"),"Retest Failed",IF(OR(N194="Failed",O194="Failed",Q194&lt;&gt;""),"Defect Found",IF(AND(OR(N194="Passed",N194="Not Applicable"),OR(O194="Passed",O194="Not Applicable"),OR(N194="Passed",O194="Passed")),"Initial Pass","Not Complete"))))</x:f>
        <x:v>Initial Pass</x:v>
      </x:c>
      <x:c r="X194" s="58" t="str">
        <x:v>Recent list does not show date/meal type and may contain visually similar variants.
RUN-0419: Android build20 ten-item deduplication,all-field/error-clearing prefill,edited macro and distinct-save preservation pass. Both iOS phases remain incomplete.
RUN-0421 is the first completed iOS NUT041 run, recorded as Initial rather than backfilling earlier history. Build20 native recent-food prefill clears three errors,copies200ml/P20/C60/F10,retains ten unique cards after an identical duplicate,and supports renamedC61/414kcal copy without altering the410kcal original. Two13August rows total824/P40/C121/F20,pending0. Separate iOS Retest remains Not Run.</x:v>
      </x:c>
      <x:c r="Y194" s="58" t="str">
        <x:f>IF(OR(N194="Not Run",O194="Not Run"),"Pending",IF(AND(OR(N194="Not Applicable",COUNTIFS('Test Runs'!$B$5:$B$2004,A194,'Test Runs'!$C$5:$C$2004,"Initial",'Test Runs'!$D$5:$D$2004,"iOS",'Test Runs'!$I$5:$I$2004,N194)&gt;0),OR(O194="Not Applicable",COUNTIFS('Test Runs'!$B$5:$B$2004,A194,'Test Runs'!$C$5:$C$2004,"Initial",'Test Runs'!$D$5:$D$2004,"Android",'Test Runs'!$I$5:$I$2004,O194)&gt;0)),"Reconciled","Mismatch"))</x:f>
        <x:v>Reconciled</x:v>
      </x:c>
      <x:c r="Z194" s="58" t="str">
        <x:f>IF(OR(T194="Not Run",U194="Not Run"),"Pending",IF(AND(OR(T194="Not Applicable",COUNTIFS('Test Runs'!$B$5:$B$2004,A194,'Test Runs'!$C$5:$C$2004,"Retest",'Test Runs'!$D$5:$D$2004,"iOS",'Test Runs'!$I$5:$I$2004,T194)&gt;0),OR(U194="Not Applicable",COUNTIFS('Test Runs'!$B$5:$B$2004,A194,'Test Runs'!$C$5:$C$2004,"Retest",'Test Runs'!$D$5:$D$2004,"Android",'Test Runs'!$I$5:$I$2004,U194)&gt;0)),"Reconciled","Mismatch"))</x:f>
        <x:v>Pending</x:v>
      </x:c>
    </x:row>
    <x:row r="195" ht="321.6000061035156" hidden="0" customHeight="1">
      <x:c r="A195" s="58" t="str">
        <x:v>NUT-042</x:v>
      </x:c>
      <x:c r="B195" s="58" t="str">
        <x:v>Custom food - local/offline save</x:v>
      </x:c>
      <x:c r="C195" s="58" t="str">
        <x:v>Custom Add while offline</x:v>
      </x:c>
      <x:c r="D195" s="58" t="str">
        <x:v>As an offline user, I want custom food to save immediately so that connection loss does not block logging.</x:v>
      </x:c>
      <x:c r="E195" s="58" t="str">
        <x:v>Creation is entirely local, redirects to dated Today, flashes Custom food added, and SyncedModel observer queues it; later sync validates/pushes the canonical meal entry.</x:v>
      </x:c>
      <x:c r="F195" s="58" t="str">
        <x:v>Both</x:v>
      </x:c>
      <x:c r="G195" s="58" t="str">
        <x:v>Authenticated account; airplane mode.</x:v>
      </x:c>
      <x:c r="H195" s="58" t="str">
        <x:v>Go offline, add custom meal, restart, reconnect, and verify it remains and syncs.</x:v>
      </x:c>
      <x:c r="I195" s="58" t="str">
        <x:v>Repeat on Android.</x:v>
      </x:c>
      <x:c r="J195" s="58" t="str">
        <x:v>Local creation MealEntryTest.php:8; sync contract /Users/mason/Sites/buff-server/tests/Feature/SyncTest.php:9,209</x:v>
      </x:c>
      <x:c r="K195" s="58" t="str">
        <x:v>/Users/mason/Sites/Buff/app/Http/Controllers/MealController.php:134-152; /Users/mason/Sites/Buff/config/buff.php:40-43; /Users/mason/Sites/buff-server/config/buff.php:73-86</x:v>
      </x:c>
      <x:c r="L195" s="58" t="str">
        <x:v>Mapped</x:v>
      </x:c>
      <x:c r="M195" s="58" t="str">
        <x:v>Ready</x:v>
      </x:c>
      <x:c r="N195" s="58" t="str">
        <x:v>Blocked</x:v>
      </x:c>
      <x:c r="O195" s="58" t="str">
        <x:v>Passed</x:v>
      </x:c>
      <x:c r="P195" s="58" t="str">
        <x:v>Android: /Users/mason/.codex/visualizations/2026/09/01/01a05def-1c0d-76d1-abc6-07c63a443582/emulator-runs/initial/android/NUT-042-offline-custom-before-save.png — With Android airplane mode active and the No internet connection banner visible, a Snacks custom meal at 100g/P1/C2/F3 previewed 39 kcal, saved locally, redirected to 2026-09-02, updated totals, survived force-stop/relaunch while still offline, and remained after reconnect for queued sync.
iOS: /Users/mason/.codex/visualizations/2026/09/01/01a05def-1c0d-76d1-abc6-07c63a443582/inventory/ios-offline-b20-environment-observation.json
/Users/mason/.codex/visualizations/2026/09/01/01a05def-1c0d-76d1-abc6-07c63a443582/inventory/ios-offline-b20-simctl-help.txt
/Users/mason/.codex/visualizations/2026/09/01/01a05def-1c0d-76d1-abc6-07c63a443582/inventory/ios-offline-b20-simctl-ui-help.txt — RUN-0422:iOS offline-save Initial Blocked at environment setup. This iOS26.5 simulator exposes no airplane/wifi/cellular controls or Network Link Conditioner in native Settings/Developer. simctl and Features menu likewise lack device-scoped network isolation. No host networking changed and no offline meal submitted. Requires a supported isolated network-loss setup; keep iOS Retest Not Run. Android RUN0420 remains Passed.</x:v>
      </x:c>
      <x:c r="Q195" s="58" t="str"/>
      <x:c r="R195" s="58" t="str">
        <x:v>Not Needed</x:v>
      </x:c>
      <x:c r="S195" s="58" t="str"/>
      <x:c r="T195" s="58" t="str">
        <x:v>Not Run</x:v>
      </x:c>
      <x:c r="U195" s="58" t="str">
        <x:v>Passed</x:v>
      </x:c>
      <x:c r="V195" s="58" t="str">
        <x:v>RUN-0420 — Android.
Full actual results, gaps and evidence are retained in Test Runs.
RUN-0422 — iOS.
Full actual results, gaps and evidence are retained in Test Runs.</x:v>
      </x:c>
      <x:c r="W195" s="58" t="str">
        <x:f>IF(AND(OR(N195="Passed",N195="Failed",N195="Not Applicable"),OR(O195="Passed",O195="Failed",O195="Not Applicable"),OR(N195="Passed",N195="Failed",O195="Passed",O195="Failed"),OR(T195="Passed",T195="Not Applicable"),OR(U195="Passed",U195="Not Applicable"),OR(T195="Passed",U195="Passed"),Y195="Reconciled",Z195="Reconciled",IF(Q195&lt;&gt;"",R195="Fixed",TRUE)),"Verified",IF(OR(T195="Failed",U195="Failed"),"Retest Failed",IF(OR(N195="Failed",O195="Failed",Q195&lt;&gt;""),"Defect Found",IF(AND(OR(N195="Passed",N195="Not Applicable"),OR(O195="Passed",O195="Not Applicable"),OR(N195="Passed",O195="Passed")),"Initial Pass","Not Complete"))))</x:f>
        <x:v>Not Complete</x:v>
      </x:c>
      <x:c r="X195" s="58" t="str">
        <x:v>No per-record pending/synced indicator is shown; only the global offline banner communicates unsynced state.
RUN-0420: build20 Android offline custom save Passed. Airplane mode/no default network and native offline banner confirmed. QA b20 Android offline saved once on14August,Snacks100g/P1/C2/F3,39kcal. Exact UI summary/UUID survived QA-only cold restart offline,pending1. Reconnection automatically synced pending0,cleared error,and preserved complete summary. Network restored; no protected Android database access.
RUN-0422:iOS offline-save Initial Blocked at environment setup. This iOS26.5 simulator exposes no airplane/wifi/cellular controls or Network Link Conditioner in native Settings/Developer. simctl and Features menu likewise lack device-scoped network isolation. No host networking changed and no offline meal submitted. Requires a supported isolated network-loss setup; keep iOS Retest Not Run. Android RUN0420 remains Passed.</x:v>
      </x:c>
      <x:c r="Y195" s="58" t="str">
        <x:f>IF(OR(N195="Not Run",O195="Not Run"),"Pending",IF(AND(OR(N195="Not Applicable",COUNTIFS('Test Runs'!$B$5:$B$2004,A195,'Test Runs'!$C$5:$C$2004,"Initial",'Test Runs'!$D$5:$D$2004,"iOS",'Test Runs'!$I$5:$I$2004,N195)&gt;0),OR(O195="Not Applicable",COUNTIFS('Test Runs'!$B$5:$B$2004,A195,'Test Runs'!$C$5:$C$2004,"Initial",'Test Runs'!$D$5:$D$2004,"Android",'Test Runs'!$I$5:$I$2004,O195)&gt;0)),"Reconciled","Mismatch"))</x:f>
        <x:v>Reconciled</x:v>
      </x:c>
      <x:c r="Z195" s="58" t="str">
        <x:f>IF(OR(T195="Not Run",U195="Not Run"),"Pending",IF(AND(OR(T195="Not Applicable",COUNTIFS('Test Runs'!$B$5:$B$2004,A195,'Test Runs'!$C$5:$C$2004,"Retest",'Test Runs'!$D$5:$D$2004,"iOS",'Test Runs'!$I$5:$I$2004,T195)&gt;0),OR(U195="Not Applicable",COUNTIFS('Test Runs'!$B$5:$B$2004,A195,'Test Runs'!$C$5:$C$2004,"Retest",'Test Runs'!$D$5:$D$2004,"Android",'Test Runs'!$I$5:$I$2004,U195)&gt;0)),"Reconciled","Mismatch"))</x:f>
        <x:v>Pending</x:v>
      </x:c>
    </x:row>
    <x:row r="196" ht="400.79998779296875" hidden="0" customHeight="1">
      <x:c r="A196" s="58" t="str">
        <x:v>NUT-043</x:v>
      </x:c>
      <x:c r="B196" s="58" t="str">
        <x:v>Recipes - empty/list state</x:v>
      </x:c>
      <x:c r="C196" s="58" t="str">
        <x:v>Add &gt; Recipe or Add food &gt; Recipes</x:v>
      </x:c>
      <x:c r="D196" s="58" t="str">
        <x:v>As a user, I want saved recipes in one place so that I can log multi-ingredient meals quickly.</x:v>
      </x:c>
      <x:c r="E196" s="58" t="str">
        <x:v>Recipes mode shows All foods/Recipes tabs. Empty state has Create your first recipe; otherwise newest recipes show name, total kcal, ingredient count, log, Edit and contextually named Delete controls plus New recipe. The ingredient count reads 1 ingredient for one item and N ingredients otherwise; updating a recipe preserves the correct label.</x:v>
      </x:c>
      <x:c r="F196" s="58" t="str">
        <x:v>Both</x:v>
      </x:c>
      <x:c r="G196" s="58" t="str">
        <x:v>No recipes, then 2 recipes.</x:v>
      </x:c>
      <x:c r="H196" s="58" t="str">
        <x:v>Verify empty copy/action; create data and verify list/order/tabs.</x:v>
      </x:c>
      <x:c r="I196" s="58" t="str">
        <x:v>Repeat on Android.</x:v>
      </x:c>
      <x:c r="J196" s="58" t="str">
        <x:v>/Users/mason/Sites/Buff/tests/Feature/RecipeTest.php:186; /Users/mason/Sites/Buff/tests/recipeDesign.test.ts:15,21</x:v>
      </x:c>
      <x:c r="K196" s="58" t="str">
        <x:v>/Users/mason/Sites/Buff/app/Http/Controllers/MealController.php:48-52; /Users/mason/Sites/Buff/resources/js/Pages/Add.vue:913-934,1004-1010; /Users/mason/Sites/Buff/resources/js/Components/RecipeMode.vue:382-413</x:v>
      </x:c>
      <x:c r="L196" s="58" t="str">
        <x:v>Mapped</x:v>
      </x:c>
      <x:c r="M196" s="58" t="str">
        <x:v>Ready</x:v>
      </x:c>
      <x:c r="N196" s="58" t="str">
        <x:v>Not Run</x:v>
      </x:c>
      <x:c r="O196" s="58" t="str">
        <x:v>Passed</x:v>
      </x:c>
      <x:c r="P196" s="58" t="str">
        <x:v>Android: /Users/mason/.codex/visualizations/2026/09/01/01a05def-1c0d-76d1-abc6-07c63a443582/emulator-runs/initial/android/NUT-047-nested-errors-hidden.png — The no-recipe state showed the expected Save meals you repeat copy and one Create your first recipe action, which opened New recipe.
Android: /Users/mason/.codex/visualizations/2026/09/01/01a05def-1c0d-76d1-abc6-07c63a443582/emulator-runs/initial/android/NUT-044-new-recipe-empty.png
/Users/mason/.codex/visualizations/2026/09/01/01a05def-1c0d-76d1-abc6-07c63a443582/emulator-runs/initial/android/NUT-053-recipe-list-after-delete.png — The empty state exposed one create action. After creating two recipes, the list showed Recipes selected, newest-first rows with names, batch calories, ingredient counts, log targets, delete controls, and New recipe.</x:v>
      </x:c>
      <x:c r="Q196" s="58" t="str">
        <x:v>DEF-087</x:v>
      </x:c>
      <x:c r="R196" s="58" t="str">
        <x:v>Fixed</x:v>
      </x:c>
      <x:c r="S196" s="58" t="str"/>
      <x:c r="T196" s="58" t="str">
        <x:v>Blocked</x:v>
      </x:c>
      <x:c r="U196" s="58" t="str">
        <x:v>Blocked</x:v>
      </x:c>
      <x:c r="V196" s="58" t="str">
        <x:v>Android: /Users/mason/.codex/visualizations/2026/09/01/01a05def-1c0d-76d1-abc6-07c63a443582/emulator-runs/retest/android/NUT-043-recipe-empty-current.json
/Users/mason/.codex/visualizations/2026/09/01/01a05def-1c0d-76d1-abc6-07c63a443582/emulator-runs/retest/android/NUT-043-057-two-recipes-offline.json — Empty Recipes showed one Create your first recipe action. After two saves, newest B appeared above A with calorie totals, ingredient counts, log targets and individually named Edit/Delete actions. Both one-item rows incorrectly said 1 ingredients.
iOS: /Users/mason/.codex/visualizations/2026/09/01/01a05def-1c0d-76d1-abc6-07c63a443582/emulator-runs/retest/ios/NUT-043-recipe-empty-before-sync.png
/Users/mason/.codex/visualizations/2026/09/01/01a05def-1c0d-76d1-abc6-07c63a443582/emulator-runs/retest/ios/NUT-043-057-recipes-received.png
/Users/mason/.codex/visualizations/2026/09/01/01a05def-1c0d-76d1-abc6-07c63a443582/emulator-runs/retest/ios/NUT-043-057-batch008-observations.json — The empty Recipes page showed All foods / Recipes tabs, Save meals you repeat, explanatory text and Create your first recipe. After normal resume sync, the same open page displayed recipe B followed by A, with 0 and 165 kcal, New recipe, log targets and contextual Edit / Delete controls. Both one-ingredient rows incorrectly said 1 ingredients.
RUN-0399 — Android.
RUN-0402 — iOS.
Full actual results, gaps and evidence are retained in Test Runs.</x:v>
      </x:c>
      <x:c r="W196" s="58" t="str">
        <x:f>IF(AND(OR(N196="Passed",N196="Failed",N196="Not Applicable"),OR(O196="Passed",O196="Failed",O196="Not Applicable"),OR(N196="Passed",N196="Failed",O196="Passed",O196="Failed"),OR(T196="Passed",T196="Not Applicable"),OR(U196="Passed",U196="Not Applicable"),OR(T196="Passed",U196="Passed"),Y196="Reconciled",Z196="Reconciled",IF(Q196&lt;&gt;"",R196="Fixed",TRUE)),"Verified",IF(OR(T196="Failed",U196="Failed"),"Retest Failed",IF(OR(N196="Failed",O196="Failed",Q196&lt;&gt;""),"Defect Found",IF(AND(OR(N196="Passed",N196="Not Applicable"),OR(O196="Passed",O196="Not Applicable"),OR(N196="Passed",O196="Passed")),"Initial Pass","Not Complete"))))</x:f>
        <x:v>Defect Found</x:v>
      </x:c>
      <x:c r="X196" s="58" t="str">
        <x:v>No known code-level defect.
Build16 update: original DEF-087 is now installed and the one/two/one ingredient-count sequence is verified after saved edits. See new platform runs for exact evidence. Fresh empty-library coverage remains incomplete; no existing fixtures were wiped.</x:v>
      </x:c>
      <x:c r="Y196" s="58" t="str">
        <x:f>IF(OR(N196="Not Run",O196="Not Run"),"Pending",IF(AND(OR(N196="Not Applicable",COUNTIFS('Test Runs'!$B$5:$B$2004,A196,'Test Runs'!$C$5:$C$2004,"Initial",'Test Runs'!$D$5:$D$2004,"iOS",'Test Runs'!$I$5:$I$2004,N196)&gt;0),OR(O196="Not Applicable",COUNTIFS('Test Runs'!$B$5:$B$2004,A196,'Test Runs'!$C$5:$C$2004,"Initial",'Test Runs'!$D$5:$D$2004,"Android",'Test Runs'!$I$5:$I$2004,O196)&gt;0)),"Reconciled","Mismatch"))</x:f>
        <x:v>Pending</x:v>
      </x:c>
      <x:c r="Z196" s="58" t="str">
        <x:f>IF(OR(T196="Not Run",U196="Not Run"),"Pending",IF(AND(OR(T196="Not Applicable",COUNTIFS('Test Runs'!$B$5:$B$2004,A196,'Test Runs'!$C$5:$C$2004,"Retest",'Test Runs'!$D$5:$D$2004,"iOS",'Test Runs'!$I$5:$I$2004,T196)&gt;0),OR(U196="Not Applicable",COUNTIFS('Test Runs'!$B$5:$B$2004,A196,'Test Runs'!$C$5:$C$2004,"Retest",'Test Runs'!$D$5:$D$2004,"Android",'Test Runs'!$I$5:$I$2004,U196)&gt;0)),"Reconciled","Mismatch"))</x:f>
        <x:v>Reconciled</x:v>
      </x:c>
    </x:row>
    <x:row r="197" ht="321.6000061035156" hidden="0" customHeight="1">
      <x:c r="A197" s="58" t="str">
        <x:v>NUT-044</x:v>
      </x:c>
      <x:c r="B197" s="58" t="str">
        <x:v>Recipes - start/cancel creation</x:v>
      </x:c>
      <x:c r="C197" s="58" t="str">
        <x:v>Recipes &gt; New recipe</x:v>
      </x:c>
      <x:c r="D197" s="58" t="str">
        <x:v>As a user, I want to enter and leave recipe creation without saving so that experimentation is safe.</x:v>
      </x:c>
      <x:c r="E197" s="58" t="str">
        <x:v>New recipe clears abandoned form values/errors, custom ingredient fields/errors, search results/errors and pending debounce/request state. Cancel returns to the list without saving and clears that editor state; empty ingredients disable Save.</x:v>
      </x:c>
      <x:c r="F197" s="58" t="str">
        <x:v>Both</x:v>
      </x:c>
      <x:c r="G197" s="58" t="str">
        <x:v>Existing recipe plus unsaved draft.</x:v>
      </x:c>
      <x:c r="H197" s="58" t="str">
        <x:v>Enter a draft, trigger form/search/custom-item errors and leave search pending; Cancel and reopen. Verify all abandoned values/errors/results are cleared and a late response cannot repopulate the editor.</x:v>
      </x:c>
      <x:c r="I197" s="58" t="str">
        <x:v>Repeat on Android.</x:v>
      </x:c>
      <x:c r="J197" s="58" t="str">
        <x:v>No direct interaction test</x:v>
      </x:c>
      <x:c r="K197" s="58" t="str">
        <x:v>/Users/mason/Sites/Buff/resources/js/Components/RecipeMode.vue:120-142,258-359</x:v>
      </x:c>
      <x:c r="L197" s="58" t="str">
        <x:v>Mapped</x:v>
      </x:c>
      <x:c r="M197" s="58" t="str">
        <x:v>Ready</x:v>
      </x:c>
      <x:c r="N197" s="58" t="str">
        <x:v>Not Run</x:v>
      </x:c>
      <x:c r="O197" s="58" t="str">
        <x:v>Failed</x:v>
      </x:c>
      <x:c r="P197" s="58" t="str">
        <x:v>Android: /Users/mason/.codex/visualizations/2026/09/01/01a05def-1c0d-76d1-abc6-07c63a443582/emulator-runs/initial/android/NUT-044-new-recipe-empty.png
/Users/mason/.codex/visualizations/2026/09/01/01a05def-1c0d-76d1-abc6-07c63a443582/emulator-runs/initial/android/NUT-044-draft-before-cancel.png
/Users/mason/.codex/visualizations/2026/09/01/01a05def-1c0d-76d1-abc6-07c63a443582/emulator-runs/initial/android/NUT-044-cancel-reopen-stale-fields.png — The empty form correctly disabled Save, and Cancel returned to the list without a recipe request. Reopening reset the recipe name, servings, and item list, but retained the one-character search and unadded custom ingredient values, violating the cleared-state expectation.
Android: /Users/mason/.codex/visualizations/2026/09/01/01a05def-1c0d-76d1-abc6-07c63a443582/emulator-runs/initial/android/NUT-044-draft-before-cancel.png
/Users/mason/.codex/visualizations/2026/09/01/01a05def-1c0d-76d1-abc6-07c63a443582/emulator-runs/initial/android/NUT-044-cancel-reopen-stale-fields.png — Cancel returned without a save and top-level fields/items reset, but an unadded custom/search draft survived reopening. Save was disabled with no items.</x:v>
      </x:c>
      <x:c r="Q197" s="58" t="str">
        <x:v>DEF-007</x:v>
      </x:c>
      <x:c r="R197" s="58" t="str">
        <x:v>Fixed</x:v>
      </x:c>
      <x:c r="S197" s="58" t="str"/>
      <x:c r="T197" s="58" t="str">
        <x:v>Blocked</x:v>
      </x:c>
      <x:c r="U197" s="58" t="str">
        <x:v>Blocked</x:v>
      </x:c>
      <x:c r="V197" s="58" t="str">
        <x:v>Android: /Users/mason/.codex/visualizations/2026/09/01/01a05def-1c0d-76d1-abc6-07c63a443582/emulator-runs/retest/android/NUT-044-before-cancel.json
/Users/mason/.codex/visualizations/2026/09/01/01a05def-1c0d-76d1-abc6-07c63a443582/emulator-runs/retest/android/NUT-044-cancel-no-recipe.json
/Users/mason/.codex/visualizations/2026/09/01/01a05def-1c0d-76d1-abc6-07c63a443582/emulator-runs/retest/android/NUT-044-reopen-cleared.json
/Users/mason/.codex/visualizations/2026/09/01/01a05def-1c0d-76d1-abc6-07c63a443582/emulator-runs/retest/android/NUT-044-reopen-cleared.png — Before Cancel the unsaved draft had name QA discarded draft, servings 2, one appended ingredient, search a and custom name Unadded QA ingredient. Cancel returned to the empty recipe list without any recipe request. Reopening showed blank recipe/custom names and search, no ingredients, servings 1, quantity 100, all macros 0, no alerts and Save disabled. The original stale auxiliary field defect DEF-007 is corrected in this observed path; the malformed ingredient from NUT-047 was never saved.
RUN-0388 — Android.
RUN-0391 — iOS.
Full actual results, gaps and evidence are retained in Test Runs.</x:v>
      </x:c>
      <x:c r="W197" s="58" t="str">
        <x:f>IF(AND(OR(N197="Passed",N197="Failed",N197="Not Applicable"),OR(O197="Passed",O197="Failed",O197="Not Applicable"),OR(N197="Passed",N197="Failed",O197="Passed",O197="Failed"),OR(T197="Passed",T197="Not Applicable"),OR(U197="Passed",U197="Not Applicable"),OR(T197="Passed",U197="Passed"),Y197="Reconciled",Z197="Reconciled",IF(Q197&lt;&gt;"",R197="Fixed",TRUE)),"Verified",IF(OR(T197="Failed",U197="Failed"),"Retest Failed",IF(OR(N197="Failed",O197="Failed",Q197&lt;&gt;""),"Defect Found",IF(AND(OR(N197="Passed",N197="Not Applicable"),OR(O197="Passed",O197="Not Applicable"),OR(N197="Passed",O197="Passed")),"Initial Pass","Not Complete"))))</x:f>
        <x:v>Defect Found</x:v>
      </x:c>
      <x:c r="X197" s="58" t="str">
        <x:v>Unsaved input is discarded immediately without confirmation.
Build16 recipe-editor checkpoint: tested subsets passed on both emulators, but the latest aggregate retest is Blocked for incomplete coverage. See current Test Runs for exact cases and gaps. No new recipe was saved or existing saved recipe updated in this batch.</x:v>
      </x:c>
      <x:c r="Y197" s="58" t="str">
        <x:f>IF(OR(N197="Not Run",O197="Not Run"),"Pending",IF(AND(OR(N197="Not Applicable",COUNTIFS('Test Runs'!$B$5:$B$2004,A197,'Test Runs'!$C$5:$C$2004,"Initial",'Test Runs'!$D$5:$D$2004,"iOS",'Test Runs'!$I$5:$I$2004,N197)&gt;0),OR(O197="Not Applicable",COUNTIFS('Test Runs'!$B$5:$B$2004,A197,'Test Runs'!$C$5:$C$2004,"Initial",'Test Runs'!$D$5:$D$2004,"Android",'Test Runs'!$I$5:$I$2004,O197)&gt;0)),"Reconciled","Mismatch"))</x:f>
        <x:v>Pending</x:v>
      </x:c>
      <x:c r="Z197" s="58" t="str">
        <x:f>IF(OR(T197="Not Run",U197="Not Run"),"Pending",IF(AND(OR(T197="Not Applicable",COUNTIFS('Test Runs'!$B$5:$B$2004,A197,'Test Runs'!$C$5:$C$2004,"Retest",'Test Runs'!$D$5:$D$2004,"iOS",'Test Runs'!$I$5:$I$2004,T197)&gt;0),OR(U197="Not Applicable",COUNTIFS('Test Runs'!$B$5:$B$2004,A197,'Test Runs'!$C$5:$C$2004,"Retest",'Test Runs'!$D$5:$D$2004,"Android",'Test Runs'!$I$5:$I$2004,U197)&gt;0)),"Reconciled","Mismatch"))</x:f>
        <x:v>Reconciled</x:v>
      </x:c>
    </x:row>
    <x:row r="198" ht="836.4000244140625" hidden="0" customHeight="1">
      <x:c r="A198" s="58" t="str">
        <x:v>NUT-045</x:v>
      </x:c>
      <x:c r="B198" s="58" t="str">
        <x:v>Recipes - product ingredient search</x:v>
      </x:c>
      <x:c r="C198" s="58" t="str">
        <x:v>New recipe &gt; Search foods</x:v>
      </x:c>
      <x:c r="D198" s="58" t="str">
        <x:v>As a user, I want to find catalogue foods while building a recipe so that ingredient nutrition is reused.</x:v>
      </x:c>
      <x:c r="E198" s="58" t="str">
        <x:v>Recipe product search trims input, requires 2+ characters and debounces 250ms. Query changes immediately invalidate older requests; previous_meal results are filtered out. Failures show a retryable search alert, and one character shows the search-length hint.</x:v>
      </x:c>
      <x:c r="F198" s="58" t="str">
        <x:v>Both</x:v>
      </x:c>
      <x:c r="G198" s="58" t="str">
        <x:v>Remote and local product; rapid typing; network error/rate limit.</x:v>
      </x:c>
      <x:c r="H198" s="58" t="str">
        <x:v>Type a long query quickly, delay old responses and verify debounce/stale protection. Select a product; force failure, verify Retry and recovery, then cancel/reopen and confirm no late results survive.</x:v>
      </x:c>
      <x:c r="I198" s="58" t="str">
        <x:v>Repeat Android with native query/locale serialization, keyboard search and request failure.</x:v>
      </x:c>
      <x:c r="J198" s="58" t="str">
        <x:v>foodRequests.test.ts executes actual shared Input, queue/retry/search and product-selection functions, plus compiled short-query hint;44 focused tests pass.</x:v>
      </x:c>
      <x:c r="K198" s="58" t="str">
        <x:v>/Users/mason/Sites/Buff/resources/js/Components/RecipeMode.vue:179-206,303-326; /Users/mason/Sites/Buff/app/Http/Controllers/MealController.php:74-114; /Users/mason/Sites/buff-server/app/Providers/AppServiceProvider.php:41-43</x:v>
      </x:c>
      <x:c r="L198" s="58" t="str">
        <x:v>Mapped</x:v>
      </x:c>
      <x:c r="M198" s="58" t="str">
        <x:v>Ready</x:v>
      </x:c>
      <x:c r="N198" s="58" t="str">
        <x:v>Not Run</x:v>
      </x:c>
      <x:c r="O198" s="58" t="str">
        <x:v>Failed</x:v>
      </x:c>
      <x:c r="P198" s="58" t="str">
        <x:v>Android: /Users/mason/.codex/visualizations/2026/09/01/01a05def-1c0d-76d1-abc6-07c63a443582/emulator-runs/initial/android/NUT-044-draft-before-cancel.png — Typing Thai peanut issued one request per character, exceeded the 10-per-minute route budget, and left an ordinary empty result with no error or retry. A later direct request returned the expected mixed payload.</x:v>
      </x:c>
      <x:c r="Q198" s="58" t="str">
        <x:v>DEF-031
DEF-100
DEF-101</x:v>
      </x:c>
      <x:c r="R198" s="58" t="str">
        <x:v>Fixed</x:v>
      </x:c>
      <x:c r="S198" s="58" t="str"/>
      <x:c r="T198" s="58" t="str">
        <x:v>Blocked</x:v>
      </x:c>
      <x:c r="U198" s="58" t="str">
        <x:v>Blocked</x:v>
      </x:c>
      <x:c r="V198" s="58" t="str">
        <x:v>RUN-0426 — Android.
Full actual results, gaps and evidence are retained in Test Runs.
RUN-0427 — Android.
RUN-0428 — iOS.
Full actual results, gaps and evidence are retained in Test Runs.
RUN-0431 — Android.
RUN-0432 — iOS.
Full actual results, gaps and evidence are retained in Test Runs.
RUN-0433 — Android.
RUN-0434 — iOS.
Full actual results, gaps and evidence are retained in Test Runs.
RUN-0437 — Android.
RUN-0438 — iOS.
Full actual results, gaps and evidence are retained in Test Runs.</x:v>
      </x:c>
      <x:c r="W198" s="58" t="str">
        <x:f>IF(AND(OR(N198="Passed",N198="Failed",N198="Not Applicable"),OR(O198="Passed",O198="Failed",O198="Not Applicable"),OR(N198="Passed",N198="Failed",O198="Passed",O198="Failed"),OR(T198="Passed",T198="Not Applicable"),OR(U198="Passed",U198="Not Applicable"),OR(T198="Passed",U198="Passed"),Y198="Reconciled",Z198="Reconciled",IF(Q198&lt;&gt;"",R198="Fixed",TRUE)),"Verified",IF(OR(T198="Failed",U198="Failed"),"Retest Failed",IF(OR(N198="Failed",O198="Failed",Q198&lt;&gt;""),"Defect Found",IF(AND(OR(N198="Passed",N198="Not Applicable"),OR(O198="Passed",O198="Not Applicable"),OR(N198="Passed",O198="Passed")),"Initial Pass","Not Complete"))))</x:f>
        <x:v>Defect Found</x:v>
      </x:c>
      <x:c r="X198" s="58" t="str">
        <x:v>Likely defect: no debounce means normal typing can exceed the server's 10 searches/minute per-user route limit; 429 is then silently shown as no results.
RUN-0426: Android build 21 native input events show visible Thai peanut but request q=Thai+peanu, and Ab sends no request. The shared Input forwards caller input handlers before updateValue publishes the current model. Both food search consumers read that model. Source fix moves @input before v-bind attrs once in Input.vue; actual compiled-template callback test failed before fix and now passes for text, clearing, zero and decimal inputs. 38 focused tests, TypeScript and diff check pass. Native build 22 retests pending.
RUN-0427–0430: Build22 shared Input ordering passes native recipe and All foods search on both platforms. Android Ab sends q=Ab in both consumers; rapid Thai peanut sends one complete query 250.4ms after final input. iOS two-character All foods returns products and 121-character queries in both screens reach the 120-character server boundary. Both clear one-character/empty states correctly. Recipe error/Retry/recovery passes visible checks; iOS product selection clears search and Cancel/reopen resets the draft. Deliberately delayed stale responses and pending cancellation races remain unverified. Initial iOS cells are preserved; aggregate retests remain Blocked.
RUN-0431–0432: DEF101 reproduced on native22 Android and iOS. Selecting an existing product while a replacement query is queued clears the input but does not cancel the timer or invalidate its response; late products reappear beneath the empty search. Android selection precedes the request by23.3ms, response200 after1840ms. iOS milk + chocolate then product selection reproduces the same empty-query results. No recipe saved. Source now calls existing resetFoodSearch() from addProduct; three actual-function tests fail before and pass after for queued/success/failure races.41 focused tests, TypeScript and diff check pass; native23 retests pending.
RUN-0433–0434: DEF101 fixed and native23 verified on both platforms. Exact queued selection reproduction no longer repopulates results. Android selected230.1ms after final input and canceled the pending timer without a replacement request. A second selection at283525ms happened during the request started283133.3ms; its200 response completed945.1ms after start and was ignored. Search stays empty with no loading/error. Each tap appends one100g ingredient. iOS milk + chocolate then immediate selection stays cleared after settling. Both draft tests were cancelled, not saved. Full NUT045 remaining stale-query/cancel and timing cases remain Blocked.
RUN-0435–0438:44 focused tests and TypeScript pass. New tests execute actual queue/retry/search functions with real Vue refs and controlled timers/responses: one request250ms after final trimmed input, old success ignored before next debounce, late failure ignored after clearing, one-character no request, one Retry request, and recipe previous_meal filtering. Compiled short-query hint tested for empty/space/one/two chars. Native23 All foods clear-during-Searching passes both; Android traces prove late completion. Recipe pending Cancel passes Android; iOS clear passes but pending Cancel timing remains unproven. DEF014/015/031 are Fixed at narrow defect scope; full stories stay Blocked for stated native-only matrix gaps.</x:v>
      </x:c>
      <x:c r="Y198" s="58" t="str">
        <x:f>IF(OR(N198="Not Run",O198="Not Run"),"Pending",IF(AND(OR(N198="Not Applicable",COUNTIFS('Test Runs'!$B$5:$B$2004,A198,'Test Runs'!$C$5:$C$2004,"Initial",'Test Runs'!$D$5:$D$2004,"iOS",'Test Runs'!$I$5:$I$2004,N198)&gt;0),OR(O198="Not Applicable",COUNTIFS('Test Runs'!$B$5:$B$2004,A198,'Test Runs'!$C$5:$C$2004,"Initial",'Test Runs'!$D$5:$D$2004,"Android",'Test Runs'!$I$5:$I$2004,O198)&gt;0)),"Reconciled","Mismatch"))</x:f>
        <x:v>Pending</x:v>
      </x:c>
      <x:c r="Z198" s="58" t="str">
        <x:f>IF(OR(T198="Not Run",U198="Not Run"),"Pending",IF(AND(OR(T198="Not Applicable",COUNTIFS('Test Runs'!$B$5:$B$2004,A198,'Test Runs'!$C$5:$C$2004,"Retest",'Test Runs'!$D$5:$D$2004,"iOS",'Test Runs'!$I$5:$I$2004,T198)&gt;0),OR(U198="Not Applicable",COUNTIFS('Test Runs'!$B$5:$B$2004,A198,'Test Runs'!$C$5:$C$2004,"Retest",'Test Runs'!$D$5:$D$2004,"Android",'Test Runs'!$I$5:$I$2004,U198)&gt;0)),"Reconciled","Mismatch"))</x:f>
        <x:v>Reconciled</x:v>
      </x:c>
    </x:row>
    <x:row r="199" ht="120" customHeight="1">
      <x:c r="A199" s="58" t="str">
        <x:v>NUT-046</x:v>
      </x:c>
      <x:c r="B199" s="58" t="str">
        <x:v>Recipes - add product ingredient</x:v>
      </x:c>
      <x:c r="C199" s="58" t="str">
        <x:v>Tap a recipe product search result</x:v>
      </x:c>
      <x:c r="D199" s="58" t="str">
        <x:v>As a user, I want a selected product added with canonical unit/macros so that recipe totals are reliable.</x:v>
      </x:c>
      <x:c r="E199" s="58" t="str">
        <x:v>Product ingredient defaults to 100g or 100ml and frontend calculates values; on save server reloads the product, requires its nutrition unit, and recalculates macros, ignoring tampered product macros.</x:v>
      </x:c>
      <x:c r="F199" s="58" t="str">
        <x:v>Both</x:v>
      </x:c>
      <x:c r="G199" s="58" t="str">
        <x:v>Solid and liquid products.</x:v>
      </x:c>
      <x:c r="H199" s="58" t="str">
        <x:v>Add each; verify 100-unit row and total; attempt unit mismatch via test hook.</x:v>
      </x:c>
      <x:c r="I199" s="58" t="str">
        <x:v>Repeat on Android.</x:v>
      </x:c>
      <x:c r="J199" s="58" t="str">
        <x:v>/Users/mason/Sites/Buff/tests/Feature/RecipeTest.php:83; /Users/mason/Sites/Buff/tests/Unit/NutritionCalculatorTest.php:33</x:v>
      </x:c>
      <x:c r="K199" s="58" t="str">
        <x:v>/Users/mason/Sites/Buff/resources/js/Components/RecipeMode.vue:101-110,162-173; /Users/mason/Sites/Buff/app/Http/Controllers/RecipeController.php:58-86</x:v>
      </x:c>
      <x:c r="L199" s="58" t="str">
        <x:v>Mapped</x:v>
      </x:c>
      <x:c r="M199" s="58" t="str">
        <x:v>Ready</x:v>
      </x:c>
      <x:c r="N199" s="58" t="str">
        <x:v>Not Run</x:v>
      </x:c>
      <x:c r="O199" s="58" t="str">
        <x:v>Blocked</x:v>
      </x:c>
      <x:c r="P199" s="58" t="str">
        <x:v>Android: /Users/mason/.codex/visualizations/2026/09/01/01a05def-1c0d-76d1-abc6-07c63a443582/emulator-runs/initial/android/NUT-048-recipe-a-before-save.png — Canonical server recalculation is covered by the focused recipe tests, but the emulator product-search selection branch was blocked after the undebounced search exhausted its route limit.</x:v>
      </x:c>
      <x:c r="Q199" s="58" t="str"/>
      <x:c r="R199" s="58" t="str">
        <x:v>Not Needed</x:v>
      </x:c>
      <x:c r="S199" s="58" t="str"/>
      <x:c r="T199" s="58" t="str">
        <x:v>Not Run</x:v>
      </x:c>
      <x:c r="U199" s="58" t="str">
        <x:v>Not Run</x:v>
      </x:c>
      <x:c r="V199" s="58" t="str"/>
      <x:c r="W199" s="58" t="str">
        <x:f>IF(AND(OR(N199="Passed",N199="Failed",N199="Not Applicable"),OR(O199="Passed",O199="Failed",O199="Not Applicable"),OR(N199="Passed",N199="Failed",O199="Passed",O199="Failed"),OR(T199="Passed",T199="Not Applicable"),OR(U199="Passed",U199="Not Applicable"),OR(T199="Passed",U199="Passed"),Y199="Reconciled",Z199="Reconciled",IF(Q199&lt;&gt;"",R199="Fixed",TRUE)),"Verified",IF(OR(T199="Failed",U199="Failed"),"Retest Failed",IF(OR(N199="Failed",O199="Failed",Q199&lt;&gt;""),"Defect Found",IF(AND(OR(N199="Passed",N199="Not Applicable"),OR(O199="Passed",O199="Not Applicable"),OR(N199="Passed",O199="Passed")),"Initial Pass","Not Complete"))))</x:f>
        <x:v>Not Complete</x:v>
      </x:c>
      <x:c r="X199" s="58" t="str">
        <x:v>UI offers no way to edit a product ingredient quantity after adding; user must remove and re-add, and re-add still starts at 100.</x:v>
      </x:c>
      <x:c r="Y199" s="58" t="str">
        <x:f>IF(OR(N199="Not Run",O199="Not Run"),"Pending",IF(AND(OR(N199="Not Applicable",COUNTIFS('Test Runs'!$B$5:$B$2004,A199,'Test Runs'!$C$5:$C$2004,"Initial",'Test Runs'!$D$5:$D$2004,"iOS",'Test Runs'!$I$5:$I$2004,N199)&gt;0),OR(O199="Not Applicable",COUNTIFS('Test Runs'!$B$5:$B$2004,A199,'Test Runs'!$C$5:$C$2004,"Initial",'Test Runs'!$D$5:$D$2004,"Android",'Test Runs'!$I$5:$I$2004,O199)&gt;0)),"Reconciled","Mismatch"))</x:f>
        <x:v>Pending</x:v>
      </x:c>
      <x:c r="Z199" s="58" t="str">
        <x:f>IF(OR(T199="Not Run",U199="Not Run"),"Pending",IF(AND(OR(T199="Not Applicable",COUNTIFS('Test Runs'!$B$5:$B$2004,A199,'Test Runs'!$C$5:$C$2004,"Retest",'Test Runs'!$D$5:$D$2004,"iOS",'Test Runs'!$I$5:$I$2004,T199)&gt;0),OR(U199="Not Applicable",COUNTIFS('Test Runs'!$B$5:$B$2004,A199,'Test Runs'!$C$5:$C$2004,"Retest",'Test Runs'!$D$5:$D$2004,"Android",'Test Runs'!$I$5:$I$2004,U199)&gt;0)),"Reconciled","Mismatch"))</x:f>
        <x:v>Pending</x:v>
      </x:c>
    </x:row>
    <x:row r="200" ht="361.20001220703125" hidden="0" customHeight="1">
      <x:c r="A200" s="58" t="str">
        <x:v>NUT-047</x:v>
      </x:c>
      <x:c r="B200" s="58" t="str">
        <x:v>Recipes - custom ingredient</x:v>
      </x:c>
      <x:c r="C200" s="58" t="str">
        <x:v>New recipe &gt; Custom ingredient</x:v>
      </x:c>
      <x:c r="D200" s="58" t="str">
        <x:v>As a user, I want to add a custom ingredient when catalogue search has no match so that any recipe can be represented.</x:v>
      </x:c>
      <x:c r="E200" s="58" t="str">
        <x:v>Custom ingredient trims and requires a name of at most 120 characters, a finite numeric quantity 0.1-10000 and each finite numeric macro 0-1000 before appending. Cleared or malformed numeric input, including an empty v-model value from a native number input, is rejected rather than coerced to zero. Invalid values show a local explanation, retain the mini-form for correction and add no ingredient. Legitimate zero macros and valid decimals remain accepted. Valid values calculate 4/4/9 kcal, append and reset the mini-form; items can be removed. Server nested item errors render beside their ingredient.</x:v>
      </x:c>
      <x:c r="F200" s="58" t="str">
        <x:v>Both</x:v>
      </x:c>
      <x:c r="G200" s="58" t="str">
        <x:v>Unsaved create and edit recipe drafts; valid zero/decimal values; cleared inputs, malformed native numeric input such as --, nonfinite values and out-of-range quantity/macros.</x:v>
      </x:c>
      <x:c r="H200" s="58" t="str">
        <x:v>Add/remove/re-add valid ingredients, including zero macros and decimals. Try blank/long name, cleared/malformed/nonfinite/out-of-range quantity and each macro. Verify no append, no reset and a visible explanation; correct the value and add successfully. Test the native malformed-input state separately from synthetic numeric values. Force nested item validation and verify errors appear beside that row. Cancel disposable drafts without saving.</x:v>
      </x:c>
      <x:c r="I200" s="58" t="str">
        <x:v>Repeat on Android, including the build 15 regression: type -- in Protein, confirm badInput/empty value, then Add ingredient. After the source fix is installed, expect a local macro explanation, unchanged mini-form and no new item; if no items existed, Save remains disabled. Repeat cleared Carbs/Fat and valid zero/decimal cases. Preserve the failed build 15 evidence; do not mark this passed from source checks.</x:v>
      </x:c>
      <x:c r="J200" s="58" t="str">
        <x:v>Recipe valid creation /Users/mason/Sites/Buff/tests/Feature/RecipeTest.php:8</x:v>
      </x:c>
      <x:c r="K200" s="58" t="str">
        <x:v>/Users/mason/Sites/Buff/resources/js/Components/RecipeMode.vue:85-92,116-118,144-177,327-351</x:v>
      </x:c>
      <x:c r="L200" s="58" t="str">
        <x:v>Mapped</x:v>
      </x:c>
      <x:c r="M200" s="58" t="str">
        <x:v>Ready</x:v>
      </x:c>
      <x:c r="N200" s="58" t="str">
        <x:v>Not Run</x:v>
      </x:c>
      <x:c r="O200" s="58" t="str">
        <x:v>Failed</x:v>
      </x:c>
      <x:c r="P200" s="58" t="str">
        <x:v>Android: /Users/mason/.codex/visualizations/2026/09/01/01a05def-1c0d-76d1-abc6-07c63a443582/emulator-runs/initial/android/NUT-047-nested-errors-hidden.png — A valid P10/C20/F5 custom ingredient appended as 165 kcal, reset, removed, and re-added. An invalid 0g/P1001 ingredient also appended; Save returned two nested 422 errors but rendered no feedback and created no recipe.
Android: /Users/mason/.codex/visualizations/2026/09/01/01a05def-1c0d-76d1-abc6-07c63a443582/emulator-runs/initial/android/NUT-047-nested-errors-hidden.png — Valid custom ingredients appended, reset, removed, and restored totals. Invalid mini-form values could also append, then made Save fail without a visible nested item error.</x:v>
      </x:c>
      <x:c r="Q200" s="58" t="str">
        <x:v>DEF-023</x:v>
      </x:c>
      <x:c r="R200" s="58" t="str">
        <x:v>In Progress</x:v>
      </x:c>
      <x:c r="S200" s="58" t="str"/>
      <x:c r="T200" s="58" t="str">
        <x:v>Blocked</x:v>
      </x:c>
      <x:c r="U200" s="58" t="str">
        <x:v>Blocked</x:v>
      </x:c>
      <x:c r="V200" s="58" t="str">
        <x:v>Android: /Users/mason/.codex/visualizations/2026/09/01/01a05def-1c0d-76d1-abc6-07c63a443582/emulator-runs/retest/android/NUT-047-negative-macro.json
/Users/mason/.codex/visualizations/2026/09/01/01a05def-1c0d-76d1-abc6-07c63a443582/emulator-runs/retest/android/NUT-047-small-quantity.json
/Users/mason/.codex/visualizations/2026/09/01/01a05def-1c0d-76d1-abc6-07c63a443582/emulator-runs/retest/android/NUT-047-malformed-macro-before-add.json
/Users/mason/.codex/visualizations/2026/09/01/01a05def-1c0d-76d1-abc6-07c63a443582/emulator-runs/retest/android/NUT-047-malformed-macro-appended.json
/Users/mason/.codex/visualizations/2026/09/01/01a05def-1c0d-76d1-abc6-07c63a443582/emulator-runs/retest/android/NUT-047-malformed-macro-appended.png — Protein -1 and quantity 0.01 were blocked with their local range alerts and no ingredient. With quantity 100, malformed Protein -- had DOM value empty, badInput true and Please enter a number. Add ingredient nonetheless appended QA draft ingredient as 100 g and 0 kcal, cleared the error, reset the mini-form and enabled Save. No Save was invoked. The unsaved draft was later discarded by Cancel, as recorded in the NUT-044 follow-up.
RUN-0389 — Android.
RUN-0392 — iOS.
Full actual results, gaps and evidence are retained in Test Runs.</x:v>
      </x:c>
      <x:c r="W200" s="58" t="str">
        <x:f>IF(AND(OR(N200="Passed",N200="Failed",N200="Not Applicable"),OR(O200="Passed",O200="Failed",O200="Not Applicable"),OR(N200="Passed",N200="Failed",O200="Passed",O200="Failed"),OR(T200="Passed",T200="Not Applicable"),OR(U200="Passed",U200="Not Applicable"),OR(T200="Passed",U200="Passed"),Y200="Reconciled",Z200="Reconciled",IF(Q200&lt;&gt;"",R200="Fixed",TRUE)),"Verified",IF(OR(T200="Failed",U200="Failed"),"Retest Failed",IF(OR(N200="Failed",O200="Failed",Q200&lt;&gt;""),"Defect Found",IF(AND(OR(N200="Passed",N200="Not Applicable"),OR(O200="Passed",O200="Not Applicable"),OR(N200="Passed",O200="Passed")),"Initial Pass","Not Complete"))))</x:f>
        <x:v>Defect Found</x:v>
      </x:c>
      <x:c r="X200" s="58" t="str">
        <x:v>Likely UX defect: mini-form bypasses native form validation on Add ingredient and nested server errors are not rendered, so invalid ingredient values can be appended then cause an unexplained Save failure.
Build16 recipe-editor checkpoint: tested subsets passed on both emulators, but the latest aggregate retest is Blocked for incomplete coverage. See current Test Runs for exact cases and gaps. No new recipe was saved or existing saved recipe updated in this batch.</x:v>
      </x:c>
      <x:c r="Y200" s="58" t="str">
        <x:f>IF(OR(N200="Not Run",O200="Not Run"),"Pending",IF(AND(OR(N200="Not Applicable",COUNTIFS('Test Runs'!$B$5:$B$2004,A200,'Test Runs'!$C$5:$C$2004,"Initial",'Test Runs'!$D$5:$D$2004,"iOS",'Test Runs'!$I$5:$I$2004,N200)&gt;0),OR(O200="Not Applicable",COUNTIFS('Test Runs'!$B$5:$B$2004,A200,'Test Runs'!$C$5:$C$2004,"Initial",'Test Runs'!$D$5:$D$2004,"Android",'Test Runs'!$I$5:$I$2004,O200)&gt;0)),"Reconciled","Mismatch"))</x:f>
        <x:v>Pending</x:v>
      </x:c>
      <x:c r="Z200" s="58" t="str">
        <x:f>IF(OR(T200="Not Run",U200="Not Run"),"Pending",IF(AND(OR(T200="Not Applicable",COUNTIFS('Test Runs'!$B$5:$B$2004,A200,'Test Runs'!$C$5:$C$2004,"Retest",'Test Runs'!$D$5:$D$2004,"iOS",'Test Runs'!$I$5:$I$2004,T200)&gt;0),OR(U200="Not Applicable",COUNTIFS('Test Runs'!$B$5:$B$2004,A200,'Test Runs'!$C$5:$C$2004,"Retest",'Test Runs'!$D$5:$D$2004,"Android",'Test Runs'!$I$5:$I$2004,U200)&gt;0)),"Reconciled","Mismatch"))</x:f>
        <x:v>Reconciled</x:v>
      </x:c>
    </x:row>
    <x:row r="201" ht="519.5999755859375" hidden="0" customHeight="1">
      <x:c r="A201" s="58" t="str">
        <x:v>NUT-048</x:v>
      </x:c>
      <x:c r="B201" s="58" t="str">
        <x:v>Recipes - totals and yield</x:v>
      </x:c>
      <x:c r="C201" s="58" t="str">
        <x:v>New recipe form</x:v>
      </x:c>
      <x:c r="D201" s="58" t="str">
        <x:v>As a user, I want recipe yield and total macros shown so that I know what will be logged.</x:v>
      </x:c>
      <x:c r="E201" s="58" t="str">
        <x:v>Recipe has a required 0.1-100 servings yield and one+ items; totals sum ingredient kcal/protein/carbs/fat and are shown during creation; stored payload retains item snapshots.</x:v>
      </x:c>
      <x:c r="F201" s="58" t="str">
        <x:v>Both</x:v>
      </x:c>
      <x:c r="G201" s="58" t="str">
        <x:v>Two ingredients with known totals and servings 1/4.</x:v>
      </x:c>
      <x:c r="H201" s="58" t="str">
        <x:v>Verify live totals, serving validation, save, reopen list.</x:v>
      </x:c>
      <x:c r="I201" s="58" t="str">
        <x:v>Repeat on Android.</x:v>
      </x:c>
      <x:c r="J201" s="58" t="str">
        <x:v>/Users/mason/Sites/Buff/tests/Feature/RecipeTest.php:8,83,100,156 — required/range/name/item rejection, inclusive yield boundaries and exact stored snapshots; full PHP394/3118 assertions passed.</x:v>
      </x:c>
      <x:c r="K201" s="58" t="str">
        <x:v>/Users/mason/Sites/Buff/resources/js/Components/RecipeMode.vue:71-99,278-357; /Users/mason/Sites/Buff/app/Models/Recipe.php:21-47; /Users/mason/Sites/Buff/app/Http/Controllers/RecipeController.php:44-95</x:v>
      </x:c>
      <x:c r="L201" s="58" t="str">
        <x:v>Mapped</x:v>
      </x:c>
      <x:c r="M201" s="58" t="str">
        <x:v>Ready</x:v>
      </x:c>
      <x:c r="N201" s="58" t="str">
        <x:v>Not Run</x:v>
      </x:c>
      <x:c r="O201" s="58" t="str">
        <x:v>Passed</x:v>
      </x:c>
      <x:c r="P201" s="58" t="str">
        <x:v>Android: /Users/mason/.codex/visualizations/2026/09/01/01a05def-1c0d-76d1-abc6-07c63a443582/emulator-runs/initial/android/NUT-047-nested-errors-hidden.png — Live totals showed 165 kcal / P10 / C20 / F5 for the valid ingredient and updated deterministically when a second item was appended.
Android: /Users/mason/.codex/visualizations/2026/09/01/01a05def-1c0d-76d1-abc6-07c63a443582/emulator-runs/initial/android/NUT-048-recipe-a-before-save.png — Two ingredients produced exact live batch totals of 264 kcal/P16/C32/F8; removing and re-adding one subtracted and restored the values. Yield 100.1 displayed the maximum error before a valid yield 4 save.</x:v>
      </x:c>
      <x:c r="Q201" s="58" t="str">
        <x:v>DEF-095</x:v>
      </x:c>
      <x:c r="R201" s="58" t="str">
        <x:v>Open</x:v>
      </x:c>
      <x:c r="S201" s="58" t="str"/>
      <x:c r="T201" s="58" t="str">
        <x:v>Passed</x:v>
      </x:c>
      <x:c r="U201" s="58" t="str">
        <x:v>Passed</x:v>
      </x:c>
      <x:c r="V201" s="58" t="str">
        <x:v>Android: /Users/mason/.codex/visualizations/2026/09/01/01a05def-1c0d-76d1-abc6-07c63a443582/emulator-runs/retest/android/NUT-048-one-ingredient-live.json
/Users/mason/.codex/visualizations/2026/09/01/01a05def-1c0d-76d1-abc6-07c63a443582/emulator-runs/retest/android/NUT-048-two-ingredient-appended.json
/Users/mason/.codex/visualizations/2026/09/01/01a05def-1c0d-76d1-abc6-07c63a443582/emulator-runs/retest/android/NUT-048-yield-error.json
/Users/mason/.codex/visualizations/2026/09/01/01a05def-1c0d-76d1-abc6-07c63a443582/emulator-runs/retest/android/NUT-049-saved-recipe-a.json — QA oats 100g/P10/C20/F5 produced 165 kcal. QA milk 100ml/P6/C12/F3 added 99 kcal, producing exact batch totals 264/P16/C32/F8. Yield 100.1 returned a visible maximum-100 error and created no recipe. Correcting yield to 4 saved the two ingredient snapshots and exact totals.
iOS: /Users/mason/.codex/visualizations/2026/09/01/01a05def-1c0d-76d1-abc6-07c63a443582/emulator-runs/retest/ios/NUT-056-recipe-a-edit-prefill.png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/Users/mason/.codex/visualizations/2026/09/01/01a05def-1c0d-76d1-abc6-07c63a443582/emulator-runs/retest/ios/NUT-043-057-batch008-observations.json — The saved editor snapshots matched the received data. A showed yield 2, QA oats 100 g and total 165 kcal / P 10g / C 20g / F 5g. B showed yield 1, QA water 100 g and all totals zero. Both editors were cancelled without saving.
RUN-0387 — iOS.
Full actual results, gaps and evidence are retained in Test Runs.
RUN-0390 — Android.
RUN-0393 — iOS.
Full actual results, gaps and evidence are retained in Test Runs.
RUN-0394 — Android.
RUN-0396 — iOS.
Full actual results, gaps and evidence are retained in Test Runs.</x:v>
      </x:c>
      <x:c r="W201" s="58" t="str">
        <x:f>IF(AND(OR(N201="Passed",N201="Failed",N201="Not Applicable"),OR(O201="Passed",O201="Failed",O201="Not Applicable"),OR(N201="Passed",N201="Failed",O201="Passed",O201="Failed"),OR(T201="Passed",T201="Not Applicable"),OR(U201="Passed",U201="Not Applicable"),OR(T201="Passed",U201="Passed"),Y201="Reconciled",Z201="Reconciled",IF(Q201&lt;&gt;"",R201="Fixed",TRUE)),"Verified",IF(OR(T201="Failed",U201="Failed"),"Retest Failed",IF(OR(N201="Failed",O201="Failed",Q201&lt;&gt;""),"Defect Found",IF(AND(OR(N201="Passed",N201="Not Applicable"),OR(O201="Passed",O201="Not Applicable"),OR(N201="Passed",O201="Passed")),"Initial Pass","Not Complete"))))</x:f>
        <x:v>Defect Found</x:v>
      </x:c>
      <x:c r="X201" s="58" t="str">
        <x:v>Recipe totals are total batch values; UI wording later says "X kcal per N servings," which is accurate but easy to misread as X per single serving.
Build16 recipe-editor checkpoint: tested subsets passed on both emulators, but the latest aggregate retest is Blocked for incomplete coverage. See current Test Runs for exact cases and gaps. No new recipe was saved or existing saved recipe updated in this batch.
Build16 yield checkpoint: required/min/max validation, inclusive0.1/1/100 saves and exact cold-launch snapshots pass on both platforms. Android also repeated a two-nonzero-item sum/removal check; iOS earlier build16 batches cover two-item sums and yield4. DEF-095 stays Open independently for the diagnostic inspector path.</x:v>
      </x:c>
      <x:c r="Y201" s="58" t="str">
        <x:f>IF(OR(N201="Not Run",O201="Not Run"),"Pending",IF(AND(OR(N201="Not Applicable",COUNTIFS('Test Runs'!$B$5:$B$2004,A201,'Test Runs'!$C$5:$C$2004,"Initial",'Test Runs'!$D$5:$D$2004,"iOS",'Test Runs'!$I$5:$I$2004,N201)&gt;0),OR(O201="Not Applicable",COUNTIFS('Test Runs'!$B$5:$B$2004,A201,'Test Runs'!$C$5:$C$2004,"Initial",'Test Runs'!$D$5:$D$2004,"Android",'Test Runs'!$I$5:$I$2004,O201)&gt;0)),"Reconciled","Mismatch"))</x:f>
        <x:v>Pending</x:v>
      </x:c>
      <x:c r="Z201" s="58" t="str">
        <x:f>IF(OR(T201="Not Run",U201="Not Run"),"Pending",IF(AND(OR(T201="Not Applicable",COUNTIFS('Test Runs'!$B$5:$B$2004,A201,'Test Runs'!$C$5:$C$2004,"Retest",'Test Runs'!$D$5:$D$2004,"iOS",'Test Runs'!$I$5:$I$2004,T201)&gt;0),OR(U201="Not Applicable",COUNTIFS('Test Runs'!$B$5:$B$2004,A201,'Test Runs'!$C$5:$C$2004,"Retest",'Test Runs'!$D$5:$D$2004,"Android",'Test Runs'!$I$5:$I$2004,U201)&gt;0)),"Reconciled","Mismatch"))</x:f>
        <x:v>Reconciled</x:v>
      </x:c>
    </x:row>
    <x:row r="202" ht="216" hidden="0" customHeight="1">
      <x:c r="A202" s="58" t="str">
        <x:v>NUT-049</x:v>
      </x:c>
      <x:c r="B202" s="58" t="str">
        <x:v>Recipes - save</x:v>
      </x:c>
      <x:c r="C202" s="58" t="str">
        <x:v>Save recipe</x:v>
      </x:c>
      <x:c r="D202" s="58" t="str">
        <x:v>As a user, I want a valid recipe saved and returned to my recipe list so that it can be logged later.</x:v>
      </x:c>
      <x:c r="E202" s="58" t="str">
        <x:v>POST creates the recipe, redirects to the same dated Recipes mode, flashes "&lt;name&gt; saved", resets local form, and server/Inertia returns the refreshed list.</x:v>
      </x:c>
      <x:c r="F202" s="58" t="str">
        <x:v>Both</x:v>
      </x:c>
      <x:c r="G202" s="58" t="str">
        <x:v>Valid named recipe with one+ items on a historical date.</x:v>
      </x:c>
      <x:c r="H202" s="58" t="str">
        <x:v>Save and verify toast, date preserved, list entry, restart persistence.</x:v>
      </x:c>
      <x:c r="I202" s="58" t="str">
        <x:v>Repeat on Android.</x:v>
      </x:c>
      <x:c r="J202" s="58" t="str">
        <x:v>/Users/mason/Sites/Buff/tests/Feature/RecipeTest.php:8,83,100,156 — reject invalid input without creation; successful dated redirect, exact named flash and persisted snapshot; RecipeTest40/281 assertions and full PHP394/3118 passed.</x:v>
      </x:c>
      <x:c r="K202" s="58" t="str">
        <x:v>/Users/mason/Sites/Buff/resources/js/Components/RecipeMode.vue:208-215,353-357; /Users/mason/Sites/Buff/app/Http/Controllers/RecipeController.php:16-23</x:v>
      </x:c>
      <x:c r="L202" s="58" t="str">
        <x:v>Mapped</x:v>
      </x:c>
      <x:c r="M202" s="58" t="str">
        <x:v>Ready</x:v>
      </x:c>
      <x:c r="N202" s="58" t="str">
        <x:v>Not Run</x:v>
      </x:c>
      <x:c r="O202" s="58" t="str">
        <x:v>Failed</x:v>
      </x:c>
      <x:c r="P202" s="58" t="str">
        <x:v>Android: /Users/mason/.codex/visualizations/2026/09/01/01a05def-1c0d-76d1-abc6-07c63a443582/emulator-runs/initial/android/NUT-047-nested-errors-hidden.png — The invalid save was safely rejected with no recipe creation, but nested item errors were invisible.
Android: /Users/mason/.codex/visualizations/2026/09/01/01a05def-1c0d-76d1-abc6-07c63a443582/emulator-runs/initial/android/NUT-047-nested-errors-hidden.png
/Users/mason/.codex/visualizations/2026/09/01/01a05def-1c0d-76d1-abc6-07c63a443582/emulator-runs/initial/android/NUT-053-recipe-list-after-delete.png — A valid historical-date recipe saved, redirected to the same Recipes mode, appeared with 264 kcal and two ingredients, and survived relaunch. Invalid nested ingredients made Save look inert because their errors were not rendered.</x:v>
      </x:c>
      <x:c r="Q202" s="58" t="str">
        <x:v>DEF-023</x:v>
      </x:c>
      <x:c r="R202" s="58" t="str">
        <x:v>In Progress</x:v>
      </x:c>
      <x:c r="S202" s="58" t="str"/>
      <x:c r="T202" s="58" t="str">
        <x:v>Passed</x:v>
      </x:c>
      <x:c r="U202" s="58" t="str">
        <x:v>Passed</x:v>
      </x:c>
      <x:c r="V202" s="58" t="str">
        <x:v>Android: /Users/mason/.codex/visualizations/2026/09/01/01a05def-1c0d-76d1-abc6-07c63a443582/emulator-runs/retest/android/NUT-049-saved-recipe-a.json
/Users/mason/.codex/visualizations/2026/09/01/01a05def-1c0d-76d1-abc6-07c63a443582/emulator-runs/retest/android/NUT-056-057-offline-relaunch.json — Valid A saved, returned to Recipes with date=2026-09-04 and appeared with correct data. A subsequent update and offline B save persisted through process restart; both recipes remained in the library.
RUN-0395 — Android.
RUN-0397 — iOS.
Full actual results, gaps and evidence are retained in Test Runs.</x:v>
      </x:c>
      <x:c r="W202" s="58" t="str">
        <x:f>IF(AND(OR(N202="Passed",N202="Failed",N202="Not Applicable"),OR(O202="Passed",O202="Failed",O202="Not Applicable"),OR(N202="Passed",N202="Failed",O202="Passed",O202="Failed"),OR(T202="Passed",T202="Not Applicable"),OR(U202="Passed",U202="Not Applicable"),OR(T202="Passed",U202="Passed"),Y202="Reconciled",Z202="Reconciled",IF(Q202&lt;&gt;"",R202="Fixed",TRUE)),"Verified",IF(OR(T202="Failed",U202="Failed"),"Retest Failed",IF(OR(N202="Failed",O202="Failed",Q202&lt;&gt;""),"Defect Found",IF(AND(OR(N202="Passed",N202="Not Applicable"),OR(O202="Passed",O202="Not Applicable"),OR(N202="Passed",O202="Passed")),"Initial Pass","Not Complete"))))</x:f>
        <x:v>Defect Found</x:v>
      </x:c>
      <x:c r="X202" s="58" t="str">
        <x:v>Only top-level name/servings/items errors are visibly rendered; nested item validation can be invisible.
Build16 clarification: the earlier note describes the original failure. Current source renders nested item errors, but that error-rendering path still needs native verification under DEF-023. Valid yield0.1/1/100 save/date/list/reset/cold persistence now passes on both emulators; Android native toasts were viewed. The iOS yield100 named native toast was confirmed in the existing save recording at9.969s.</x:v>
      </x:c>
      <x:c r="Y202" s="58" t="str">
        <x:f>IF(OR(N202="Not Run",O202="Not Run"),"Pending",IF(AND(OR(N202="Not Applicable",COUNTIFS('Test Runs'!$B$5:$B$2004,A202,'Test Runs'!$C$5:$C$2004,"Initial",'Test Runs'!$D$5:$D$2004,"iOS",'Test Runs'!$I$5:$I$2004,N202)&gt;0),OR(O202="Not Applicable",COUNTIFS('Test Runs'!$B$5:$B$2004,A202,'Test Runs'!$C$5:$C$2004,"Initial",'Test Runs'!$D$5:$D$2004,"Android",'Test Runs'!$I$5:$I$2004,O202)&gt;0)),"Reconciled","Mismatch"))</x:f>
        <x:v>Pending</x:v>
      </x:c>
      <x:c r="Z202" s="58" t="str">
        <x:f>IF(OR(T202="Not Run",U202="Not Run"),"Pending",IF(AND(OR(T202="Not Applicable",COUNTIFS('Test Runs'!$B$5:$B$2004,A202,'Test Runs'!$C$5:$C$2004,"Retest",'Test Runs'!$D$5:$D$2004,"iOS",'Test Runs'!$I$5:$I$2004,T202)&gt;0),OR(U202="Not Applicable",COUNTIFS('Test Runs'!$B$5:$B$2004,A202,'Test Runs'!$C$5:$C$2004,"Retest",'Test Runs'!$D$5:$D$2004,"Android",'Test Runs'!$I$5:$I$2004,U202)&gt;0)),"Reconciled","Mismatch"))</x:f>
        <x:v>Reconciled</x:v>
      </x:c>
    </x:row>
    <x:row r="203" ht="387.6000061035156" hidden="0" customHeight="1">
      <x:c r="A203" s="58" t="str">
        <x:v>NUT-050</x:v>
      </x:c>
      <x:c r="B203" s="58" t="str">
        <x:v>Recipes - choose meal/type</x:v>
      </x:c>
      <x:c r="C203" s="58" t="str">
        <x:v>Tap recipe in Recipes list</x:v>
      </x:c>
      <x:c r="D203" s="58" t="str">
        <x:v>As a user, I want to choose a recipe and meal type before logging so that it lands in the right section.</x:v>
      </x:c>
      <x:c r="E203" s="58" t="str">
        <x:v>Tapping a recipe opens log form, presets servings to saved batch yield and meal type to a valid explicit query or local-hour default: breakfast before 10, lunch before 14, dinner before 20, otherwise snacks. Opening/returning clears old log errors; all meal types remain selectable and Back returns to list.</x:v>
      </x:c>
      <x:c r="F203" s="58" t="str">
        <x:v>Both</x:v>
      </x:c>
      <x:c r="G203" s="58" t="str">
        <x:v>Recipe yield &gt;1; launch with and without meal=dinner.</x:v>
      </x:c>
      <x:c r="H203" s="58" t="str">
        <x:v>Open without meal at hour boundaries and with meal=dinner; verify default. Trigger a log error, return to list and open another recipe; verify the old error is gone.</x:v>
      </x:c>
      <x:c r="I203" s="58" t="str">
        <x:v>Repeat on Android.</x:v>
      </x:c>
      <x:c r="J203" s="58" t="str">
        <x:v>Meal query propagation /Users/mason/Sites/Buff/tests/Feature/MealEntryTest.php:104; recipe log /Users/mason/Sites/Buff/tests/Feature/RecipeTest.php:8</x:v>
      </x:c>
      <x:c r="K203" s="58" t="str">
        <x:v>/Users/mason/Sites/Buff/resources/js/Components/RecipeMode.vue:78-83,129-142,361-380</x:v>
      </x:c>
      <x:c r="L203" s="58" t="str">
        <x:v>Mapped</x:v>
      </x:c>
      <x:c r="M203" s="58" t="str">
        <x:v>Ready</x:v>
      </x:c>
      <x:c r="N203" s="58" t="str">
        <x:v>Not Run</x:v>
      </x:c>
      <x:c r="O203" s="58" t="str">
        <x:v>Failed</x:v>
      </x:c>
      <x:c r="P203" s="58" t="str">
        <x:v>Android: /Users/mason/.codex/visualizations/2026/09/01/01a05def-1c0d-76d1-abc6-07c63a443582/emulator-runs/initial/android/NUT-051-recipe-a-two-servings-before-log.png — The form showed saved yield, all four meal types, Back, and respected an explicit Dinner query, but a no-meal evening launch still selected Breakfast.</x:v>
      </x:c>
      <x:c r="Q203" s="58" t="str">
        <x:v>DEF-032</x:v>
      </x:c>
      <x:c r="R203" s="58" t="str">
        <x:v>Fixed</x:v>
      </x:c>
      <x:c r="S203" s="58" t="str"/>
      <x:c r="T203" s="58" t="str">
        <x:v>Blocked</x:v>
      </x:c>
      <x:c r="U203" s="58" t="str">
        <x:v>Blocked</x:v>
      </x:c>
      <x:c r="V203" s="58" t="str">
        <x:v>Android: /Users/mason/.codex/visualizations/2026/09/01/01a05def-1c0d-76d1-abc6-07c63a443582/emulator-runs/retest/android/NUT-050-default-log.json
/Users/mason/.codex/visualizations/2026/09/01/01a05def-1c0d-76d1-abc6-07c63a443582/emulator-runs/retest/android/NUT-050-lunch-default-sync.json — Opening A with meal=null at local hour 12 selected Lunch with aria-checked=true and prefilled its saved yield 2. Breakfast/Dinner/Snacks were present as unchecked radio choices. Back returned to Recipes.
iOS: /Users/mason/.codex/visualizations/2026/09/01/01a05def-1c0d-76d1-abc6-07c63a443582/emulator-runs/retest/ios/NUT-050-recipe-a-lunch-default.png
/Users/mason/.codex/visualizations/2026/09/01/01a05def-1c0d-76d1-abc6-07c63a443582/emulator-runs/retest/ios/NUT-050-052-recipe-b-clean-defaults.png
/Users/mason/.codex/visualizations/2026/09/01/01a05def-1c0d-76d1-abc6-07c63a443582/emulator-runs/retest/ios/NUT-043-057-batch008-observations.json — Tapping A opened its log form with 165 kcal per 2 servings and servings 2. At local hour 12, with no meal query, Lunch was selected. After invalid blank and 100.1 servings attempts, Back restored the library. Opening B then showed 0 kcal per 1 serving, servings 1, Lunch and no validation message. Back restored the library again.
RUN-0380 — Android.
RUN-0385 — iOS.
Full actual results, gaps and evidence are retained in Test Runs.</x:v>
      </x:c>
      <x:c r="W203" s="58" t="str">
        <x:f>IF(AND(OR(N203="Passed",N203="Failed",N203="Not Applicable"),OR(O203="Passed",O203="Failed",O203="Not Applicable"),OR(N203="Passed",N203="Failed",O203="Passed",O203="Failed"),OR(T203="Passed",T203="Not Applicable"),OR(U203="Passed",U203="Not Applicable"),OR(T203="Passed",U203="Passed"),Y203="Reconciled",Z203="Reconciled",IF(Q203&lt;&gt;"",R203="Fixed",TRUE)),"Verified",IF(OR(T203="Failed",U203="Failed"),"Retest Failed",IF(OR(N203="Failed",O203="Failed",Q203&lt;&gt;""),"Defect Found",IF(AND(OR(N203="Passed",N203="Not Applicable"),OR(O203="Passed",O203="Not Applicable"),OR(N203="Passed",O203="Passed")),"Initial Pass","Not Complete"))))</x:f>
        <x:v>Defect Found</x:v>
      </x:c>
      <x:c r="X203" s="58" t="str">
        <x:v>Build 15 established the local-noon Lunch default. Build 16 Android adds local-hour-15 Dinner, explicit meal override, all four choices, saved-yield prefill and a clean subsequent recipe. Full hour-boundary coverage remains incomplete.</x:v>
      </x:c>
      <x:c r="Y203" s="58" t="str">
        <x:f>IF(OR(N203="Not Run",O203="Not Run"),"Pending",IF(AND(OR(N203="Not Applicable",COUNTIFS('Test Runs'!$B$5:$B$2004,A203,'Test Runs'!$C$5:$C$2004,"Initial",'Test Runs'!$D$5:$D$2004,"iOS",'Test Runs'!$I$5:$I$2004,N203)&gt;0),OR(O203="Not Applicable",COUNTIFS('Test Runs'!$B$5:$B$2004,A203,'Test Runs'!$C$5:$C$2004,"Initial",'Test Runs'!$D$5:$D$2004,"Android",'Test Runs'!$I$5:$I$2004,O203)&gt;0)),"Reconciled","Mismatch"))</x:f>
        <x:v>Pending</x:v>
      </x:c>
      <x:c r="Z203" s="58" t="str">
        <x:f>IF(OR(T203="Not Run",U203="Not Run"),"Pending",IF(AND(OR(T203="Not Applicable",COUNTIFS('Test Runs'!$B$5:$B$2004,A203,'Test Runs'!$C$5:$C$2004,"Retest",'Test Runs'!$D$5:$D$2004,"iOS",'Test Runs'!$I$5:$I$2004,T203)&gt;0),OR(U203="Not Applicable",COUNTIFS('Test Runs'!$B$5:$B$2004,A203,'Test Runs'!$C$5:$C$2004,"Retest",'Test Runs'!$D$5:$D$2004,"Android",'Test Runs'!$I$5:$I$2004,U203)&gt;0)),"Reconciled","Mismatch"))</x:f>
        <x:v>Reconciled</x:v>
      </x:c>
    </x:row>
    <x:row r="204" ht="150" hidden="0" customHeight="1">
      <x:c r="A204" s="58" t="str">
        <x:v>NUT-051</x:v>
      </x:c>
      <x:c r="B204" s="58" t="str">
        <x:v>Recipes - serving scale</x:v>
      </x:c>
      <x:c r="C204" s="58" t="str">
        <x:v>Recipe review &gt; Log recipe</x:v>
      </x:c>
      <x:c r="D204" s="58" t="str">
        <x:v>As a user, I want to log any number of recipe servings so that macros match what I ate.</x:v>
      </x:c>
      <x:c r="E204" s="58" t="str">
        <x:v>Log form initially fills the saved recipe yield, but submission must explicitly include valid servings. Logging scales batch totals by requested/saved yield, rounds kcal to integer and macros to two decimals, creates a recipe-source meal and returns to the selected date with Recipe logged. A blank value is rejected, never silently replaced by the yield. Today rows/details and MacroBreakdown display 1 serving or plural servings, not an unexplained bare number. Changing requested servings does not change the subtitle describing the saved batch.</x:v>
      </x:c>
      <x:c r="F204" s="58" t="str">
        <x:v>Both</x:v>
      </x:c>
      <x:c r="G204" s="58" t="str">
        <x:v>Saved recipe yield4 with batch281 kcal/P17g/C33g/F9g. Log1,2,4 servings into distinct groups on one isolated selected date so per-entry values and sum can both be verified.</x:v>
      </x:c>
      <x:c r="H204" s="58" t="str">
        <x:v>Verify default4 and unchanged batch subtitle; log1/2/4 servings into Breakfast/Lunch/Dinner. Expect70/141/281 kcal and P4.25/8.5/17, C8.25/16.5/33, F2.25/4.5/9. Verify serving labels in Today/detail/macros, recipe source, selected date, Recipe logged feedback, total492 kcal and persistence.</x:v>
      </x:c>
      <x:c r="I204" s="58" t="str">
        <x:v>Repeat on Android using a different isolated selected date; verify corresponding values, labels and persistence.</x:v>
      </x:c>
      <x:c r="J204" s="58" t="str">
        <x:v>/Users/mason/Sites/Buff/tests/Feature/RecipeTest.php:188 covers1/2/4 fractional-scale cases;11tests/73assertions pass with independent review. /Users/mason/Sites/Buff/tests/iosUxRegressions.test.ts covers serving labels. /Users/mason/.codex/visualizations/2026/09/01/01a05def-1c0d-76d1-abc6-07c63a443582/inventory/recipe-serving-scale-source-proof.json</x:v>
      </x:c>
      <x:c r="K204" s="58" t="str">
        <x:v>/Users/mason/Sites/Buff/resources/js/Components/RecipeMode.vue:72-83,217-219,361-379; /Users/mason/Sites/Buff/app/Http/Controllers/MealController.php:187-215</x:v>
      </x:c>
      <x:c r="L204" s="58" t="str">
        <x:v>Mapped</x:v>
      </x:c>
      <x:c r="M204" s="58" t="str">
        <x:v>Ready</x:v>
      </x:c>
      <x:c r="N204" s="58" t="str">
        <x:v>Not Run</x:v>
      </x:c>
      <x:c r="O204" s="58" t="str">
        <x:v>Failed</x:v>
      </x:c>
      <x:c r="P204" s="58" t="str">
        <x:v>Android: /Users/mason/.codex/visualizations/2026/09/01/01a05def-1c0d-76d1-abc6-07c63a443582/emulator-runs/initial/android/NUT-051-recipe-a-two-servings-before-log.png
/Users/mason/.codex/visualizations/2026/09/01/01a05def-1c0d-76d1-abc6-07c63a443582/emulator-runs/initial/android/NUT-052-recipe-b-blank-servings-logged.png — Yield-4 Recipe A scaled exactly to 1 serving 66/P4/C8/F2, 2 servings 132/P8/C16/F4, and 4 servings 264/P16/C32/F8 across three dates. Today rendered each portion as only the bare number.</x:v>
      </x:c>
      <x:c r="Q204" s="58" t="str">
        <x:v>DEF-033
DEF-091</x:v>
      </x:c>
      <x:c r="R204" s="58" t="str">
        <x:v>Open</x:v>
      </x:c>
      <x:c r="S204" s="58" t="str"/>
      <x:c r="T204" s="58" t="str">
        <x:v>Passed</x:v>
      </x:c>
      <x:c r="U204" s="58" t="str">
        <x:v>Failed</x:v>
      </x:c>
      <x:c r="V204" s="58" t="str">
        <x:v>RUN-0382 — Android.
RUN-0383 — Android.
RUN-0384 — iOS.
Full actual results, gaps and evidence are retained in Test Runs.</x:v>
      </x:c>
      <x:c r="W204" s="58" t="str">
        <x:f>IF(AND(OR(N204="Passed",N204="Failed",N204="Not Applicable"),OR(O204="Passed",O204="Failed",O204="Not Applicable"),OR(N204="Passed",N204="Failed",O204="Passed",O204="Failed"),OR(T204="Passed",T204="Not Applicable"),OR(U204="Passed",U204="Not Applicable"),OR(T204="Passed",U204="Passed"),Y204="Reconciled",Z204="Reconciled",IF(Q204&lt;&gt;"",R204="Fixed",TRUE)),"Verified",IF(OR(T204="Failed",U204="Failed"),"Retest Failed",IF(OR(N204="Failed",O204="Failed",Q204&lt;&gt;""),"Defect Found",IF(AND(OR(N204="Passed",N204="Not Applicable"),OR(O204="Passed",O204="Not Applicable"),OR(N204="Passed",O204="Passed")),"Initial Pass","Not Complete"))))</x:f>
        <x:v>Retest Failed</x:v>
      </x:c>
      <x:c r="X204" s="58" t="str">
        <x:v>Build 16 native 1/2/4-serving checks on both platforms produce 70/141/281 kcal and exact expected macros from the 281-kcal batch. Total 492 kcal. Today, meal details and all three macro pages show singular/plural serving labels, closing DEF-033. Android native framebuffer corruption DEF-091 remains and prevents an overall Android pass. Test Runs distinguish the focused functional pass from that failure.</x:v>
      </x:c>
      <x:c r="Y204" s="58" t="str">
        <x:f>IF(OR(N204="Not Run",O204="Not Run"),"Pending",IF(AND(OR(N204="Not Applicable",COUNTIFS('Test Runs'!$B$5:$B$2004,A204,'Test Runs'!$C$5:$C$2004,"Initial",'Test Runs'!$D$5:$D$2004,"iOS",'Test Runs'!$I$5:$I$2004,N204)&gt;0),OR(O204="Not Applicable",COUNTIFS('Test Runs'!$B$5:$B$2004,A204,'Test Runs'!$C$5:$C$2004,"Initial",'Test Runs'!$D$5:$D$2004,"Android",'Test Runs'!$I$5:$I$2004,O204)&gt;0)),"Reconciled","Mismatch"))</x:f>
        <x:v>Pending</x:v>
      </x:c>
      <x:c r="Z204" s="58" t="str">
        <x:f>IF(OR(T204="Not Run",U204="Not Run"),"Pending",IF(AND(OR(T204="Not Applicable",COUNTIFS('Test Runs'!$B$5:$B$2004,A204,'Test Runs'!$C$5:$C$2004,"Retest",'Test Runs'!$D$5:$D$2004,"iOS",'Test Runs'!$I$5:$I$2004,T204)&gt;0),OR(U204="Not Applicable",COUNTIFS('Test Runs'!$B$5:$B$2004,A204,'Test Runs'!$C$5:$C$2004,"Retest",'Test Runs'!$D$5:$D$2004,"Android",'Test Runs'!$I$5:$I$2004,U204)&gt;0)),"Reconciled","Mismatch"))</x:f>
        <x:v>Reconciled</x:v>
      </x:c>
    </x:row>
    <x:row r="205" ht="625.2000122070312" hidden="0" customHeight="1">
      <x:c r="A205" s="58" t="str">
        <x:v>NUT-052</x:v>
      </x:c>
      <x:c r="B205" s="58" t="str">
        <x:v>Recipes - log validation</x:v>
      </x:c>
      <x:c r="C205" s="58" t="str">
        <x:v>Recipe log form</x:v>
      </x:c>
      <x:c r="D205" s="58" t="str">
        <x:v>As a user, I want invalid recipe-log values rejected with guidance so that bad servings are not saved.</x:v>
      </x:c>
      <x:c r="E205" s="58" t="str">
        <x:v>Recipe id must exist, date/meal type must be valid, and servings are required numeric0.1–100. Native input is required with min0.1,max100,step0.1; the server checks numeric range but does not enforce a0.1 step. Dedicated inline errors exist for servings and meal type; date/stale recipe-id errors have no dedicated surface. Submit shows processing state; blank input cannot fall back to the saved yield.</x:v>
      </x:c>
      <x:c r="F205" s="58" t="str">
        <x:v>Both</x:v>
      </x:c>
      <x:c r="G205" s="58" t="str">
        <x:v>Existing recipe; blank/0/100.1 servings; missing/invalid meal type; recipe deleted on another device</x:v>
      </x:c>
      <x:c r="H205" s="58" t="str">
        <x:v>Submit blank and out-of-range servings, invalid type and stale recipe. Verify no meal, visible field error where owned by UI, and no fallback for blank servings. Return/open another log interaction and confirm stale errors clear.</x:v>
      </x:c>
      <x:c r="I205" s="58" t="str">
        <x:v>Repeat on Android.</x:v>
      </x:c>
      <x:c r="J205" s="58" t="str">
        <x:v>/Users/mason/Sites/Buff/tests/Feature/RecipeTest.php</x:v>
      </x:c>
      <x:c r="K205" s="58" t="str">
        <x:v>/Users/mason/Sites/Buff/resources/js/Components/RecipeMode.vue:367-378; /Users/mason/Sites/Buff/app/Http/Controllers/MealController.php:187-215</x:v>
      </x:c>
      <x:c r="L205" s="58" t="str">
        <x:v>Mapped</x:v>
      </x:c>
      <x:c r="M205" s="58" t="str">
        <x:v>Ready</x:v>
      </x:c>
      <x:c r="N205" s="58" t="str">
        <x:v>Not Run</x:v>
      </x:c>
      <x:c r="O205" s="58" t="str">
        <x:v>Failed</x:v>
      </x:c>
      <x:c r="P205" s="58" t="str">
        <x:v>Android: /Users/mason/.codex/visualizations/2026/09/01/01a05def-1c0d-76d1-abc6-07c63a443582/emulator-runs/initial/android/NUT-052-recipe-b-blank-servings-before-log.png
/Users/mason/.codex/visualizations/2026/09/01/01a05def-1c0d-76d1-abc6-07c63a443582/emulator-runs/initial/android/NUT-052-recipe-b-blank-servings-logged.png — Zero was natively rejected and 100.1 showed a server maximum error with no meal. That error survived Back/reopen, and a completely blank field was accepted as the saved yield and created a meal.</x:v>
      </x:c>
      <x:c r="Q205" s="58" t="str">
        <x:v>DEF-034
DEF-035
DEF-096</x:v>
      </x:c>
      <x:c r="R205" s="58" t="str">
        <x:v>In Progress</x:v>
      </x:c>
      <x:c r="S205" s="58" t="str"/>
      <x:c r="T205" s="58" t="str">
        <x:v>Blocked</x:v>
      </x:c>
      <x:c r="U205" s="58" t="str">
        <x:v>Blocked</x:v>
      </x:c>
      <x:c r="V205" s="58" t="str">
        <x:v>Android: /Users/mason/.codex/visualizations/2026/09/01/01a05def-1c0d-76d1-abc6-07c63a443582/emulator-runs/retest/android/NUT-052-blank-log-blocked.json
/Users/mason/.codex/visualizations/2026/09/01/01a05def-1c0d-76d1-abc6-07c63a443582/emulator-runs/retest/android/NUT-052-blank-log-blocked.png
/Users/mason/.codex/visualizations/2026/09/01/01a05def-1c0d-76d1-abc6-07c63a443582/emulator-runs/retest/android/NUT-052-max-log-blocked.json
/Users/mason/.codex/visualizations/2026/09/01/01a05def-1c0d-76d1-abc6-07c63a443582/emulator-runs/retest/android/NUT-052-reopen-log-cleared.json — Blank servings showed native Please fill out this field, valueMissing=true and no log request. 100.1 showed the maximum-100 native message and no log request. Leaving and reopening restored valid yield 2 with no validation message or alert. No meals were created.
iOS: /Users/mason/.codex/visualizations/2026/09/01/01a05def-1c0d-76d1-abc6-07c63a443582/emulator-runs/retest/ios/NUT-052-blank-servings-native-validation.png
/Users/mason/.codex/visualizations/2026/09/01/01a05def-1c0d-76d1-abc6-07c63a443582/emulator-runs/retest/ios/NUT-052-max-servings-native-validation.png
/Users/mason/.codex/visualizations/2026/09/01/01a05def-1c0d-76d1-abc6-07c63a443582/emulator-runs/retest/ios/NUT-050-052-recipe-b-clean-defaults.png
/Users/mason/.codex/visualizations/2026/09/01/01a05def-1c0d-76d1-abc6-07c63a443582/emulator-runs/retest/ios/NUT-052-053-056-today-preserved500.png
/Users/mason/.codex/visualizations/2026/09/01/01a05def-1c0d-76d1-abc6-07c63a443582/emulator-runs/retest/ios/NUT-043-057-batch008-observations.json — Blank servings was rejected with Fill out this field. Servings 100.1 was rejected with Value must be less than or equal to 100. The form stayed open and no /meals/recipe resource request was observed for either attempt. B subsequently opened with its saved value 1 and no error. Today retained exactly one custom Lunch meal with 500 kcal / P 20g / C 60g / F 20g.
RUN-0381 — Android.
RUN-0386 — iOS.
Full actual results, gaps and evidence are retained in Test Runs.
RUN-0423 — Android.
Full actual results, gaps and evidence are retained in Test Runs.
RUN-0424 — Android.
RUN-0425 — iOS.
Full actual results, gaps and evidence are retained in Test Runs.</x:v>
      </x:c>
      <x:c r="W205" s="58" t="str">
        <x:f>IF(AND(OR(N205="Passed",N205="Failed",N205="Not Applicable"),OR(O205="Passed",O205="Failed",O205="Not Applicable"),OR(N205="Passed",N205="Failed",O205="Passed",O205="Failed"),OR(T205="Passed",T205="Not Applicable"),OR(U205="Passed",U205="Not Applicable"),OR(T205="Passed",U205="Passed"),Y205="Reconciled",Z205="Reconciled",IF(Q205&lt;&gt;"",R205="Fixed",TRUE)),"Verified",IF(OR(T205="Failed",U205="Failed"),"Retest Failed",IF(OR(N205="Failed",O205="Failed",Q205&lt;&gt;""),"Defect Found",IF(AND(OR(N205="Passed",N205="Not Applicable"),OR(O205="Passed",O205="Not Applicable"),OR(N205="Passed",O205="Passed")),"Initial Pass","Not Complete"))))</x:f>
        <x:v>Defect Found</x:v>
      </x:c>
      <x:c r="X205" s="58" t="str">
        <x:v>Build 16 Android rejects actual submissions with blank, 0, 100.1 and 0.15 without requests or meals. DEF-035 stays fixed. DEF-096 records partly obscured step guidance. Native validation clearing does not prove server-error reset DEF-034; stale recipe/date cases and valid endpoint saves remain untested.
RUN-0423:Android build20 reproduces DEF096. RecipeA0.15 is rejected without a meal request; keyboard reopens over nearest-valid-values0.1/0.2. Cancel/back preserves exact14August39kcal summary. Root is default native invalid UI focusing input beneath keyboard while existing inline error is unused. Source now handles @invalid.prevent by setting logForm.servings error from native validationMessage; editing clears only that field. Required/min/max/step unchanged. One behavior test failed before fix;16focused frontend tests,TypeScript,diffcheck pass. Build21 native verification pending;keep In Progress.
RUN-0424/0425: both installed build 21. DEF-096 is Fixed after native Android validation/IME and iOS regression checks, field correction and exactly-once valid saves. The wider NUT-052 case matrix remains incomplete; initial iOS cell is not backfilled.</x:v>
      </x:c>
      <x:c r="Y205" s="58" t="str">
        <x:f>IF(OR(N205="Not Run",O205="Not Run"),"Pending",IF(AND(OR(N205="Not Applicable",COUNTIFS('Test Runs'!$B$5:$B$2004,A205,'Test Runs'!$C$5:$C$2004,"Initial",'Test Runs'!$D$5:$D$2004,"iOS",'Test Runs'!$I$5:$I$2004,N205)&gt;0),OR(O205="Not Applicable",COUNTIFS('Test Runs'!$B$5:$B$2004,A205,'Test Runs'!$C$5:$C$2004,"Initial",'Test Runs'!$D$5:$D$2004,"Android",'Test Runs'!$I$5:$I$2004,O205)&gt;0)),"Reconciled","Mismatch"))</x:f>
        <x:v>Pending</x:v>
      </x:c>
      <x:c r="Z205" s="58" t="str">
        <x:f>IF(OR(T205="Not Run",U205="Not Run"),"Pending",IF(AND(OR(T205="Not Applicable",COUNTIFS('Test Runs'!$B$5:$B$2004,A205,'Test Runs'!$C$5:$C$2004,"Retest",'Test Runs'!$D$5:$D$2004,"iOS",'Test Runs'!$I$5:$I$2004,T205)&gt;0),OR(U205="Not Applicable",COUNTIFS('Test Runs'!$B$5:$B$2004,A205,'Test Runs'!$C$5:$C$2004,"Retest",'Test Runs'!$D$5:$D$2004,"Android",'Test Runs'!$I$5:$I$2004,U205)&gt;0)),"Reconciled","Mismatch"))</x:f>
        <x:v>Reconciled</x:v>
      </x:c>
    </x:row>
    <x:row r="206" ht="120" customHeight="1">
      <x:c r="A206" s="58" t="str">
        <x:v>NUT-053</x:v>
      </x:c>
      <x:c r="B206" s="58" t="str">
        <x:v>Recipes - delete confirmation</x:v>
      </x:c>
      <x:c r="C206" s="58" t="str">
        <x:v>Recipes list &gt; Delete recipe</x:v>
      </x:c>
      <x:c r="D206" s="58" t="str">
        <x:v>As a user, I want to confirm before deleting a saved recipe so that I do not remove it accidentally.</x:v>
      </x:c>
      <x:c r="E206" s="58" t="str">
        <x:v>Each trash action has an accessible label naming its recipe and opens a confirmation sheet naming it. Cancel or one Android system Back dismisses an idle topmost confirmation in place, retaining the recipe and current page. During deletion, Confirm and Cancel are disabled/processing and system Back is consumed without dismissing or navigating. Success closes in place with Recipe deleted and removes the row.</x:v>
      </x:c>
      <x:c r="F206" s="58" t="str">
        <x:v>Both</x:v>
      </x:c>
      <x:c r="G206" s="58" t="str">
        <x:v>Saved recipe not currently being logged.</x:v>
      </x:c>
      <x:c r="H206" s="58" t="str">
        <x:v>Tap trash, cancel and verify retained; reopen, confirm, verify loading, toast and removal.</x:v>
      </x:c>
      <x:c r="I206" s="58" t="str">
        <x:v>Repeat on Android including system back dismissal.</x:v>
      </x:c>
      <x:c r="J206" s="58" t="str">
        <x:v>/Users/mason/Sites/Buff/tests/Feature/RecipeTest.php</x:v>
      </x:c>
      <x:c r="K206" s="58" t="str">
        <x:v>/Users/mason/Sites/Buff/resources/js/Components/RecipeMode.vue:221-255,400-424; /Users/mason/Sites/Buff/app/Http/Controllers/RecipeController.php:32-37</x:v>
      </x:c>
      <x:c r="L206" s="58" t="str">
        <x:v>Mapped</x:v>
      </x:c>
      <x:c r="M206" s="58" t="str">
        <x:v>Ready</x:v>
      </x:c>
      <x:c r="N206" s="58" t="str">
        <x:v>Not Run</x:v>
      </x:c>
      <x:c r="O206" s="58" t="str">
        <x:v>Failed</x:v>
      </x:c>
      <x:c r="P206" s="58" t="str">
        <x:v>Android: /Users/mason/.codex/visualizations/2026/09/01/01a05def-1c0d-76d1-abc6-07c63a443582/emulator-runs/initial/android/NUT-053-recipe-list-after-delete.png — The confirmation named Recipe B, Cancel retained it, Confirm removed it, and the list refreshed. Android Back did not dismiss the confirmation in place, and every row's delete control had the same accessible name.</x:v>
      </x:c>
      <x:c r="Q206" s="58" t="str">
        <x:v>DEF-018
DEF-036</x:v>
      </x:c>
      <x:c r="R206" s="58" t="str">
        <x:v>In Progress</x:v>
      </x:c>
      <x:c r="S206" s="58" t="str"/>
      <x:c r="T206" s="58" t="str">
        <x:v>Blocked</x:v>
      </x:c>
      <x:c r="U206" s="58" t="str">
        <x:v>Failed</x:v>
      </x:c>
      <x:c r="V206" s="58" t="str">
        <x:v>Android: /Users/mason/.codex/visualizations/2026/09/01/01a05def-1c0d-76d1-abc6-07c63a443582/emulator-runs/retest/android/NUT-043-057-two-recipes-offline.json
/Users/mason/.codex/visualizations/2026/09/01/01a05def-1c0d-76d1-abc6-07c63a443582/emulator-runs/retest/android/NUT-053-alert-confirmation-open.json
/Users/mason/.codex/visualizations/2026/09/01/01a05def-1c0d-76d1-abc6-07c63a443582/emulator-runs/retest/android/NUT-053-alert-confirmation-open.png
/Users/mason/.codex/visualizations/2026/09/01/01a05def-1c0d-76d1-abc6-07c63a443582/emulator-runs/retest/android/NUT-053-system-back-left-page.json
/Users/mason/.codex/visualizations/2026/09/01/01a05def-1c0d-76d1-abc6-07c63a443582/emulator-runs/retest/android/NUT-053-cancel-preserved-both.json — Delete controls correctly named each recipe and confirmation named the selected A. One Android Back with the visible alertdialog open navigated to Home instead of dismissing in-place. Reopening and pressing explicit Cancel stayed on Recipes and retained both rows. No Delete confirmation was submitted.
iOS: /Users/mason/.codex/visualizations/2026/09/01/01a05def-1c0d-76d1-abc6-07c63a443582/emulator-runs/retest/ios/NUT-053-recipe-a-delete-cancel.png
/Users/mason/.codex/visualizations/2026/09/01/01a05def-1c0d-76d1-abc6-07c63a443582/emulator-runs/retest/ios/NUT-053-recipe-b-delete-cancel.png
/Users/mason/.codex/visualizations/2026/09/01/01a05def-1c0d-76d1-abc6-07c63a443582/emulator-runs/retest/ios/NUT-043-057-batch008-observations.json — Both trash controls had distinct accessible labels containing their recipe names and measured 44 × 44 CSS pixels. A and B each opened Delete recipe with the correct full recipe name. A's alertdialog exposed 140 × 48 Cancel and Delete buttons. Cancel dismissed each confirmation; both recipes remained unchanged.</x:v>
      </x:c>
      <x:c r="W206" s="58" t="str">
        <x:f>IF(AND(OR(N206="Passed",N206="Failed",N206="Not Applicable"),OR(O206="Passed",O206="Failed",O206="Not Applicable"),OR(N206="Passed",N206="Failed",O206="Passed",O206="Failed"),OR(T206="Passed",T206="Not Applicable"),OR(U206="Passed",U206="Not Applicable"),OR(T206="Passed",U206="Passed"),Y206="Reconciled",Z206="Reconciled",IF(Q206&lt;&gt;"",R206="Fixed",TRUE)),"Verified",IF(OR(T206="Failed",U206="Failed"),"Retest Failed",IF(OR(N206="Failed",O206="Failed",Q206&lt;&gt;""),"Defect Found",IF(AND(OR(N206="Passed",N206="Not Applicable"),OR(O206="Passed",O206="Not Applicable"),OR(N206="Passed",O206="Passed")),"Initial Pass","Not Complete"))))</x:f>
        <x:v>Retest Failed</x:v>
      </x:c>
      <x:c r="X206" s="58" t="str">
        <x:v>No likely defect in the implemented confirmation branch.</x:v>
      </x:c>
      <x:c r="Y206" s="58" t="str">
        <x:f>IF(OR(N206="Not Run",O206="Not Run"),"Pending",IF(AND(OR(N206="Not Applicable",COUNTIFS('Test Runs'!$B$5:$B$2004,A206,'Test Runs'!$C$5:$C$2004,"Initial",'Test Runs'!$D$5:$D$2004,"iOS",'Test Runs'!$I$5:$I$2004,N206)&gt;0),OR(O206="Not Applicable",COUNTIFS('Test Runs'!$B$5:$B$2004,A206,'Test Runs'!$C$5:$C$2004,"Initial",'Test Runs'!$D$5:$D$2004,"Android",'Test Runs'!$I$5:$I$2004,O206)&gt;0)),"Reconciled","Mismatch"))</x:f>
        <x:v>Pending</x:v>
      </x:c>
      <x:c r="Z206" s="58" t="str">
        <x:f>IF(OR(T206="Not Run",U206="Not Run"),"Pending",IF(AND(OR(T206="Not Applicable",COUNTIFS('Test Runs'!$B$5:$B$2004,A206,'Test Runs'!$C$5:$C$2004,"Retest",'Test Runs'!$D$5:$D$2004,"iOS",'Test Runs'!$I$5:$I$2004,T206)&gt;0),OR(U206="Not Applicable",COUNTIFS('Test Runs'!$B$5:$B$2004,A206,'Test Runs'!$C$5:$C$2004,"Retest",'Test Runs'!$D$5:$D$2004,"Android",'Test Runs'!$I$5:$I$2004,U206)&gt;0)),"Reconciled","Mismatch"))</x:f>
        <x:v>Reconciled</x:v>
      </x:c>
    </x:row>
    <x:row r="207" ht="120" customHeight="1">
      <x:c r="A207" s="58" t="str">
        <x:v>NUT-054</x:v>
      </x:c>
      <x:c r="B207" s="58" t="str">
        <x:v>Recipes - delete failure</x:v>
      </x:c>
      <x:c r="C207" s="58" t="str">
        <x:v>Recipe delete confirmation</x:v>
      </x:c>
      <x:c r="D207" s="58" t="str">
        <x:v>As a user, I want a failed recipe deletion explained without losing the confirmation context so that I can retry.</x:v>
      </x:c>
      <x:c r="E207" s="58" t="str">
        <x:v>On router error or an unfinished response that leaves the pending recipe present, the confirmation sheet stays open and shows "Couldn’t delete this recipe. Try again."; processing then clears and Cancel becomes available.</x:v>
      </x:c>
      <x:c r="F207" s="58" t="str">
        <x:v>Both</x:v>
      </x:c>
      <x:c r="G207" s="58" t="str">
        <x:v>Force offline/network failure or server 500 while confirming deletion.</x:v>
      </x:c>
      <x:c r="H207" s="58" t="str">
        <x:v>Disable network immediately before Confirm; verify recipe remains and error is visible; cancel safely.</x:v>
      </x:c>
      <x:c r="I207" s="58" t="str">
        <x:v>Repeat on Android.</x:v>
      </x:c>
      <x:c r="J207" s="58" t="str">
        <x:v>No explicit failure-path feature test found.</x:v>
      </x:c>
      <x:c r="K207" s="58" t="str">
        <x:v>/Users/mason/Sites/Buff/resources/js/Components/RecipeMode.vue:233-255,415-424</x:v>
      </x:c>
      <x:c r="L207" s="58" t="str">
        <x:v>Mapped</x:v>
      </x:c>
      <x:c r="M207" s="58" t="str">
        <x:v>Ready</x:v>
      </x:c>
      <x:c r="N207" s="58" t="str">
        <x:v>Not Run</x:v>
      </x:c>
      <x:c r="O207" s="58" t="str">
        <x:v>Blocked</x:v>
      </x:c>
      <x:c r="P207" s="58" t="str">
        <x:v>Android: /Users/mason/.codex/visualizations/2026/09/01/01a05def-1c0d-76d1-abc6-07c63a443582/emulator-runs/initial/android/NUT-053-recipe-list-after-delete.png — Airplane mode cannot force this local loopback mutation to fail. The scoped XMLHttpRequest redirection did not intercept Inertia's current transport and the disposable recipe deleted successfully, so no failure result is claimed.</x:v>
      </x:c>
      <x:c r="Q207" s="58" t="str"/>
      <x:c r="R207" s="58" t="str">
        <x:v>Not Needed</x:v>
      </x:c>
      <x:c r="S207" s="58" t="str"/>
      <x:c r="T207" s="58" t="str">
        <x:v>Not Run</x:v>
      </x:c>
      <x:c r="U207" s="58" t="str">
        <x:v>Not Run</x:v>
      </x:c>
      <x:c r="V207" s="58" t="str"/>
      <x:c r="W207" s="58" t="str">
        <x:f>IF(AND(OR(N207="Passed",N207="Failed",N207="Not Applicable"),OR(O207="Passed",O207="Failed",O207="Not Applicable"),OR(N207="Passed",N207="Failed",O207="Passed",O207="Failed"),OR(T207="Passed",T207="Not Applicable"),OR(U207="Passed",U207="Not Applicable"),OR(T207="Passed",U207="Passed"),Y207="Reconciled",Z207="Reconciled",IF(Q207&lt;&gt;"",R207="Fixed",TRUE)),"Verified",IF(OR(T207="Failed",U207="Failed"),"Retest Failed",IF(OR(N207="Failed",O207="Failed",Q207&lt;&gt;""),"Defect Found",IF(AND(OR(N207="Passed",N207="Not Applicable"),OR(O207="Passed",O207="Not Applicable"),OR(N207="Passed",O207="Passed")),"Initial Pass","Not Complete"))))</x:f>
        <x:v>Not Complete</x:v>
      </x:c>
      <x:c r="X207" s="58" t="str">
        <x:v>The failure is generic and does not distinguish offline, authorization, validation, or server failure.</x:v>
      </x:c>
      <x:c r="Y207" s="58" t="str">
        <x:f>IF(OR(N207="Not Run",O207="Not Run"),"Pending",IF(AND(OR(N207="Not Applicable",COUNTIFS('Test Runs'!$B$5:$B$2004,A207,'Test Runs'!$C$5:$C$2004,"Initial",'Test Runs'!$D$5:$D$2004,"iOS",'Test Runs'!$I$5:$I$2004,N207)&gt;0),OR(O207="Not Applicable",COUNTIFS('Test Runs'!$B$5:$B$2004,A207,'Test Runs'!$C$5:$C$2004,"Initial",'Test Runs'!$D$5:$D$2004,"Android",'Test Runs'!$I$5:$I$2004,O207)&gt;0)),"Reconciled","Mismatch"))</x:f>
        <x:v>Pending</x:v>
      </x:c>
      <x:c r="Z207" s="58" t="str">
        <x:f>IF(OR(T207="Not Run",U207="Not Run"),"Pending",IF(AND(OR(T207="Not Applicable",COUNTIFS('Test Runs'!$B$5:$B$2004,A207,'Test Runs'!$C$5:$C$2004,"Retest",'Test Runs'!$D$5:$D$2004,"iOS",'Test Runs'!$I$5:$I$2004,T207)&gt;0),OR(U207="Not Applicable",COUNTIFS('Test Runs'!$B$5:$B$2004,A207,'Test Runs'!$C$5:$C$2004,"Retest",'Test Runs'!$D$5:$D$2004,"Android",'Test Runs'!$I$5:$I$2004,U207)&gt;0)),"Reconciled","Mismatch"))</x:f>
        <x:v>Pending</x:v>
      </x:c>
    </x:row>
    <x:row r="208" ht="120" customHeight="1">
      <x:c r="A208" s="58" t="str">
        <x:v>NUT-055</x:v>
      </x:c>
      <x:c r="B208" s="58" t="str">
        <x:v>Recipes - logged-meal retention</x:v>
      </x:c>
      <x:c r="C208" s="58" t="str">
        <x:v>Delete a recipe that has logged meals</x:v>
      </x:c>
      <x:c r="D208" s="58" t="str">
        <x:v>As a user, I want past logs to remain meaningful after deleting a recipe so that my history is preserved.</x:v>
      </x:c>
      <x:c r="E208" s="58" t="str">
        <x:v>Deleting a recipe does not delete logged meal entries: the meal snapshot retains its name and macros while recipe_id is set null by the foreign key; it can still be viewed/edited/deleted as a meal.</x:v>
      </x:c>
      <x:c r="F208" s="58" t="str">
        <x:v>Both</x:v>
      </x:c>
      <x:c r="G208" s="58" t="str">
        <x:v>Recipe logged on a past date, then recipe deleted.</x:v>
      </x:c>
      <x:c r="H208" s="58" t="str">
        <x:v>Delete recipe, navigate to past date, verify meal and its snapshot totals remain.</x:v>
      </x:c>
      <x:c r="I208" s="58" t="str">
        <x:v>Repeat after cross-device sync on Android.</x:v>
      </x:c>
      <x:c r="J208" s="58" t="str">
        <x:v>/Users/mason/Sites/Buff/tests/Feature/RecipeTest.php</x:v>
      </x:c>
      <x:c r="K208" s="58" t="str">
        <x:v>/Users/mason/Sites/Buff/database/migrations/2026_08_20_140330_add_recipe_id_to_meal_entries_table.php; /Users/mason/Sites/Buff/app/Models/MealEntry.php; /Users/mason/Sites/Buff/app/Http/Controllers/RecipeController.php:32-37</x:v>
      </x:c>
      <x:c r="L208" s="58" t="str">
        <x:v>Mapped</x:v>
      </x:c>
      <x:c r="M208" s="58" t="str">
        <x:v>Ready</x:v>
      </x:c>
      <x:c r="N208" s="58" t="str">
        <x:v>Not Run</x:v>
      </x:c>
      <x:c r="O208" s="58" t="str">
        <x:v>Passed</x:v>
      </x:c>
      <x:c r="P208" s="58" t="str">
        <x:v>Android: /Users/mason/.codex/visualizations/2026/09/01/01a05def-1c0d-76d1-abc6-07c63a443582/emulator-runs/initial/android/NUT-052-recipe-b-blank-servings-logged.png
/Users/mason/.codex/visualizations/2026/09/01/01a05def-1c0d-76d1-abc6-07c63a443582/emulator-runs/initial/android/NUT-053-recipe-list-after-delete.png — Deleting saved Recipe B removed it from Recipes, while its existing dated 0.1-serving, 39-kcal meal remained on Today with the original name and macros.</x:v>
      </x:c>
      <x:c r="Q208" s="58" t="str"/>
      <x:c r="R208" s="58" t="str">
        <x:v>Not Needed</x:v>
      </x:c>
      <x:c r="S208" s="58" t="str"/>
      <x:c r="T208" s="58" t="str">
        <x:v>Not Run</x:v>
      </x:c>
      <x:c r="U208" s="58" t="str">
        <x:v>Not Run</x:v>
      </x:c>
      <x:c r="V208" s="58" t="str"/>
      <x:c r="W208" s="58" t="str">
        <x:f>IF(AND(OR(N208="Passed",N208="Failed",N208="Not Applicable"),OR(O208="Passed",O208="Failed",O208="Not Applicable"),OR(N208="Passed",N208="Failed",O208="Passed",O208="Failed"),OR(T208="Passed",T208="Not Applicable"),OR(U208="Passed",U208="Not Applicable"),OR(T208="Passed",U208="Passed"),Y208="Reconciled",Z208="Reconciled",IF(Q208&lt;&gt;"",R208="Fixed",TRUE)),"Verified",IF(OR(T208="Failed",U208="Failed"),"Retest Failed",IF(OR(N208="Failed",O208="Failed",Q208&lt;&gt;""),"Defect Found",IF(AND(OR(N208="Passed",N208="Not Applicable"),OR(O208="Passed",O208="Not Applicable"),OR(N208="Passed",O208="Passed")),"Initial Pass","Not Complete"))))</x:f>
        <x:v>Not Complete</x:v>
      </x:c>
      <x:c r="X208" s="58" t="str">
        <x:v>The retained meal loses its recipe relationship and cannot be recovered as an editable saved recipe.</x:v>
      </x:c>
      <x:c r="Y208" s="58" t="str">
        <x:f>IF(OR(N208="Not Run",O208="Not Run"),"Pending",IF(AND(OR(N208="Not Applicable",COUNTIFS('Test Runs'!$B$5:$B$2004,A208,'Test Runs'!$C$5:$C$2004,"Initial",'Test Runs'!$D$5:$D$2004,"iOS",'Test Runs'!$I$5:$I$2004,N208)&gt;0),OR(O208="Not Applicable",COUNTIFS('Test Runs'!$B$5:$B$2004,A208,'Test Runs'!$C$5:$C$2004,"Initial",'Test Runs'!$D$5:$D$2004,"Android",'Test Runs'!$I$5:$I$2004,O208)&gt;0)),"Reconciled","Mismatch"))</x:f>
        <x:v>Pending</x:v>
      </x:c>
      <x:c r="Z208" s="58" t="str">
        <x:f>IF(OR(T208="Not Run",U208="Not Run"),"Pending",IF(AND(OR(T208="Not Applicable",COUNTIFS('Test Runs'!$B$5:$B$2004,A208,'Test Runs'!$C$5:$C$2004,"Retest",'Test Runs'!$D$5:$D$2004,"iOS",'Test Runs'!$I$5:$I$2004,T208)&gt;0),OR(U208="Not Applicable",COUNTIFS('Test Runs'!$B$5:$B$2004,A208,'Test Runs'!$C$5:$C$2004,"Retest",'Test Runs'!$D$5:$D$2004,"Android",'Test Runs'!$I$5:$I$2004,U208)&gt;0)),"Reconciled","Mismatch"))</x:f>
        <x:v>Pending</x:v>
      </x:c>
    </x:row>
    <x:row r="209" ht="572.4000244140625" hidden="0" customHeight="1">
      <x:c r="A209" s="58" t="str">
        <x:v>NUT-056</x:v>
      </x:c>
      <x:c r="B209" s="58" t="str">
        <x:v>Recipes - edit capability gap</x:v>
      </x:c>
      <x:c r="C209" s="58" t="str">
        <x:v>Recipes list → Edit → Update recipe</x:v>
      </x:c>
      <x:c r="D209" s="58" t="str">
        <x:v>As a user, I want to edit a saved recipe so that I can correct ingredients or yield.</x:v>
      </x:c>
      <x:c r="E209" s="58" t="str">
        <x:v>Each saved recipe has an Edit action. It opens the existing editor with copied name, yield and ingredient snapshots, clears abandoned editor state and submits PUT /recipes/{recipe}. Server validates/recalculates product ingredients and flashes Recipe updated; success returns to the refreshed list. Cancel makes no update and previously logged meal snapshots remain independent.</x:v>
      </x:c>
      <x:c r="F209" s="58" t="str">
        <x:v>Both</x:v>
      </x:c>
      <x:c r="G209" s="58" t="str">
        <x:v>Existing saved recipe.</x:v>
      </x:c>
      <x:c r="H209" s="58" t="str">
        <x:v>Edit name/yield and add/remove ingredients; verify exact prefill, updated totals and saved list after relaunch. Cancel a second edit and verify preservation. Trigger validation, correct and update; verify previously logged meals keep their snapshots.</x:v>
      </x:c>
      <x:c r="I209" s="58" t="str">
        <x:v>Repeat Android including offline update/local persistence, invalid ingredient feedback and Cancel/Back behavior.</x:v>
      </x:c>
      <x:c r="J209" s="58" t="str">
        <x:v>/Users/mason/Sites/Buff/tests/Feature/RecipeTest.php:211,272 — same-UUID successful update, exact item snapshot, dated back redirect/flash, unchanged old meal, and rejected top-level/nested updates preserving records. RecipeTest42/304 assertions; full PHP396/3141 passed. Existing recipeDesign template-label test passed.</x:v>
      </x:c>
      <x:c r="K209" s="58" t="str">
        <x:v>/Users/mason/Sites/Buff/routes/web.php:96; /Users/mason/Sites/Buff/app/Http/Controllers/RecipeController.php:25-30,42-95; /Users/mason/Sites/Buff/resources/js/Components/RecipeMode.vue:382-424</x:v>
      </x:c>
      <x:c r="L209" s="58" t="str">
        <x:v>Mapped</x:v>
      </x:c>
      <x:c r="M209" s="58" t="str">
        <x:v>Ready</x:v>
      </x:c>
      <x:c r="N209" s="58" t="str">
        <x:v>Not Run</x:v>
      </x:c>
      <x:c r="O209" s="58" t="str">
        <x:v>Failed</x:v>
      </x:c>
      <x:c r="P209" s="58" t="str">
        <x:v>Android: /Users/mason/.codex/visualizations/2026/09/01/01a05def-1c0d-76d1-abc6-07c63a443582/emulator-runs/initial/android/NUT-053-recipe-list-after-delete.png — Saved recipe rows and the log review exposed only log, Back, and delete paths; no user-visible action reaches the implemented update route.</x:v>
      </x:c>
      <x:c r="Q209" s="58" t="str">
        <x:v>DEF-037
DEF-095</x:v>
      </x:c>
      <x:c r="R209" s="58" t="str">
        <x:v>Open</x:v>
      </x:c>
      <x:c r="S209" s="58" t="str"/>
      <x:c r="T209" s="58" t="str">
        <x:v>Blocked</x:v>
      </x:c>
      <x:c r="U209" s="58" t="str">
        <x:v>Blocked</x:v>
      </x:c>
      <x:c r="V209" s="58" t="str">
        <x:v>Android: /Users/mason/.codex/visualizations/2026/09/01/01a05def-1c0d-76d1-abc6-07c63a443582/emulator-runs/retest/android/NUT-056-prefill.json
/Users/mason/.codex/visualizations/2026/09/01/01a05def-1c0d-76d1-abc6-07c63a443582/emulator-runs/retest/android/NUT-056-updated.json
/Users/mason/.codex/visualizations/2026/09/01/01a05def-1c0d-76d1-abc6-07c63a443582/emulator-runs/retest/android/NUT-056-cancel-draft.json
/Users/mason/.codex/visualizations/2026/09/01/01a05def-1c0d-76d1-abc6-07c63a443582/emulator-runs/retest/android/NUT-056-cancel-preserved.json
/Users/mason/.codex/visualizations/2026/09/01/01a05def-1c0d-76d1-abc6-07c63a443582/emulator-runs/retest/android/NUT-056-057-offline-relaunch.json — Edit accurately prefilled name, yield and both ingredient snapshots. Rename, yield 4→2 and removing milk saved the same UUID with 165/P10/C20/F5. An unsaved second rename was cancelled and original saved values remained. The update survived offline process restart.
iOS: /Users/mason/.codex/visualizations/2026/09/01/01a05def-1c0d-76d1-abc6-07c63a443582/emulator-runs/retest/ios/NUT-056-recipe-a-edit-prefill.png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/Users/mason/.codex/visualizations/2026/09/01/01a05def-1c0d-76d1-abc6-07c63a443582/emulator-runs/retest/ios/NUT-052-053-056-today-preserved500.png
/Users/mason/.codex/visualizations/2026/09/01/01a05def-1c0d-76d1-abc6-07c63a443582/emulator-runs/retest/ios/NUT-043-057-batch008-observations.json — Edit A restored the revised name, yield 2 and QA oats 100 g snapshot with 165 kcal / P 10g / C 20g / F 5g. Cancel returned to the library. Edit B restored its distinct name, yield 1 and QA water 100 g snapshot with zero totals. Cancel again returned to the unchanged library. The existing custom meal remained unchanged.
RUN-0398 — Android.
RUN-0400 — iOS.
RUN-0401 — iOS.
Full actual results, gaps and evidence are retained in Test Runs.</x:v>
      </x:c>
      <x:c r="W209" s="58" t="str">
        <x:f>IF(AND(OR(N209="Passed",N209="Failed",N209="Not Applicable"),OR(O209="Passed",O209="Failed",O209="Not Applicable"),OR(N209="Passed",N209="Failed",O209="Passed",O209="Failed"),OR(T209="Passed",T209="Not Applicable"),OR(U209="Passed",U209="Not Applicable"),OR(T209="Passed",U209="Passed"),Y209="Reconciled",Z209="Reconciled",IF(Q209&lt;&gt;"",R209="Fixed",TRUE)),"Verified",IF(OR(T209="Failed",U209="Failed"),"Retest Failed",IF(OR(N209="Failed",O209="Failed",Q209&lt;&gt;""),"Defect Found",IF(AND(OR(N209="Passed",N209="Not Applicable"),OR(O209="Passed",O209="Not Applicable"),OR(N209="Passed",O209="Passed")),"Initial Pass","Not Complete"))))</x:f>
        <x:v>Defect Found</x:v>
      </x:c>
      <x:c r="X209" s="58" t="str">
        <x:v>Confirmed UX gap: a working backend update feature is not user-accessible.
Build16 clarification: that sentence records the original missing-action failure, not the current UI. Edit now opens and updates saved QA recipes. New native checks cover validation recovery, addition/removal, exact prefill, feedback, Cancel and unchanged prior meal snapshots. Full product-backed, nested-server and offline edit coverage remains incomplete.</x:v>
      </x:c>
      <x:c r="Y209" s="58" t="str">
        <x:f>IF(OR(N209="Not Run",O209="Not Run"),"Pending",IF(AND(OR(N209="Not Applicable",COUNTIFS('Test Runs'!$B$5:$B$2004,A209,'Test Runs'!$C$5:$C$2004,"Initial",'Test Runs'!$D$5:$D$2004,"iOS",'Test Runs'!$I$5:$I$2004,N209)&gt;0),OR(O209="Not Applicable",COUNTIFS('Test Runs'!$B$5:$B$2004,A209,'Test Runs'!$C$5:$C$2004,"Initial",'Test Runs'!$D$5:$D$2004,"Android",'Test Runs'!$I$5:$I$2004,O209)&gt;0)),"Reconciled","Mismatch"))</x:f>
        <x:v>Pending</x:v>
      </x:c>
      <x:c r="Z209" s="58" t="str">
        <x:f>IF(OR(T209="Not Run",U209="Not Run"),"Pending",IF(AND(OR(T209="Not Applicable",COUNTIFS('Test Runs'!$B$5:$B$2004,A209,'Test Runs'!$C$5:$C$2004,"Retest",'Test Runs'!$D$5:$D$2004,"iOS",'Test Runs'!$I$5:$I$2004,T209)&gt;0),OR(U209="Not Applicable",COUNTIFS('Test Runs'!$B$5:$B$2004,A209,'Test Runs'!$C$5:$C$2004,"Retest",'Test Runs'!$D$5:$D$2004,"Android",'Test Runs'!$I$5:$I$2004,U209)&gt;0)),"Reconciled","Mismatch"))</x:f>
        <x:v>Reconciled</x:v>
      </x:c>
    </x:row>
    <x:row r="210" ht="120" customHeight="1">
      <x:c r="A210" s="58" t="str">
        <x:v>NUT-057</x:v>
      </x:c>
      <x:c r="B210" s="58" t="str">
        <x:v>Recipes - offline sync</x:v>
      </x:c>
      <x:c r="C210" s="58" t="str">
        <x:v>Any recipe or recipe-meal mutation while offline, then Sync/reconnect</x:v>
      </x:c>
      <x:c r="D210" s="58" t="str">
        <x:v>As a signed-in user, I want recipe creates, updates, deletions, and recipe meal logs to sync across devices so that my library and diary stay consistent.</x:v>
      </x:c>
      <x:c r="E210" s="58" t="str">
        <x:v>Recipe and recipe-meal mutations write to local SQLite first, enter the sync outbox, and later upload full recipe snapshots/meal fields; server accepts recipes and recipe-linked meals and uses record timestamps/device id for conflicts.</x:v>
      </x:c>
      <x:c r="F210" s="58" t="str">
        <x:v>Both + remote sync</x:v>
      </x:c>
      <x:c r="G210" s="58" t="str">
        <x:v>Two signed-in devices; same recipe; network toggling.</x:v>
      </x:c>
      <x:c r="H210" s="58" t="str">
        <x:v>Create, edit, log and delete recipes offline on iOS, reconnect/sync and verify Android. Edit the same recipe on both devices offline and verify the timestamp/device conflict contract through normal editor flows.</x:v>
      </x:c>
      <x:c r="I210" s="58" t="str">
        <x:v>Perform reciprocal Android-to-iOS create/edit/log/delete and conflict flows through the saved recipe Edit control.</x:v>
      </x:c>
      <x:c r="J210" s="58" t="str">
        <x:v>/Users/mason/Sites/buff-server/tests/Feature/SyncTest.php:9-74,209-267,404-466</x:v>
      </x:c>
      <x:c r="K210" s="58" t="str">
        <x:v>/Users/mason/Sites/Buff/config/buff.php:23-43; /Users/mason/Sites/Buff/app/Services/BuffSyncService.php:61-148; /Users/mason/Sites/buff-server/tests/Feature/SyncTest.php:209-267</x:v>
      </x:c>
      <x:c r="L210" s="58" t="str">
        <x:v>Mapped</x:v>
      </x:c>
      <x:c r="M210" s="58" t="str">
        <x:v>Ready</x:v>
      </x:c>
      <x:c r="N210" s="58" t="str">
        <x:v>Not Run</x:v>
      </x:c>
      <x:c r="O210" s="58" t="str">
        <x:v>Blocked</x:v>
      </x:c>
      <x:c r="P210" s="58" t="str">
        <x:v>Android: /Users/mason/.codex/visualizations/2026/09/01/01a05def-1c0d-76d1-abc6-07c63a443582/emulator-runs/initial/android/NUT-057-recipe-b-offline-before-save.png — Recipe B was created offline, appeared immediately newest-first, survived force-stop/relaunch offline, and remained after reconnect. Cross-device iOS receipt, recipe-meal receipt, conflict, and delete propagation are not yet verified.</x:v>
      </x:c>
      <x:c r="Q210" s="58" t="str"/>
      <x:c r="R210" s="58" t="str">
        <x:v>Not Needed</x:v>
      </x:c>
      <x:c r="S210" s="58" t="str"/>
      <x:c r="T210" s="58" t="str">
        <x:v>Blocked</x:v>
      </x:c>
      <x:c r="U210" s="58" t="str">
        <x:v>Blocked</x:v>
      </x:c>
      <x:c r="V210" s="58" t="str">
        <x:v>Android: /Users/mason/.codex/visualizations/2026/09/01/01a05def-1c0d-76d1-abc6-07c63a443582/emulator-runs/retest/android/NUT-043-057-two-recipes-offline.json
/Users/mason/.codex/visualizations/2026/09/01/01a05def-1c0d-76d1-abc6-07c63a443582/emulator-runs/retest/android/NUT-056-057-offline-relaunch.json
/Users/mason/.codex/visualizations/2026/09/01/01a05def-1c0d-76d1-abc6-07c63a443582/emulator-runs/retest/android/NUT-053-cancel-preserved-both.json — With Wi-Fi/mobile data disabled and navigator.onLine=false, valid zero-macro Recipe B saved locally. Force-stop/relaunch offline retained B and edited A. Re-enabling connectivity completed sync with pending 0 and no error; both recipes remained. Radios were restored on.
iOS: /Users/mason/.codex/visualizations/2026/09/01/01a05def-1c0d-76d1-abc6-07c63a443582/emulator-runs/retest/ios/NUT-043-recipe-empty-before-sync.png
/Users/mason/.codex/visualizations/2026/09/01/01a05def-1c0d-76d1-abc6-07c63a443582/emulator-runs/retest/ios/NUT-043-057-recipes-received.png
/Users/mason/.codex/visualizations/2026/09/01/01a05def-1c0d-76d1-abc6-07c63a443582/emulator-runs/retest/ios/NUT-056-recipe-a-edit-prefill.png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/Users/mason/.codex/visualizations/2026/09/01/01a05def-1c0d-76d1-abc6-07c63a443582/emulator-runs/retest/ios/NUT-043-057-batch008-observations.json — The initially empty iOS recipe page received Android's revised recipe A and offline-created recipe B through normal background/resume sync. The already open page updated to both rows. Their UUIDs, names, saved yields, ingredient quantities and nutritional snapshots matched the fixtures. Sync succeeded at 11:20:11 UTC with pending 0 and no error.</x:v>
      </x:c>
      <x:c r="W210" s="58" t="str">
        <x:f>IF(AND(OR(N210="Passed",N210="Failed",N210="Not Applicable"),OR(O210="Passed",O210="Failed",O210="Not Applicable"),OR(N210="Passed",N210="Failed",O210="Passed",O210="Failed"),OR(T210="Passed",T210="Not Applicable"),OR(U210="Passed",U210="Not Applicable"),OR(T210="Passed",U210="Passed"),Y210="Reconciled",Z210="Reconciled",IF(Q210&lt;&gt;"",R210="Fixed",TRUE)),"Verified",IF(OR(T210="Failed",U210="Failed"),"Retest Failed",IF(OR(N210="Failed",O210="Failed",Q210&lt;&gt;""),"Defect Found",IF(AND(OR(N210="Passed",N210="Not Applicable"),OR(O210="Passed",O210="Not Applicable"),OR(N210="Passed",O210="Passed")),"Initial Pass","Not Complete"))))</x:f>
        <x:v>Not Complete</x:v>
      </x:c>
      <x:c r="X210" s="58" t="str">
        <x:v>Conflict resolution can silently replace a user’s local recipe with the later timestamp, or equal-timestamp higher device id; UI provides no merge/conflict notice. Recipe update is API-only until an edit affordance exists.</x:v>
      </x:c>
      <x:c r="Y210" s="58" t="str">
        <x:f>IF(OR(N210="Not Run",O210="Not Run"),"Pending",IF(AND(OR(N210="Not Applicable",COUNTIFS('Test Runs'!$B$5:$B$2004,A210,'Test Runs'!$C$5:$C$2004,"Initial",'Test Runs'!$D$5:$D$2004,"iOS",'Test Runs'!$I$5:$I$2004,N210)&gt;0),OR(O210="Not Applicable",COUNTIFS('Test Runs'!$B$5:$B$2004,A210,'Test Runs'!$C$5:$C$2004,"Initial",'Test Runs'!$D$5:$D$2004,"Android",'Test Runs'!$I$5:$I$2004,O210)&gt;0)),"Reconciled","Mismatch"))</x:f>
        <x:v>Pending</x:v>
      </x:c>
      <x:c r="Z210" s="58" t="str">
        <x:f>IF(OR(T210="Not Run",U210="Not Run"),"Pending",IF(AND(OR(T210="Not Applicable",COUNTIFS('Test Runs'!$B$5:$B$2004,A210,'Test Runs'!$C$5:$C$2004,"Retest",'Test Runs'!$D$5:$D$2004,"iOS",'Test Runs'!$I$5:$I$2004,T210)&gt;0),OR(U210="Not Applicable",COUNTIFS('Test Runs'!$B$5:$B$2004,A210,'Test Runs'!$C$5:$C$2004,"Retest",'Test Runs'!$D$5:$D$2004,"Android",'Test Runs'!$I$5:$I$2004,U210)&gt;0)),"Reconciled","Mismatch"))</x:f>
        <x:v>Reconciled</x:v>
      </x:c>
    </x:row>
    <x:row r="211" ht="120" customHeight="1">
      <x:c r="A211" s="58" t="str">
        <x:v>NUT-058</x:v>
      </x:c>
      <x:c r="B211" s="58" t="str">
        <x:v>AI meal analysis - subscription gate</x:v>
      </x:c>
      <x:c r="C211" s="58" t="str">
        <x:v>Add chooser &gt; Photo meal</x:v>
      </x:c>
      <x:c r="D211" s="58" t="str">
        <x:v>As a user, I want clear access rules for photo analysis so that I know when Buff+ is required.</x:v>
      </x:c>
      <x:c r="E211" s="58" t="str">
        <x:v>Selecting Photo meal while the locally known subscription is inactive routes to Subscription instead of opening analysis. If local entitlement is stale, the server independently rejects analysis/follow-up with 403 subscription_required before storing/calling AI and the UI shows a Buff+ message plus View Buff+.</x:v>
      </x:c>
      <x:c r="F211" s="58" t="str">
        <x:v>Both + remote API</x:v>
      </x:c>
      <x:c r="G211" s="58" t="str">
        <x:v>Free account, active subscriber, expired/stale local subscription.</x:v>
      </x:c>
      <x:c r="H211" s="58" t="str">
        <x:v>Try entry as free user, then force server-only rejection; verify redirect/message; restore/subscribe and retry.</x:v>
      </x:c>
      <x:c r="I211" s="58" t="str">
        <x:v>Repeat purchase/restore and stale-entitlement cases on Android.</x:v>
      </x:c>
      <x:c r="J211" s="58" t="str">
        <x:v>/Users/mason/Sites/buff-server/tests/Feature/MealAnalysisTest.php:50-79,106-123</x:v>
      </x:c>
      <x:c r="K211" s="58" t="str">
        <x:v>/Users/mason/Sites/Buff/resources/js/Pages/Add.vue:144-185,775-783,1012-1018,1084-1088; /Users/mason/Sites/buff-server/app/Services/MealAnalysisService.php:201-210; /Users/mason/Sites/buff-server/tests/Feature/MealAnalysisTest.php:50-79</x:v>
      </x:c>
      <x:c r="L211" s="58" t="str">
        <x:v>Mapped</x:v>
      </x:c>
      <x:c r="M211" s="58" t="str">
        <x:v>Ready</x:v>
      </x:c>
      <x:c r="N211" s="58" t="str">
        <x:v>Not Run</x:v>
      </x:c>
      <x:c r="O211" s="58" t="str">
        <x:v>Blocked</x:v>
      </x:c>
      <x:c r="P211"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Selecting Photo while free routed to Subscription, so the free local gate passed. Active-subscriber entry and the stale-local-entitlement server subscription_required branch remain pending because active Buff+ could not be provisioned in the current emulator.</x:v>
      </x:c>
      <x:c r="Q211" s="58" t="str"/>
      <x:c r="R211" s="58" t="str">
        <x:v>Not Needed</x:v>
      </x:c>
      <x:c r="S211" s="58" t="str"/>
      <x:c r="T211" s="58" t="str">
        <x:v>Not Run</x:v>
      </x:c>
      <x:c r="U211" s="58" t="str">
        <x:v>Not Run</x:v>
      </x:c>
      <x:c r="V211" s="58" t="str"/>
      <x:c r="W211" s="58" t="str">
        <x:f>IF(AND(OR(N211="Passed",N211="Failed",N211="Not Applicable"),OR(O211="Passed",O211="Failed",O211="Not Applicable"),OR(N211="Passed",N211="Failed",O211="Passed",O211="Failed"),OR(T211="Passed",T211="Not Applicable"),OR(U211="Passed",U211="Not Applicable"),OR(T211="Passed",U211="Passed"),Y211="Reconciled",Z211="Reconciled",IF(Q211&lt;&gt;"",R211="Fixed",TRUE)),"Verified",IF(OR(T211="Failed",U211="Failed"),"Retest Failed",IF(OR(N211="Failed",O211="Failed",Q211&lt;&gt;""),"Defect Found",IF(AND(OR(N211="Passed",N211="Not Applicable"),OR(O211="Passed",O211="Not Applicable"),OR(N211="Passed",O211="Passed")),"Initial Pass","Not Complete"))))</x:f>
        <x:v>Not Complete</x:v>
      </x:c>
      <x:c r="X211" s="58" t="str">
        <x:v>The local gate relies on cached account expiry, so an entitled user with stale local account data can be redirected before the server can verify access.</x:v>
      </x:c>
      <x:c r="Y211" s="58" t="str">
        <x:f>IF(OR(N211="Not Run",O211="Not Run"),"Pending",IF(AND(OR(N211="Not Applicable",COUNTIFS('Test Runs'!$B$5:$B$2004,A211,'Test Runs'!$C$5:$C$2004,"Initial",'Test Runs'!$D$5:$D$2004,"iOS",'Test Runs'!$I$5:$I$2004,N211)&gt;0),OR(O211="Not Applicable",COUNTIFS('Test Runs'!$B$5:$B$2004,A211,'Test Runs'!$C$5:$C$2004,"Initial",'Test Runs'!$D$5:$D$2004,"Android",'Test Runs'!$I$5:$I$2004,O211)&gt;0)),"Reconciled","Mismatch"))</x:f>
        <x:v>Pending</x:v>
      </x:c>
      <x:c r="Z211" s="58" t="str">
        <x:f>IF(OR(T211="Not Run",U211="Not Run"),"Pending",IF(AND(OR(T211="Not Applicable",COUNTIFS('Test Runs'!$B$5:$B$2004,A211,'Test Runs'!$C$5:$C$2004,"Retest",'Test Runs'!$D$5:$D$2004,"iOS",'Test Runs'!$I$5:$I$2004,T211)&gt;0),OR(U211="Not Applicable",COUNTIFS('Test Runs'!$B$5:$B$2004,A211,'Test Runs'!$C$5:$C$2004,"Retest",'Test Runs'!$D$5:$D$2004,"Android",'Test Runs'!$I$5:$I$2004,U211)&gt;0)),"Reconciled","Mismatch"))</x:f>
        <x:v>Pending</x:v>
      </x:c>
    </x:row>
    <x:row r="212" ht="120" customHeight="1">
      <x:c r="A212" s="58" t="str">
        <x:v>NUT-059</x:v>
      </x:c>
      <x:c r="B212" s="58" t="str">
        <x:v>AI meal analysis - photo acquisition</x:v>
      </x:c>
      <x:c r="C212" s="58" t="str">
        <x:v>Photo meal screen &gt; Take photo / Choose photo</x:v>
      </x:c>
      <x:c r="D212" s="58" t="str">
        <x:v>As a subscriber, I want to take or choose up to three meal photos so that the estimate can use multiple angles.</x:v>
      </x:c>
      <x:c r="E212" s="58" t="str">
        <x:v>Take photo invokes a file input with environment capture; Choose photo allows multiple library images; selection takes only remaining capacity up to three, produces previews, labels count, permits per-photo removal, revokes removed/unmounted object URLs, and hides acquisition actions at three.</x:v>
      </x:c>
      <x:c r="F212" s="58" t="str">
        <x:v>Both</x:v>
      </x:c>
      <x:c r="G212" s="58" t="str">
        <x:v>Buff+ account; camera/library permissions in allow, deny, limited-library states; 1-4 images.</x:v>
      </x:c>
      <x:c r="H212" s="58" t="str">
        <x:v>Allow camera and add one; choose three more and verify only two accepted; remove/re-add; test denied and limited permissions.</x:v>
      </x:c>
      <x:c r="I212" s="58" t="str">
        <x:v>Repeat with Android camera/photo-picker permission states.</x:v>
      </x:c>
      <x:c r="J212" s="58" t="str">
        <x:v>/Users/mason/Sites/Buff/tests/mealPhotos.test.ts</x:v>
      </x:c>
      <x:c r="K212" s="58" t="str">
        <x:v>/Users/mason/Sites/Buff/resources/js/Pages/Add.vue:699-733,888-895,1012-1077</x:v>
      </x:c>
      <x:c r="L212" s="58" t="str">
        <x:v>Mapped</x:v>
      </x:c>
      <x:c r="M212" s="58" t="str">
        <x:v>Ready</x:v>
      </x:c>
      <x:c r="N212" s="58" t="str">
        <x:v>Not Run</x:v>
      </x:c>
      <x:c r="O212" s="58" t="str">
        <x:v>Blocked</x:v>
      </x:c>
      <x:c r="P212"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camera/library acquisition, three-photo capacity, previews and count, removal/re-add, object-URL cleanup, hidden actions at capacity, and Android permission states. It was unreachable solely because active Buff+ could not be provisioned in the current emulator.</x:v>
      </x:c>
      <x:c r="Q212" s="58" t="str"/>
      <x:c r="R212" s="58" t="str">
        <x:v>Not Needed</x:v>
      </x:c>
      <x:c r="S212" s="58" t="str"/>
      <x:c r="T212" s="58" t="str">
        <x:v>Not Run</x:v>
      </x:c>
      <x:c r="U212" s="58" t="str">
        <x:v>Not Run</x:v>
      </x:c>
      <x:c r="V212" s="58" t="str"/>
      <x:c r="W212" s="58" t="str">
        <x:f>IF(AND(OR(N212="Passed",N212="Failed",N212="Not Applicable"),OR(O212="Passed",O212="Failed",O212="Not Applicable"),OR(N212="Passed",N212="Failed",O212="Passed",O212="Failed"),OR(T212="Passed",T212="Not Applicable"),OR(U212="Passed",U212="Not Applicable"),OR(T212="Passed",U212="Passed"),Y212="Reconciled",Z212="Reconciled",IF(Q212&lt;&gt;"",R212="Fixed",TRUE)),"Verified",IF(OR(T212="Failed",U212="Failed"),"Retest Failed",IF(OR(N212="Failed",O212="Failed",Q212&lt;&gt;""),"Defect Found",IF(AND(OR(N212="Passed",N212="Not Applicable"),OR(O212="Passed",O212="Not Applicable"),OR(N212="Passed",O212="Passed")),"Initial Pass","Not Complete"))))</x:f>
        <x:v>Not Complete</x:v>
      </x:c>
      <x:c r="X212" s="58" t="str">
        <x:v>There is no app-authored permission explanation or denial recovery; behavior depends on the OS/webview file picker.</x:v>
      </x:c>
      <x:c r="Y212" s="58" t="str">
        <x:f>IF(OR(N212="Not Run",O212="Not Run"),"Pending",IF(AND(OR(N212="Not Applicable",COUNTIFS('Test Runs'!$B$5:$B$2004,A212,'Test Runs'!$C$5:$C$2004,"Initial",'Test Runs'!$D$5:$D$2004,"iOS",'Test Runs'!$I$5:$I$2004,N212)&gt;0),OR(O212="Not Applicable",COUNTIFS('Test Runs'!$B$5:$B$2004,A212,'Test Runs'!$C$5:$C$2004,"Initial",'Test Runs'!$D$5:$D$2004,"Android",'Test Runs'!$I$5:$I$2004,O212)&gt;0)),"Reconciled","Mismatch"))</x:f>
        <x:v>Pending</x:v>
      </x:c>
      <x:c r="Z212" s="58" t="str">
        <x:f>IF(OR(T212="Not Run",U212="Not Run"),"Pending",IF(AND(OR(T212="Not Applicable",COUNTIFS('Test Runs'!$B$5:$B$2004,A212,'Test Runs'!$C$5:$C$2004,"Retest",'Test Runs'!$D$5:$D$2004,"iOS",'Test Runs'!$I$5:$I$2004,T212)&gt;0),OR(U212="Not Applicable",COUNTIFS('Test Runs'!$B$5:$B$2004,A212,'Test Runs'!$C$5:$C$2004,"Retest",'Test Runs'!$D$5:$D$2004,"Android",'Test Runs'!$I$5:$I$2004,U212)&gt;0)),"Reconciled","Mismatch"))</x:f>
        <x:v>Pending</x:v>
      </x:c>
    </x:row>
    <x:row r="213" ht="120" customHeight="1">
      <x:c r="A213" s="58" t="str">
        <x:v>NUT-060</x:v>
      </x:c>
      <x:c r="B213" s="58" t="str">
        <x:v>AI meal analysis - photo preparation</x:v>
      </x:c>
      <x:c r="C213" s="58" t="str">
        <x:v>Select a high-resolution/transparent photo</x:v>
      </x:c>
      <x:c r="D213" s="58" t="str">
        <x:v>As a subscriber, I want selected photos resized safely so that uploads are fast and accepted.</x:v>
      </x:c>
      <x:c r="E213" s="58" t="str">
        <x:v>Each selected image is decoded, downscaled so its largest side is at most 1600 px without upscaling, flattened onto white, converted to JPEG quality 0.82, and shown with a "Preparing photo…" state; analysis stays disabled while preparing.</x:v>
      </x:c>
      <x:c r="F213" s="58" t="str">
        <x:v>Both</x:v>
      </x:c>
      <x:c r="G213" s="58" t="str">
        <x:v>Large portrait/landscape PNG with transparency; corrupt/unsupported image.</x:v>
      </x:c>
      <x:c r="H213" s="58" t="str">
        <x:v>Select images and inspect produced dimensions/type; select corrupt input and observe recovery.</x:v>
      </x:c>
      <x:c r="I213" s="58" t="str">
        <x:v>Repeat on Android with HEIC/webp/gallery edge cases.</x:v>
      </x:c>
      <x:c r="J213" s="58" t="str">
        <x:v>/Users/mason/Sites/Buff/tests/mealPhotos.test.ts</x:v>
      </x:c>
      <x:c r="K213" s="58" t="str">
        <x:v>/Users/mason/Sites/Buff/resources/js/photoResize.ts:1-28; /Users/mason/Sites/Buff/resources/js/Pages/Add.vue:699-725,1019-1050,1068-1095</x:v>
      </x:c>
      <x:c r="L213" s="58" t="str">
        <x:v>Mapped</x:v>
      </x:c>
      <x:c r="M213" s="58" t="str">
        <x:v>Ready</x:v>
      </x:c>
      <x:c r="N213" s="58" t="str">
        <x:v>Not Run</x:v>
      </x:c>
      <x:c r="O213" s="58" t="str">
        <x:v>Blocked</x:v>
      </x:c>
      <x:c r="P213"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decode and resize large/transparent images to at most 1600px, flatten to white JPEG, show Preparing photo, disable Analyze during preparation, and recover from corrupt/HEIC/WebP inputs. It was unreachable solely because active Buff+ could not be provisioned in the current emulator.</x:v>
      </x:c>
      <x:c r="Q213" s="58" t="str"/>
      <x:c r="R213" s="58" t="str">
        <x:v>Not Needed</x:v>
      </x:c>
      <x:c r="S213" s="58" t="str"/>
      <x:c r="T213" s="58" t="str">
        <x:v>Not Run</x:v>
      </x:c>
      <x:c r="U213" s="58" t="str">
        <x:v>Not Run</x:v>
      </x:c>
      <x:c r="V213" s="58" t="str"/>
      <x:c r="W213" s="58" t="str">
        <x:f>IF(AND(OR(N213="Passed",N213="Failed",N213="Not Applicable"),OR(O213="Passed",O213="Failed",O213="Not Applicable"),OR(N213="Passed",N213="Failed",O213="Passed",O213="Failed"),OR(T213="Passed",T213="Not Applicable"),OR(U213="Passed",U213="Not Applicable"),OR(T213="Passed",U213="Passed"),Y213="Reconciled",Z213="Reconciled",IF(Q213&lt;&gt;"",R213="Fixed",TRUE)),"Verified",IF(OR(T213="Failed",U213="Failed"),"Retest Failed",IF(OR(N213="Failed",O213="Failed",Q213&lt;&gt;""),"Defect Found",IF(AND(OR(N213="Passed",N213="Not Applicable"),OR(O213="Passed",O213="Not Applicable"),OR(N213="Passed",O213="Passed")),"Initial Pass","Not Complete"))))</x:f>
        <x:v>Not Complete</x:v>
      </x:c>
      <x:c r="X213" s="58" t="str">
        <x:v>Confirmed error-handling gap: selectPhotos has try/finally but no catch; decode/canvas failure rejects without a visible message and may surface an unhandled promise error.</x:v>
      </x:c>
      <x:c r="Y213" s="58" t="str">
        <x:f>IF(OR(N213="Not Run",O213="Not Run"),"Pending",IF(AND(OR(N213="Not Applicable",COUNTIFS('Test Runs'!$B$5:$B$2004,A213,'Test Runs'!$C$5:$C$2004,"Initial",'Test Runs'!$D$5:$D$2004,"iOS",'Test Runs'!$I$5:$I$2004,N213)&gt;0),OR(O213="Not Applicable",COUNTIFS('Test Runs'!$B$5:$B$2004,A213,'Test Runs'!$C$5:$C$2004,"Initial",'Test Runs'!$D$5:$D$2004,"Android",'Test Runs'!$I$5:$I$2004,O213)&gt;0)),"Reconciled","Mismatch"))</x:f>
        <x:v>Pending</x:v>
      </x:c>
      <x:c r="Z213" s="58" t="str">
        <x:f>IF(OR(T213="Not Run",U213="Not Run"),"Pending",IF(AND(OR(T213="Not Applicable",COUNTIFS('Test Runs'!$B$5:$B$2004,A213,'Test Runs'!$C$5:$C$2004,"Retest",'Test Runs'!$D$5:$D$2004,"iOS",'Test Runs'!$I$5:$I$2004,T213)&gt;0),OR(U213="Not Applicable",COUNTIFS('Test Runs'!$B$5:$B$2004,A213,'Test Runs'!$C$5:$C$2004,"Retest",'Test Runs'!$D$5:$D$2004,"Android",'Test Runs'!$I$5:$I$2004,U213)&gt;0)),"Reconciled","Mismatch"))</x:f>
        <x:v>Pending</x:v>
      </x:c>
    </x:row>
    <x:row r="214" ht="120" customHeight="1">
      <x:c r="A214" s="58" t="str">
        <x:v>NUT-061</x:v>
      </x:c>
      <x:c r="B214" s="58" t="str">
        <x:v>AI meal analysis - input validation</x:v>
      </x:c>
      <x:c r="C214" s="58" t="str">
        <x:v>Photo meal input and Analyze meal</x:v>
      </x:c>
      <x:c r="D214" s="58" t="str">
        <x:v>As a subscriber, I want photo/context limits enforced so that the request is valid.</x:v>
      </x:c>
      <x:c r="E214" s="58" t="str">
        <x:v>UI requires at least one photo, allows one to three and an optional context note up to 1000 characters; local proxy accepts only 1-3 jpg/jpeg/png/webp images up to 5 MiB each after data-URL normalization. Remote API can technically accept note-only analysis, but the app proxy/UI cannot send it.</x:v>
      </x:c>
      <x:c r="F214" s="58" t="str">
        <x:v>Both + remote API</x:v>
      </x:c>
      <x:c r="G214" s="58" t="str">
        <x:v>Zero/1/3/4 photos; note at 1000/1001 chars; oversized/invalid files.</x:v>
      </x:c>
      <x:c r="H214" s="58" t="str">
        <x:v>Verify Analyze disabled at zero, three-image cap, note maxlength, and server validation for tampered payloads.</x:v>
      </x:c>
      <x:c r="I214" s="58" t="str">
        <x:v>Repeat on Android.</x:v>
      </x:c>
      <x:c r="J214" s="58" t="str">
        <x:v>/Users/mason/Sites/buff-server/tests/Feature/MealAnalysisTest.php:32-49; local validation covered in /Users/mason/Sites/Buff/tests/Feature/MealPhotoIntegrationTest.php</x:v>
      </x:c>
      <x:c r="K214" s="58" t="str">
        <x:v>/Users/mason/Sites/Buff/resources/js/Pages/Add.vue:753-757,1012-1098; /Users/mason/Sites/Buff/app/Http/Controllers/MealAnalysisController.php:15-25; /Users/mason/Sites/buff-server/app/Services/MealAnalysisService.php:30-38</x:v>
      </x:c>
      <x:c r="L214" s="58" t="str">
        <x:v>Mapped</x:v>
      </x:c>
      <x:c r="M214" s="58" t="str">
        <x:v>Ready</x:v>
      </x:c>
      <x:c r="N214" s="58" t="str">
        <x:v>Not Run</x:v>
      </x:c>
      <x:c r="O214" s="58" t="str">
        <x:v>Blocked</x:v>
      </x:c>
      <x:c r="P214"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zero/one/three/four-photo limits, optional context at 1000/1001 characters, and tampered count, MIME, and 5 MiB validation. It was unreachable solely because active Buff+ could not be provisioned in the current emulator.</x:v>
      </x:c>
      <x:c r="Q214" s="58" t="str"/>
      <x:c r="R214" s="58" t="str">
        <x:v>Not Needed</x:v>
      </x:c>
      <x:c r="S214" s="58" t="str"/>
      <x:c r="T214" s="58" t="str">
        <x:v>Not Run</x:v>
      </x:c>
      <x:c r="U214" s="58" t="str">
        <x:v>Not Run</x:v>
      </x:c>
      <x:c r="V214" s="58" t="str"/>
      <x:c r="W214" s="58" t="str">
        <x:f>IF(AND(OR(N214="Passed",N214="Failed",N214="Not Applicable"),OR(O214="Passed",O214="Failed",O214="Not Applicable"),OR(N214="Passed",N214="Failed",O214="Passed",O214="Failed"),OR(T214="Passed",T214="Not Applicable"),OR(U214="Passed",U214="Not Applicable"),OR(T214="Passed",U214="Passed"),Y214="Reconciled",Z214="Reconciled",IF(Q214&lt;&gt;"",R214="Fixed",TRUE)),"Verified",IF(OR(T214="Failed",U214="Failed"),"Retest Failed",IF(OR(N214="Failed",O214="Failed",Q214&lt;&gt;""),"Defect Found",IF(AND(OR(N214="Passed",N214="Not Applicable"),OR(O214="Passed",O214="Not Applicable"),OR(N214="Passed",O214="Passed")),"Initial Pass","Not Complete"))))</x:f>
        <x:v>Not Complete</x:v>
      </x:c>
      <x:c r="X214" s="58" t="str">
        <x:v>Capability mismatch: the remote service supports a text-only description, but the local endpoint declares photos required and the UI disables Analyze without a photo.</x:v>
      </x:c>
      <x:c r="Y214" s="58" t="str">
        <x:f>IF(OR(N214="Not Run",O214="Not Run"),"Pending",IF(AND(OR(N214="Not Applicable",COUNTIFS('Test Runs'!$B$5:$B$2004,A214,'Test Runs'!$C$5:$C$2004,"Initial",'Test Runs'!$D$5:$D$2004,"iOS",'Test Runs'!$I$5:$I$2004,N214)&gt;0),OR(O214="Not Applicable",COUNTIFS('Test Runs'!$B$5:$B$2004,A214,'Test Runs'!$C$5:$C$2004,"Initial",'Test Runs'!$D$5:$D$2004,"Android",'Test Runs'!$I$5:$I$2004,O214)&gt;0)),"Reconciled","Mismatch"))</x:f>
        <x:v>Pending</x:v>
      </x:c>
      <x:c r="Z214" s="58" t="str">
        <x:f>IF(OR(T214="Not Run",U214="Not Run"),"Pending",IF(AND(OR(T214="Not Applicable",COUNTIFS('Test Runs'!$B$5:$B$2004,A214,'Test Runs'!$C$5:$C$2004,"Retest",'Test Runs'!$D$5:$D$2004,"iOS",'Test Runs'!$I$5:$I$2004,T214)&gt;0),OR(U214="Not Applicable",COUNTIFS('Test Runs'!$B$5:$B$2004,A214,'Test Runs'!$C$5:$C$2004,"Retest",'Test Runs'!$D$5:$D$2004,"Android",'Test Runs'!$I$5:$I$2004,U214)&gt;0)),"Reconciled","Mismatch"))</x:f>
        <x:v>Pending</x:v>
      </x:c>
    </x:row>
    <x:row r="215" ht="120" customHeight="1">
      <x:c r="A215" s="58" t="str">
        <x:v>NUT-062</x:v>
      </x:c>
      <x:c r="B215" s="58" t="str">
        <x:v>AI meal analysis - progress state</x:v>
      </x:c>
      <x:c r="C215" s="58" t="str">
        <x:v>Photo meal &gt; Analyze meal</x:v>
      </x:c>
      <x:c r="D215" s="58" t="str">
        <x:v>As a subscriber, I want feedback while analysis runs so that I know nothing has frozen or been logged prematurely.</x:v>
      </x:c>
      <x:c r="E215" s="58" t="str">
        <x:v>Submitting converts photos to data URLs, posts to the local proxy with a 75-second client timeout, shows a full-screen live-status overlay with the first image, animation and "Nothing is logged until you review and save," and removes it when the request resolves/rejects.</x:v>
      </x:c>
      <x:c r="F215" s="58" t="str">
        <x:v>Both</x:v>
      </x:c>
      <x:c r="G215" s="58" t="str">
        <x:v>Slow AI response near timeout; reduced-motion enabled; app background/foreground.</x:v>
      </x:c>
      <x:c r="H215" s="58" t="str">
        <x:v>Submit and verify overlay, screen-reader live status, reduced motion, background/resume, and timeout recovery.</x:v>
      </x:c>
      <x:c r="I215" s="58" t="str">
        <x:v>Repeat on Android including system back during overlay.</x:v>
      </x:c>
      <x:c r="J215" s="58" t="str">
        <x:v>UI unit coverage in /Users/mason/Sites/Buff/tests/mealPhotos.test.ts</x:v>
      </x:c>
      <x:c r="K215" s="58" t="str">
        <x:v>/Users/mason/Sites/Buff/resources/js/Pages/Add.vue:753-787,1089-1125; /Users/mason/Sites/Buff/config/buff.php:17-21; /Users/mason/Sites/Buff/app/Services/BuffApiClient.php:61-85</x:v>
      </x:c>
      <x:c r="L215" s="58" t="str">
        <x:v>Mapped</x:v>
      </x:c>
      <x:c r="M215" s="58" t="str">
        <x:v>Ready</x:v>
      </x:c>
      <x:c r="N215" s="58" t="str">
        <x:v>Not Run</x:v>
      </x:c>
      <x:c r="O215" s="58" t="str">
        <x:v>Blocked</x:v>
      </x:c>
      <x:c r="P215"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the full-screen live progress overlay, first-image preview, no-log-until-save copy, reduced motion, background/resume, system Back, and near-75-second timeout recovery. It was unreachable solely because active Buff+ could not be provisioned in the current emulator.</x:v>
      </x:c>
      <x:c r="Q215" s="58" t="str"/>
      <x:c r="R215" s="58" t="str">
        <x:v>Not Needed</x:v>
      </x:c>
      <x:c r="S215" s="58" t="str"/>
      <x:c r="T215" s="58" t="str">
        <x:v>Not Run</x:v>
      </x:c>
      <x:c r="U215" s="58" t="str">
        <x:v>Not Run</x:v>
      </x:c>
      <x:c r="V215" s="58" t="str"/>
      <x:c r="W215" s="58" t="str">
        <x:f>IF(AND(OR(N215="Passed",N215="Failed",N215="Not Applicable"),OR(O215="Passed",O215="Failed",O215="Not Applicable"),OR(N215="Passed",N215="Failed",O215="Passed",O215="Failed"),OR(T215="Passed",T215="Not Applicable"),OR(U215="Passed",U215="Not Applicable"),OR(T215="Passed",U215="Passed"),Y215="Reconciled",Z215="Reconciled",IF(Q215&lt;&gt;"",R215="Fixed",TRUE)),"Verified",IF(OR(T215="Failed",U215="Failed"),"Retest Failed",IF(OR(N215="Failed",O215="Failed",Q215&lt;&gt;""),"Defect Found",IF(AND(OR(N215="Passed",N215="Not Applicable"),OR(O215="Passed",O215="Not Applicable"),OR(N215="Passed",O215="Passed")),"Initial Pass","Not Complete"))))</x:f>
        <x:v>Not Complete</x:v>
      </x:c>
      <x:c r="X215" s="58" t="str">
        <x:v>Confirmed UX gap: the blocking overlay has no Cancel or Back control, so users may be trapped for as long as the request timeout.</x:v>
      </x:c>
      <x:c r="Y215" s="58" t="str">
        <x:f>IF(OR(N215="Not Run",O215="Not Run"),"Pending",IF(AND(OR(N215="Not Applicable",COUNTIFS('Test Runs'!$B$5:$B$2004,A215,'Test Runs'!$C$5:$C$2004,"Initial",'Test Runs'!$D$5:$D$2004,"iOS",'Test Runs'!$I$5:$I$2004,N215)&gt;0),OR(O215="Not Applicable",COUNTIFS('Test Runs'!$B$5:$B$2004,A215,'Test Runs'!$C$5:$C$2004,"Initial",'Test Runs'!$D$5:$D$2004,"Android",'Test Runs'!$I$5:$I$2004,O215)&gt;0)),"Reconciled","Mismatch"))</x:f>
        <x:v>Pending</x:v>
      </x:c>
      <x:c r="Z215" s="58" t="str">
        <x:f>IF(OR(T215="Not Run",U215="Not Run"),"Pending",IF(AND(OR(T215="Not Applicable",COUNTIFS('Test Runs'!$B$5:$B$2004,A215,'Test Runs'!$C$5:$C$2004,"Retest",'Test Runs'!$D$5:$D$2004,"iOS",'Test Runs'!$I$5:$I$2004,T215)&gt;0),OR(U215="Not Applicable",COUNTIFS('Test Runs'!$B$5:$B$2004,A215,'Test Runs'!$C$5:$C$2004,"Retest",'Test Runs'!$D$5:$D$2004,"Android",'Test Runs'!$I$5:$I$2004,U215)&gt;0)),"Reconciled","Mismatch"))</x:f>
        <x:v>Pending</x:v>
      </x:c>
    </x:row>
    <x:row r="216" ht="120" customHeight="1">
      <x:c r="A216" s="58" t="str">
        <x:v>NUT-063</x:v>
      </x:c>
      <x:c r="B216" s="58" t="str">
        <x:v>AI meal analysis - editable draft</x:v>
      </x:c>
      <x:c r="C216" s="58" t="str">
        <x:v>Analysis completion</x:v>
      </x:c>
      <x:c r="D216" s="58" t="str">
        <x:v>As a subscriber, I want analysis to return an explicit editable estimate so that I can verify it before logging.</x:v>
      </x:c>
      <x:c r="E216" s="58" t="str">
        <x:v>Successful analysis creates a private server draft expiring in one day, returns name, grams/ml quantity, macros, derived calories, confidence 0-1, recognized components and photo count; the UI copies name/portion/macros into the normal custom-meal form, displays confidence/components, clears form errors, and logs nothing yet.</x:v>
      </x:c>
      <x:c r="F216" s="58" t="str">
        <x:v>Both + remote API</x:v>
      </x:c>
      <x:c r="G216" s="58" t="str">
        <x:v>Mocked valid AI result with recognized components and varying confidence.</x:v>
      </x:c>
      <x:c r="H216" s="58" t="str">
        <x:v>Analyze, verify no Today entry, inspect every returned field, then edit each value.</x:v>
      </x:c>
      <x:c r="I216" s="58" t="str">
        <x:v>Repeat on Android.</x:v>
      </x:c>
      <x:c r="J216" s="58" t="str">
        <x:v>/Users/mason/Sites/buff-server/tests/Feature/MealAnalysisTest.php:32-49,229-249</x:v>
      </x:c>
      <x:c r="K216" s="58" t="str">
        <x:v>/Users/mason/Sites/Buff/resources/js/Pages/Add.vue:735-750,1298-1405; /Users/mason/Sites/buff-server/app/Services/MealAnalysisService.php:64-80,255-293; /Users/mason/Sites/buff-server/app/Http/Resources/MealAnalysisResource.php</x:v>
      </x:c>
      <x:c r="L216" s="58" t="str">
        <x:v>Mapped</x:v>
      </x:c>
      <x:c r="M216" s="58" t="str">
        <x:v>Ready</x:v>
      </x:c>
      <x:c r="N216" s="58" t="str">
        <x:v>Not Run</x:v>
      </x:c>
      <x:c r="O216" s="58" t="str">
        <x:v>Blocked</x:v>
      </x:c>
      <x:c r="P216"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a successful private draft with name, portion, macros, derived calories, confidence, components, photo count, editable form population, and no meal logged before save. It was unreachable solely because active Buff+ could not be provisioned in the current emulator.</x:v>
      </x:c>
      <x:c r="Q216" s="58" t="str"/>
      <x:c r="R216" s="58" t="str">
        <x:v>Not Needed</x:v>
      </x:c>
      <x:c r="S216" s="58" t="str"/>
      <x:c r="T216" s="58" t="str">
        <x:v>Not Run</x:v>
      </x:c>
      <x:c r="U216" s="58" t="str">
        <x:v>Not Run</x:v>
      </x:c>
      <x:c r="V216" s="58" t="str"/>
      <x:c r="W216" s="58" t="str">
        <x:f>IF(AND(OR(N216="Passed",N216="Failed",N216="Not Applicable"),OR(O216="Passed",O216="Failed",O216="Not Applicable"),OR(N216="Passed",N216="Failed",O216="Passed",O216="Failed"),OR(T216="Passed",T216="Not Applicable"),OR(U216="Passed",U216="Not Applicable"),OR(T216="Passed",U216="Passed"),Y216="Reconciled",Z216="Reconciled",IF(Q216&lt;&gt;"",R216="Fixed",TRUE)),"Verified",IF(OR(T216="Failed",U216="Failed"),"Retest Failed",IF(OR(N216="Failed",O216="Failed",Q216&lt;&gt;""),"Defect Found",IF(AND(OR(N216="Passed",N216="Not Applicable"),OR(O216="Passed",O216="Not Applicable"),OR(N216="Passed",O216="Passed")),"Initial Pass","Not Complete"))))</x:f>
        <x:v>Not Complete</x:v>
      </x:c>
      <x:c r="X216" s="58" t="str">
        <x:v>Calories are always recomputed from 4/4/9 macros, so provider-reported calories or alcohol/fibre energy cannot be represented.</x:v>
      </x:c>
      <x:c r="Y216" s="58" t="str">
        <x:f>IF(OR(N216="Not Run",O216="Not Run"),"Pending",IF(AND(OR(N216="Not Applicable",COUNTIFS('Test Runs'!$B$5:$B$2004,A216,'Test Runs'!$C$5:$C$2004,"Initial",'Test Runs'!$D$5:$D$2004,"iOS",'Test Runs'!$I$5:$I$2004,N216)&gt;0),OR(O216="Not Applicable",COUNTIFS('Test Runs'!$B$5:$B$2004,A216,'Test Runs'!$C$5:$C$2004,"Initial",'Test Runs'!$D$5:$D$2004,"Android",'Test Runs'!$I$5:$I$2004,O216)&gt;0)),"Reconciled","Mismatch"))</x:f>
        <x:v>Pending</x:v>
      </x:c>
      <x:c r="Z216" s="58" t="str">
        <x:f>IF(OR(T216="Not Run",U216="Not Run"),"Pending",IF(AND(OR(T216="Not Applicable",COUNTIFS('Test Runs'!$B$5:$B$2004,A216,'Test Runs'!$C$5:$C$2004,"Retest",'Test Runs'!$D$5:$D$2004,"iOS",'Test Runs'!$I$5:$I$2004,T216)&gt;0),OR(U216="Not Applicable",COUNTIFS('Test Runs'!$B$5:$B$2004,A216,'Test Runs'!$C$5:$C$2004,"Retest",'Test Runs'!$D$5:$D$2004,"Android",'Test Runs'!$I$5:$I$2004,U216)&gt;0)),"Reconciled","Mismatch"))</x:f>
        <x:v>Pending</x:v>
      </x:c>
    </x:row>
    <x:row r="217" ht="120" customHeight="1">
      <x:c r="A217" s="58" t="str">
        <x:v>NUT-064</x:v>
      </x:c>
      <x:c r="B217" s="58" t="str">
        <x:v>AI meal analysis - branded products</x:v>
      </x:c>
      <x:c r="C217" s="58" t="str">
        <x:v>Analyze a clearly branded product photo or mention exact brand in context</x:v>
      </x:c>
      <x:c r="D217" s="58" t="str">
        <x:v>As a subscriber, I want branded packaged foods recognized precisely so that the estimate uses verified nutrition.</x:v>
      </x:c>
      <x:c r="E217" s="58" t="str">
        <x:v>The AI agent is instructed to use web search when a visible/user-named exact brand and product is identifiable, prefer authoritative manufacturer or reliable food-database data, and return a single meal draft; generic dishes remain estimated from the image/context.</x:v>
      </x:c>
      <x:c r="F217" s="58" t="str">
        <x:v>Both + remote AI</x:v>
      </x:c>
      <x:c r="G217" s="58" t="str">
        <x:v>Clear nutrition-labelled branded product plus ambiguous homemade dish.</x:v>
      </x:c>
      <x:c r="H217" s="58" t="str">
        <x:v>Analyze branded item and compare draft to source label; repeat without brand and verify estimate remains reviewable.</x:v>
      </x:c>
      <x:c r="I217" s="58" t="str">
        <x:v>Repeat on Android with identical inputs.</x:v>
      </x:c>
      <x:c r="J217" s="58" t="str">
        <x:v>/Users/mason/Sites/buff-server/tests/Feature/MealAnalysisTest.php:18-31</x:v>
      </x:c>
      <x:c r="K217" s="58" t="str">
        <x:v>/Users/mason/Sites/buff-server/app/Ai/Agents/MealPhotoAnalyzer.php; /Users/mason/Sites/buff-server/tests/Feature/MealAnalysisTest.php:18-31</x:v>
      </x:c>
      <x:c r="L217" s="58" t="str">
        <x:v>Mapped</x:v>
      </x:c>
      <x:c r="M217" s="58" t="str">
        <x:v>Ready</x:v>
      </x:c>
      <x:c r="N217" s="58" t="str">
        <x:v>Not Run</x:v>
      </x:c>
      <x:c r="O217" s="58" t="str">
        <x:v>Blocked</x:v>
      </x:c>
      <x:c r="P217"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branded-product web-assisted nutrition compared with its label and a generic-dish estimate that remains reviewable. It was unreachable solely because active Buff+ could not be provisioned in the current emulator.</x:v>
      </x:c>
      <x:c r="Q217" s="58" t="str"/>
      <x:c r="R217" s="58" t="str">
        <x:v>Not Needed</x:v>
      </x:c>
      <x:c r="S217" s="58" t="str"/>
      <x:c r="T217" s="58" t="str">
        <x:v>Not Run</x:v>
      </x:c>
      <x:c r="U217" s="58" t="str">
        <x:v>Not Run</x:v>
      </x:c>
      <x:c r="V217" s="58" t="str"/>
      <x:c r="W217" s="58" t="str">
        <x:f>IF(AND(OR(N217="Passed",N217="Failed",N217="Not Applicable"),OR(O217="Passed",O217="Failed",O217="Not Applicable"),OR(N217="Passed",N217="Failed",O217="Passed",O217="Failed"),OR(T217="Passed",T217="Not Applicable"),OR(U217="Passed",U217="Not Applicable"),OR(T217="Passed",U217="Passed"),Y217="Reconciled",Z217="Reconciled",IF(Q217&lt;&gt;"",R217="Fixed",TRUE)),"Verified",IF(OR(T217="Failed",U217="Failed"),"Retest Failed",IF(OR(N217="Failed",O217="Failed",Q217&lt;&gt;""),"Defect Found",IF(AND(OR(N217="Passed",N217="Not Applicable"),OR(O217="Passed",O217="Not Applicable"),OR(N217="Passed",O217="Passed")),"Initial Pass","Not Complete"))))</x:f>
        <x:v>Not Complete</x:v>
      </x:c>
      <x:c r="X217" s="58" t="str">
        <x:v>Web-derived nutrition accuracy/source is not exposed in the draft UI; users see confidence but no citation or provenance.</x:v>
      </x:c>
      <x:c r="Y217" s="58" t="str">
        <x:f>IF(OR(N217="Not Run",O217="Not Run"),"Pending",IF(AND(OR(N217="Not Applicable",COUNTIFS('Test Runs'!$B$5:$B$2004,A217,'Test Runs'!$C$5:$C$2004,"Initial",'Test Runs'!$D$5:$D$2004,"iOS",'Test Runs'!$I$5:$I$2004,N217)&gt;0),OR(O217="Not Applicable",COUNTIFS('Test Runs'!$B$5:$B$2004,A217,'Test Runs'!$C$5:$C$2004,"Initial",'Test Runs'!$D$5:$D$2004,"Android",'Test Runs'!$I$5:$I$2004,O217)&gt;0)),"Reconciled","Mismatch"))</x:f>
        <x:v>Pending</x:v>
      </x:c>
      <x:c r="Z217" s="58" t="str">
        <x:f>IF(OR(T217="Not Run",U217="Not Run"),"Pending",IF(AND(OR(T217="Not Applicable",COUNTIFS('Test Runs'!$B$5:$B$2004,A217,'Test Runs'!$C$5:$C$2004,"Retest",'Test Runs'!$D$5:$D$2004,"iOS",'Test Runs'!$I$5:$I$2004,T217)&gt;0),OR(U217="Not Applicable",COUNTIFS('Test Runs'!$B$5:$B$2004,A217,'Test Runs'!$C$5:$C$2004,"Retest",'Test Runs'!$D$5:$D$2004,"Android",'Test Runs'!$I$5:$I$2004,U217)&gt;0)),"Reconciled","Mismatch"))</x:f>
        <x:v>Pending</x:v>
      </x:c>
    </x:row>
    <x:row r="218" ht="120" customHeight="1">
      <x:c r="A218" s="58" t="str">
        <x:v>NUT-065</x:v>
      </x:c>
      <x:c r="B218" s="58" t="str">
        <x:v>AI meal analysis - quota</x:v>
      </x:c>
      <x:c r="C218" s="58" t="str">
        <x:v>Analyze meal repeatedly in one local day</x:v>
      </x:c>
      <x:c r="D218" s="58" t="str">
        <x:v>As a subscriber, I want a clear daily analysis limit so that usage is predictable.</x:v>
      </x:c>
      <x:c r="E218" s="58" t="str">
        <x:v>Before AI runs the server counts analyses created during the user’s timezone-local day against configured quota (default 10), returns remaining quota on creation, and rejects further creates with 429 meal_analysis_quota_reached; UI maps that code to "Today’s photo-analysis limit has been reached."</x:v>
      </x:c>
      <x:c r="F218" s="58" t="str">
        <x:v>Both + remote API</x:v>
      </x:c>
      <x:c r="G218" s="58" t="str">
        <x:v>Subscriber set to timezone near midnight; quota-1/quota usage; cancelled/failed drafts.</x:v>
      </x:c>
      <x:c r="H218" s="58" t="str">
        <x:v>Use limit, cancel one, verify next rejection; cross local midnight and retry.</x:v>
      </x:c>
      <x:c r="I218" s="58" t="str">
        <x:v>Repeat on Android/account timezone boundaries.</x:v>
      </x:c>
      <x:c r="J218" s="58" t="str">
        <x:v>/Users/mason/Sites/buff-server/tests/Feature/MealAnalysisTest.php:64-79,213-228</x:v>
      </x:c>
      <x:c r="K218" s="58" t="str">
        <x:v>/Users/mason/Sites/buff-server/app/Services/MealAnalysisService.php:40-43,146-149,188-199,213-219; /Users/mason/Sites/Buff/resources/js/Pages/Add.vue:775-783</x:v>
      </x:c>
      <x:c r="L218" s="58" t="str">
        <x:v>Mapped</x:v>
      </x:c>
      <x:c r="M218" s="58" t="str">
        <x:v>Ready</x:v>
      </x:c>
      <x:c r="N218" s="58" t="str">
        <x:v>Not Run</x:v>
      </x:c>
      <x:c r="O218" s="58" t="str">
        <x:v>Blocked</x:v>
      </x:c>
      <x:c r="P218"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quota remaining and exhaustion, cancelled-analysis counting, targeted limit copy, and user-timezone midnight reset. It was unreachable solely because active Buff+ could not be provisioned in the current emulator.</x:v>
      </x:c>
      <x:c r="Q218" s="58" t="str"/>
      <x:c r="R218" s="58" t="str">
        <x:v>Not Needed</x:v>
      </x:c>
      <x:c r="S218" s="58" t="str"/>
      <x:c r="T218" s="58" t="str">
        <x:v>Not Run</x:v>
      </x:c>
      <x:c r="U218" s="58" t="str">
        <x:v>Not Run</x:v>
      </x:c>
      <x:c r="V218" s="58" t="str"/>
      <x:c r="W218" s="58" t="str">
        <x:f>IF(AND(OR(N218="Passed",N218="Failed",N218="Not Applicable"),OR(O218="Passed",O218="Failed",O218="Not Applicable"),OR(N218="Passed",N218="Failed",O218="Passed",O218="Failed"),OR(T218="Passed",T218="Not Applicable"),OR(U218="Passed",U218="Not Applicable"),OR(T218="Passed",U218="Passed"),Y218="Reconciled",Z218="Reconciled",IF(Q218&lt;&gt;"",R218="Fixed",TRUE)),"Verified",IF(OR(T218="Failed",U218="Failed"),"Retest Failed",IF(OR(N218="Failed",O218="Failed",Q218&lt;&gt;""),"Defect Found",IF(AND(OR(N218="Passed",N218="Not Applicable"),OR(O218="Passed",O218="Not Applicable"),OR(N218="Passed",O218="Passed")),"Initial Pass","Not Complete"))))</x:f>
        <x:v>Not Complete</x:v>
      </x:c>
      <x:c r="X218" s="58" t="str">
        <x:v>Quota remaining is returned but never displayed before exhaustion; cancelled successful analyses still consume quota by design.</x:v>
      </x:c>
      <x:c r="Y218" s="58" t="str">
        <x:f>IF(OR(N218="Not Run",O218="Not Run"),"Pending",IF(AND(OR(N218="Not Applicable",COUNTIFS('Test Runs'!$B$5:$B$2004,A218,'Test Runs'!$C$5:$C$2004,"Initial",'Test Runs'!$D$5:$D$2004,"iOS",'Test Runs'!$I$5:$I$2004,N218)&gt;0),OR(O218="Not Applicable",COUNTIFS('Test Runs'!$B$5:$B$2004,A218,'Test Runs'!$C$5:$C$2004,"Initial",'Test Runs'!$D$5:$D$2004,"Android",'Test Runs'!$I$5:$I$2004,O218)&gt;0)),"Reconciled","Mismatch"))</x:f>
        <x:v>Pending</x:v>
      </x:c>
      <x:c r="Z218" s="58" t="str">
        <x:f>IF(OR(T218="Not Run",U218="Not Run"),"Pending",IF(AND(OR(T218="Not Applicable",COUNTIFS('Test Runs'!$B$5:$B$2004,A218,'Test Runs'!$C$5:$C$2004,"Retest",'Test Runs'!$D$5:$D$2004,"iOS",'Test Runs'!$I$5:$I$2004,T218)&gt;0),OR(U218="Not Applicable",COUNTIFS('Test Runs'!$B$5:$B$2004,A218,'Test Runs'!$C$5:$C$2004,"Retest",'Test Runs'!$D$5:$D$2004,"Android",'Test Runs'!$I$5:$I$2004,U218)&gt;0)),"Reconciled","Mismatch"))</x:f>
        <x:v>Pending</x:v>
      </x:c>
    </x:row>
    <x:row r="219" ht="120" customHeight="1">
      <x:c r="A219" s="58" t="str">
        <x:v>NUT-066</x:v>
      </x:c>
      <x:c r="B219" s="58" t="str">
        <x:v>AI meal analysis - concurrency</x:v>
      </x:c>
      <x:c r="C219" s="58" t="str">
        <x:v>Rapid double-submit or same account on two devices</x:v>
      </x:c>
      <x:c r="D219" s="58" t="str">
        <x:v>As a subscriber, I want duplicate analysis requests prevented so that I do not waste quota or get crossed results.</x:v>
      </x:c>
      <x:c r="E219" s="58" t="str">
        <x:v>Server serializes all create/follow-up AI work per user with a 120-second lock and waits up to five seconds; a concurrent request that cannot acquire it returns 429 meal_analysis_in_progress and UI maps create to "Another meal analysis is still running."</x:v>
      </x:c>
      <x:c r="F219" s="58" t="str">
        <x:v>Both + remote API</x:v>
      </x:c>
      <x:c r="G219" s="58" t="str">
        <x:v>One account on iOS/Android; delayed AI fake.</x:v>
      </x:c>
      <x:c r="H219" s="58" t="str">
        <x:v>Start on iOS, immediately start on Android; verify one draft and a clear error on the loser.</x:v>
      </x:c>
      <x:c r="I219" s="58" t="str">
        <x:v>Reverse device order and repeat with follow-up versus create.</x:v>
      </x:c>
      <x:c r="J219" s="58" t="str">
        <x:v>Server lock behavior exercised indirectly in /Users/mason/Sites/buff-server/tests/Feature/MealAnalysisTest.php; no explicit concurrent test found.</x:v>
      </x:c>
      <x:c r="K219" s="58" t="str">
        <x:v>/Users/mason/Sites/buff-server/app/Services/MealAnalysisService.php:40-43,105-111,114-143; /Users/mason/Sites/Buff/resources/js/Pages/Add.vue:759-783</x:v>
      </x:c>
      <x:c r="L219" s="58" t="str">
        <x:v>Mapped</x:v>
      </x:c>
      <x:c r="M219" s="58" t="str">
        <x:v>Ready</x:v>
      </x:c>
      <x:c r="N219" s="58" t="str">
        <x:v>Not Run</x:v>
      </x:c>
      <x:c r="O219" s="58" t="str">
        <x:v>Blocked</x:v>
      </x:c>
      <x:c r="P219"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cross-device create/create and create/follow-up contention, one-draft serialization, and clear meal_analysis_in_progress handling. It was unreachable solely because active Buff+ could not be provisioned in the current emulator.</x:v>
      </x:c>
      <x:c r="Q219" s="58" t="str"/>
      <x:c r="R219" s="58" t="str">
        <x:v>Not Needed</x:v>
      </x:c>
      <x:c r="S219" s="58" t="str"/>
      <x:c r="T219" s="58" t="str">
        <x:v>Not Run</x:v>
      </x:c>
      <x:c r="U219" s="58" t="str">
        <x:v>Not Run</x:v>
      </x:c>
      <x:c r="V219" s="58" t="str"/>
      <x:c r="W219" s="58" t="str">
        <x:f>IF(AND(OR(N219="Passed",N219="Failed",N219="Not Applicable"),OR(O219="Passed",O219="Failed",O219="Not Applicable"),OR(N219="Passed",N219="Failed",O219="Passed",O219="Failed"),OR(T219="Passed",T219="Not Applicable"),OR(U219="Passed",U219="Not Applicable"),OR(T219="Passed",U219="Passed"),Y219="Reconciled",Z219="Reconciled",IF(Q219&lt;&gt;"",R219="Fixed",TRUE)),"Verified",IF(OR(T219="Failed",U219="Failed"),"Retest Failed",IF(OR(N219="Failed",O219="Failed",Q219&lt;&gt;""),"Defect Found",IF(AND(OR(N219="Passed",N219="Not Applicable"),OR(O219="Passed",O219="Not Applicable"),OR(N219="Passed",O219="Passed")),"Initial Pass","Not Complete"))))</x:f>
        <x:v>Not Complete</x:v>
      </x:c>
      <x:c r="X219" s="58" t="str">
        <x:v>Follow-up UI does not map meal_analysis_in_progress to tailored copy; it falls back to the server message.</x:v>
      </x:c>
      <x:c r="Y219" s="58" t="str">
        <x:f>IF(OR(N219="Not Run",O219="Not Run"),"Pending",IF(AND(OR(N219="Not Applicable",COUNTIFS('Test Runs'!$B$5:$B$2004,A219,'Test Runs'!$C$5:$C$2004,"Initial",'Test Runs'!$D$5:$D$2004,"iOS",'Test Runs'!$I$5:$I$2004,N219)&gt;0),OR(O219="Not Applicable",COUNTIFS('Test Runs'!$B$5:$B$2004,A219,'Test Runs'!$C$5:$C$2004,"Initial",'Test Runs'!$D$5:$D$2004,"Android",'Test Runs'!$I$5:$I$2004,O219)&gt;0)),"Reconciled","Mismatch"))</x:f>
        <x:v>Pending</x:v>
      </x:c>
      <x:c r="Z219" s="58" t="str">
        <x:f>IF(OR(T219="Not Run",U219="Not Run"),"Pending",IF(AND(OR(T219="Not Applicable",COUNTIFS('Test Runs'!$B$5:$B$2004,A219,'Test Runs'!$C$5:$C$2004,"Retest",'Test Runs'!$D$5:$D$2004,"iOS",'Test Runs'!$I$5:$I$2004,T219)&gt;0),OR(U219="Not Applicable",COUNTIFS('Test Runs'!$B$5:$B$2004,A219,'Test Runs'!$C$5:$C$2004,"Retest",'Test Runs'!$D$5:$D$2004,"Android",'Test Runs'!$I$5:$I$2004,U219)&gt;0)),"Reconciled","Mismatch"))</x:f>
        <x:v>Pending</x:v>
      </x:c>
    </x:row>
    <x:row r="220" ht="120" customHeight="1">
      <x:c r="A220" s="58" t="str">
        <x:v>NUT-067</x:v>
      </x:c>
      <x:c r="B220" s="58" t="str">
        <x:v>AI meal analysis - remote storage rollback</x:v>
      </x:c>
      <x:c r="C220" s="58" t="str">
        <x:v>Analyze with forced provider/storage/schema failure</x:v>
      </x:c>
      <x:c r="D220" s="58" t="str">
        <x:v>As a subscriber, I want failed analyses not to retain my photos so that temporary data is cleaned up.</x:v>
      </x:c>
      <x:c r="E220" s="58" t="str">
        <x:v>Server stores uploads privately before AI, but any storage/provider/validation failure deletes every stored file and does not create a usable draft; failed file deletion is reported and queued for cleanup retry.</x:v>
      </x:c>
      <x:c r="F220" s="58" t="str">
        <x:v>Both + remote API</x:v>
      </x:c>
      <x:c r="G220" s="58" t="str">
        <x:v>Fake storage failure, invalid AI schema/macro weight, provider timeout.</x:v>
      </x:c>
      <x:c r="H220" s="58" t="str">
        <x:v>Submit each failure and verify user-facing error and no retrievable analysis/photos after the request.</x:v>
      </x:c>
      <x:c r="I220" s="58" t="str">
        <x:v>Repeat from Android.</x:v>
      </x:c>
      <x:c r="J220" s="58" t="str">
        <x:v>/Users/mason/Sites/buff-server/tests/Feature/MealAnalysisTest.php:229-249</x:v>
      </x:c>
      <x:c r="K220" s="58" t="str">
        <x:v>/Users/mason/Sites/buff-server/app/Services/MealAnalysisService.php:44-104,225-253,296-330</x:v>
      </x:c>
      <x:c r="L220" s="58" t="str">
        <x:v>Mapped</x:v>
      </x:c>
      <x:c r="M220" s="58" t="str">
        <x:v>Ready</x:v>
      </x:c>
      <x:c r="N220" s="58" t="str">
        <x:v>Not Run</x:v>
      </x:c>
      <x:c r="O220" s="58" t="str">
        <x:v>Blocked</x:v>
      </x:c>
      <x:c r="P220"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rollback of privately stored photos after storage, provider, or schema failure, no usable draft, and cleanup-retry reporting. It was unreachable solely because active Buff+ could not be provisioned in the current emulator.</x:v>
      </x:c>
      <x:c r="Q220" s="58" t="str"/>
      <x:c r="R220" s="58" t="str">
        <x:v>Not Needed</x:v>
      </x:c>
      <x:c r="S220" s="58" t="str"/>
      <x:c r="T220" s="58" t="str">
        <x:v>Not Run</x:v>
      </x:c>
      <x:c r="U220" s="58" t="str">
        <x:v>Not Run</x:v>
      </x:c>
      <x:c r="V220" s="58" t="str"/>
      <x:c r="W220" s="58" t="str">
        <x:f>IF(AND(OR(N220="Passed",N220="Failed",N220="Not Applicable"),OR(O220="Passed",O220="Failed",O220="Not Applicable"),OR(N220="Passed",N220="Failed",O220="Passed",O220="Failed"),OR(T220="Passed",T220="Not Applicable"),OR(U220="Passed",U220="Not Applicable"),OR(T220="Passed",U220="Passed"),Y220="Reconciled",Z220="Reconciled",IF(Q220&lt;&gt;"",R220="Fixed",TRUE)),"Verified",IF(OR(T220="Failed",U220="Failed"),"Retest Failed",IF(OR(N220="Failed",O220="Failed",Q220&lt;&gt;""),"Defect Found",IF(AND(OR(N220="Passed",N220="Not Applicable"),OR(O220="Passed",O220="Not Applicable"),OR(N220="Passed",O220="Passed")),"Initial Pass","Not Complete"))))</x:f>
        <x:v>Not Complete</x:v>
      </x:c>
      <x:c r="X220" s="58" t="str">
        <x:v>The UI cannot tell whether cleanup itself failed; this is server-observability only.</x:v>
      </x:c>
      <x:c r="Y220" s="58" t="str">
        <x:f>IF(OR(N220="Not Run",O220="Not Run"),"Pending",IF(AND(OR(N220="Not Applicable",COUNTIFS('Test Runs'!$B$5:$B$2004,A220,'Test Runs'!$C$5:$C$2004,"Initial",'Test Runs'!$D$5:$D$2004,"iOS",'Test Runs'!$I$5:$I$2004,N220)&gt;0),OR(O220="Not Applicable",COUNTIFS('Test Runs'!$B$5:$B$2004,A220,'Test Runs'!$C$5:$C$2004,"Initial",'Test Runs'!$D$5:$D$2004,"Android",'Test Runs'!$I$5:$I$2004,O220)&gt;0)),"Reconciled","Mismatch"))</x:f>
        <x:v>Pending</x:v>
      </x:c>
      <x:c r="Z220" s="58" t="str">
        <x:f>IF(OR(T220="Not Run",U220="Not Run"),"Pending",IF(AND(OR(T220="Not Applicable",COUNTIFS('Test Runs'!$B$5:$B$2004,A220,'Test Runs'!$C$5:$C$2004,"Retest",'Test Runs'!$D$5:$D$2004,"iOS",'Test Runs'!$I$5:$I$2004,T220)&gt;0),OR(U220="Not Applicable",COUNTIFS('Test Runs'!$B$5:$B$2004,A220,'Test Runs'!$C$5:$C$2004,"Retest",'Test Runs'!$D$5:$D$2004,"Android",'Test Runs'!$I$5:$I$2004,U220)&gt;0)),"Reconciled","Mismatch"))</x:f>
        <x:v>Pending</x:v>
      </x:c>
    </x:row>
    <x:row r="221" ht="120" customHeight="1">
      <x:c r="A221" s="58" t="str">
        <x:v>NUT-068</x:v>
      </x:c>
      <x:c r="B221" s="58" t="str">
        <x:v>AI meal analysis - error recovery</x:v>
      </x:c>
      <x:c r="C221" s="58" t="str">
        <x:v>Analysis failure</x:v>
      </x:c>
      <x:c r="D221" s="58" t="str">
        <x:v>As a subscriber, I want specific analysis failures explained so that I know what to do next.</x:v>
      </x:c>
      <x:c r="E221" s="58" t="str">
        <x:v>UI maps subscription, quota, concurrent, invalid-provider-output and temporary-unavailable codes to targeted messages, otherwise uses server message or a connection fallback; it remains on photo input with selected previews and offers View Buff+ only for entitlement failure.</x:v>
      </x:c>
      <x:c r="F221" s="58" t="str">
        <x:v>Both + remote API</x:v>
      </x:c>
      <x:c r="G221" s="58" t="str">
        <x:v>Simulate each documented status/code plus 422, 500, timeout and malformed success JSON.</x:v>
      </x:c>
      <x:c r="H221" s="58" t="str">
        <x:v>Submit each, verify exact alert, photos/note retained, retry success, and no meal created.</x:v>
      </x:c>
      <x:c r="I221" s="58" t="str">
        <x:v>Repeat on Android.</x:v>
      </x:c>
      <x:c r="J221" s="58" t="str">
        <x:v>/Users/mason/Sites/buff-server/tests/Feature/MealAnalysisTest.php:50-79,229-249; local integration /Users/mason/Sites/Buff/tests/Feature/MealPhotoIntegrationTest.php</x:v>
      </x:c>
      <x:c r="K221" s="58" t="str">
        <x:v>/Users/mason/Sites/Buff/resources/js/Pages/Add.vue:753-787,1084-1098; /Users/mason/Sites/buff-server/app/Services/MealAnalysisService.php:94-110,194-210,244-251</x:v>
      </x:c>
      <x:c r="L221" s="58" t="str">
        <x:v>Mapped</x:v>
      </x:c>
      <x:c r="M221" s="58" t="str">
        <x:v>Ready</x:v>
      </x:c>
      <x:c r="N221" s="58" t="str">
        <x:v>Not Run</x:v>
      </x:c>
      <x:c r="O221" s="58" t="str">
        <x:v>Blocked</x:v>
      </x:c>
      <x:c r="P221"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targeted subscription, quota, concurrent, invalid-output, and temporary-unavailable errors plus validation/server/timeout/malformed-success fallback, retained photos/note, retry, and no meal creation. It was unreachable solely because active Buff+ could not be provisioned in the current emulator.</x:v>
      </x:c>
      <x:c r="Q221" s="58" t="str"/>
      <x:c r="R221" s="58" t="str">
        <x:v>Not Needed</x:v>
      </x:c>
      <x:c r="S221" s="58" t="str"/>
      <x:c r="T221" s="58" t="str">
        <x:v>Not Run</x:v>
      </x:c>
      <x:c r="U221" s="58" t="str">
        <x:v>Not Run</x:v>
      </x:c>
      <x:c r="V221" s="58" t="str"/>
      <x:c r="W221" s="58" t="str">
        <x:f>IF(AND(OR(N221="Passed",N221="Failed",N221="Not Applicable"),OR(O221="Passed",O221="Failed",O221="Not Applicable"),OR(N221="Passed",N221="Failed",O221="Passed",O221="Failed"),OR(T221="Passed",T221="Not Applicable"),OR(U221="Passed",U221="Not Applicable"),OR(T221="Passed",U221="Passed"),Y221="Reconciled",Z221="Reconciled",IF(Q221&lt;&gt;"",R221="Fixed",TRUE)),"Verified",IF(OR(T221="Failed",U221="Failed"),"Retest Failed",IF(OR(N221="Failed",O221="Failed",Q221&lt;&gt;""),"Defect Found",IF(AND(OR(N221="Passed",N221="Not Applicable"),OR(O221="Passed",O221="Not Applicable"),OR(N221="Passed",O221="Passed")),"Initial Pass","Not Complete"))))</x:f>
        <x:v>Not Complete</x:v>
      </x:c>
      <x:c r="X221" s="58" t="str">
        <x:v>422 photo/note field errors are not rendered field-by-field; fallback may show the generic Laravel validation message.</x:v>
      </x:c>
      <x:c r="Y221" s="58" t="str">
        <x:f>IF(OR(N221="Not Run",O221="Not Run"),"Pending",IF(AND(OR(N221="Not Applicable",COUNTIFS('Test Runs'!$B$5:$B$2004,A221,'Test Runs'!$C$5:$C$2004,"Initial",'Test Runs'!$D$5:$D$2004,"iOS",'Test Runs'!$I$5:$I$2004,N221)&gt;0),OR(O221="Not Applicable",COUNTIFS('Test Runs'!$B$5:$B$2004,A221,'Test Runs'!$C$5:$C$2004,"Initial",'Test Runs'!$D$5:$D$2004,"Android",'Test Runs'!$I$5:$I$2004,O221)&gt;0)),"Reconciled","Mismatch"))</x:f>
        <x:v>Pending</x:v>
      </x:c>
      <x:c r="Z221" s="58" t="str">
        <x:f>IF(OR(T221="Not Run",U221="Not Run"),"Pending",IF(AND(OR(T221="Not Applicable",COUNTIFS('Test Runs'!$B$5:$B$2004,A221,'Test Runs'!$C$5:$C$2004,"Retest",'Test Runs'!$D$5:$D$2004,"iOS",'Test Runs'!$I$5:$I$2004,T221)&gt;0),OR(U221="Not Applicable",COUNTIFS('Test Runs'!$B$5:$B$2004,A221,'Test Runs'!$C$5:$C$2004,"Retest",'Test Runs'!$D$5:$D$2004,"Android",'Test Runs'!$I$5:$I$2004,U221)&gt;0)),"Reconciled","Mismatch"))</x:f>
        <x:v>Pending</x:v>
      </x:c>
    </x:row>
    <x:row r="222" ht="120" customHeight="1">
      <x:c r="A222" s="58" t="str">
        <x:v>NUT-069</x:v>
      </x:c>
      <x:c r="B222" s="58" t="str">
        <x:v>AI meal analysis - offline/auth state</x:v>
      </x:c>
      <x:c r="C222" s="58" t="str">
        <x:v>Photo meal while offline or token missing/expired</x:v>
      </x:c>
      <x:c r="D222" s="58" t="str">
        <x:v>As a subscriber, I want photo analysis to fail safely when offline or signed out so that local logs are not corrupted.</x:v>
      </x:c>
      <x:c r="E222" s="58" t="str">
        <x:v>Analysis and follow-up require remote credentials and network; local proxy translates API status/message into JSON, UI shows connection/server feedback and retains the unsaved form. Unlike manual logging, analysis cannot execute offline.</x:v>
      </x:c>
      <x:c r="F222" s="58" t="str">
        <x:v>Both + remote API</x:v>
      </x:c>
      <x:c r="G222" s="58" t="str">
        <x:v>Subscriber; airplane mode; no token; expired token.</x:v>
      </x:c>
      <x:c r="H222" s="58" t="str">
        <x:v>Try analyze/follow-up in each state, verify no draft/meal, form retained, reconnect/sign in and retry.</x:v>
      </x:c>
      <x:c r="I222" s="58" t="str">
        <x:v>Repeat on Android.</x:v>
      </x:c>
      <x:c r="J222" s="58" t="str">
        <x:v>API error translation covered across /Users/mason/Sites/Buff/tests/Feature/MealPhotoIntegrationTest.php</x:v>
      </x:c>
      <x:c r="K222" s="58" t="str">
        <x:v>/Users/mason/Sites/Buff/app/Http/Controllers/Controller.php:11-27; /Users/mason/Sites/Buff/app/Services/BuffApiClient.php:16-184; /Users/mason/Sites/Buff/resources/js/Pages/Add.vue:753-823</x:v>
      </x:c>
      <x:c r="L222" s="58" t="str">
        <x:v>Mapped</x:v>
      </x:c>
      <x:c r="M222" s="58" t="str">
        <x:v>Ready</x:v>
      </x:c>
      <x:c r="N222" s="58" t="str">
        <x:v>Not Run</x:v>
      </x:c>
      <x:c r="O222" s="58" t="str">
        <x:v>Blocked</x:v>
      </x:c>
      <x:c r="P222"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offline, missing-token, and expired-token analysis/follow-up must create no draft or meal, retain the unsaved form, and retry after reconnect or sign-in. It was unreachable solely because active Buff+ could not be provisioned in the current emulator.</x:v>
      </x:c>
      <x:c r="Q222" s="58" t="str"/>
      <x:c r="R222" s="58" t="str">
        <x:v>Not Needed</x:v>
      </x:c>
      <x:c r="S222" s="58" t="str"/>
      <x:c r="T222" s="58" t="str">
        <x:v>Not Run</x:v>
      </x:c>
      <x:c r="U222" s="58" t="str">
        <x:v>Not Run</x:v>
      </x:c>
      <x:c r="V222" s="58" t="str"/>
      <x:c r="W222" s="58" t="str">
        <x:f>IF(AND(OR(N222="Passed",N222="Failed",N222="Not Applicable"),OR(O222="Passed",O222="Failed",O222="Not Applicable"),OR(N222="Passed",N222="Failed",O222="Passed",O222="Failed"),OR(T222="Passed",T222="Not Applicable"),OR(U222="Passed",U222="Not Applicable"),OR(T222="Passed",U222="Passed"),Y222="Reconciled",Z222="Reconciled",IF(Q222&lt;&gt;"",R222="Fixed",TRUE)),"Verified",IF(OR(T222="Failed",U222="Failed"),"Retest Failed",IF(OR(N222="Failed",O222="Failed",Q222&lt;&gt;""),"Defect Found",IF(AND(OR(N222="Passed",N222="Not Applicable"),OR(O222="Passed",O222="Not Applicable"),OR(N222="Passed",O222="Passed")),"Initial Pass","Not Complete"))))</x:f>
        <x:v>Not Complete</x:v>
      </x:c>
      <x:c r="X222" s="58" t="str">
        <x:v>Offline mode is not preflighted; a user waits through conversion/request failure rather than being told analysis requires connectivity up front.</x:v>
      </x:c>
      <x:c r="Y222" s="58" t="str">
        <x:f>IF(OR(N222="Not Run",O222="Not Run"),"Pending",IF(AND(OR(N222="Not Applicable",COUNTIFS('Test Runs'!$B$5:$B$2004,A222,'Test Runs'!$C$5:$C$2004,"Initial",'Test Runs'!$D$5:$D$2004,"iOS",'Test Runs'!$I$5:$I$2004,N222)&gt;0),OR(O222="Not Applicable",COUNTIFS('Test Runs'!$B$5:$B$2004,A222,'Test Runs'!$C$5:$C$2004,"Initial",'Test Runs'!$D$5:$D$2004,"Android",'Test Runs'!$I$5:$I$2004,O222)&gt;0)),"Reconciled","Mismatch"))</x:f>
        <x:v>Pending</x:v>
      </x:c>
      <x:c r="Z222" s="58" t="str">
        <x:f>IF(OR(T222="Not Run",U222="Not Run"),"Pending",IF(AND(OR(T222="Not Applicable",COUNTIFS('Test Runs'!$B$5:$B$2004,A222,'Test Runs'!$C$5:$C$2004,"Retest",'Test Runs'!$D$5:$D$2004,"iOS",'Test Runs'!$I$5:$I$2004,T222)&gt;0),OR(U222="Not Applicable",COUNTIFS('Test Runs'!$B$5:$B$2004,A222,'Test Runs'!$C$5:$C$2004,"Retest",'Test Runs'!$D$5:$D$2004,"Android",'Test Runs'!$I$5:$I$2004,U222)&gt;0)),"Reconciled","Mismatch"))</x:f>
        <x:v>Pending</x:v>
      </x:c>
    </x:row>
    <x:row r="223" ht="120" customHeight="1">
      <x:c r="A223" s="58" t="str">
        <x:v>NUT-070</x:v>
      </x:c>
      <x:c r="B223" s="58" t="str">
        <x:v>AI meal analysis - review edits</x:v>
      </x:c>
      <x:c r="C223" s="58" t="str">
        <x:v>Analysis review screen</x:v>
      </x:c>
      <x:c r="D223" s="58" t="str">
        <x:v>As a subscriber, I want to correct every AI estimate field before saving so that I remain responsible for the log.</x:v>
      </x:c>
      <x:c r="E223" s="58" t="str">
        <x:v>Review uses the custom-food form: name, portion quantity/unit, protein, carbs, fat and meal type are editable; confidence/components remain informational; calories update from edited macros; standard custom validation applies on Save.</x:v>
      </x:c>
      <x:c r="F223" s="58" t="str">
        <x:v>Both</x:v>
      </x:c>
      <x:c r="G223" s="58" t="str">
        <x:v>Draft containing improbable values; edit all fields and meal type.</x:v>
      </x:c>
      <x:c r="H223" s="58" t="str">
        <x:v>Change each field, verify live calorie label, save and compare Today entry to edits rather than original draft.</x:v>
      </x:c>
      <x:c r="I223" s="58" t="str">
        <x:v>Repeat on Android.</x:v>
      </x:c>
      <x:c r="J223" s="58" t="str">
        <x:v>/Users/mason/Sites/Buff/tests/Feature/MealPhotoIntegrationTest.php; /Users/mason/Sites/Buff/tests/Feature/MealEntryTest.php</x:v>
      </x:c>
      <x:c r="K223" s="58" t="str">
        <x:v>/Users/mason/Sites/Buff/resources/js/Pages/Add.vue:735-750,1298-1405; /Users/mason/Sites/Buff/app/Http/Controllers/MealController.php:117-152</x:v>
      </x:c>
      <x:c r="L223" s="58" t="str">
        <x:v>Mapped</x:v>
      </x:c>
      <x:c r="M223" s="58" t="str">
        <x:v>Ready</x:v>
      </x:c>
      <x:c r="N223" s="58" t="str">
        <x:v>Not Run</x:v>
      </x:c>
      <x:c r="O223" s="58" t="str">
        <x:v>Blocked</x:v>
      </x:c>
      <x:c r="P223"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editing name, quantity/unit, all macros, and meal type; live calorie recomputation; standard validation; and saving edited rather than original values. It was unreachable solely because active Buff+ could not be provisioned in the current emulator.</x:v>
      </x:c>
      <x:c r="Q223" s="58" t="str"/>
      <x:c r="R223" s="58" t="str">
        <x:v>Not Needed</x:v>
      </x:c>
      <x:c r="S223" s="58" t="str"/>
      <x:c r="T223" s="58" t="str">
        <x:v>Not Run</x:v>
      </x:c>
      <x:c r="U223" s="58" t="str">
        <x:v>Not Run</x:v>
      </x:c>
      <x:c r="V223" s="58" t="str"/>
      <x:c r="W223" s="58" t="str">
        <x:f>IF(AND(OR(N223="Passed",N223="Failed",N223="Not Applicable"),OR(O223="Passed",O223="Failed",O223="Not Applicable"),OR(N223="Passed",N223="Failed",O223="Passed",O223="Failed"),OR(T223="Passed",T223="Not Applicable"),OR(U223="Passed",U223="Not Applicable"),OR(T223="Passed",U223="Passed"),Y223="Reconciled",Z223="Reconciled",IF(Q223&lt;&gt;"",R223="Fixed",TRUE)),"Verified",IF(OR(T223="Failed",U223="Failed"),"Retest Failed",IF(OR(N223="Failed",O223="Failed",Q223&lt;&gt;""),"Defect Found",IF(AND(OR(N223="Passed",N223="Not Applicable"),OR(O223="Passed",O223="Not Applicable"),OR(N223="Passed",O223="Passed")),"Initial Pass","Not Complete"))))</x:f>
        <x:v>Not Complete</x:v>
      </x:c>
      <x:c r="X223" s="58" t="str">
        <x:v>Macro validation errors are not rendered under the three macro fields, so invalid AI/user macro corrections can fail without indicating which field is wrong.</x:v>
      </x:c>
      <x:c r="Y223" s="58" t="str">
        <x:f>IF(OR(N223="Not Run",O223="Not Run"),"Pending",IF(AND(OR(N223="Not Applicable",COUNTIFS('Test Runs'!$B$5:$B$2004,A223,'Test Runs'!$C$5:$C$2004,"Initial",'Test Runs'!$D$5:$D$2004,"iOS",'Test Runs'!$I$5:$I$2004,N223)&gt;0),OR(O223="Not Applicable",COUNTIFS('Test Runs'!$B$5:$B$2004,A223,'Test Runs'!$C$5:$C$2004,"Initial",'Test Runs'!$D$5:$D$2004,"Android",'Test Runs'!$I$5:$I$2004,O223)&gt;0)),"Reconciled","Mismatch"))</x:f>
        <x:v>Pending</x:v>
      </x:c>
      <x:c r="Z223" s="58" t="str">
        <x:f>IF(OR(T223="Not Run",U223="Not Run"),"Pending",IF(AND(OR(T223="Not Applicable",COUNTIFS('Test Runs'!$B$5:$B$2004,A223,'Test Runs'!$C$5:$C$2004,"Retest",'Test Runs'!$D$5:$D$2004,"iOS",'Test Runs'!$I$5:$I$2004,T223)&gt;0),OR(U223="Not Applicable",COUNTIFS('Test Runs'!$B$5:$B$2004,A223,'Test Runs'!$C$5:$C$2004,"Retest",'Test Runs'!$D$5:$D$2004,"Android",'Test Runs'!$I$5:$I$2004,U223)&gt;0)),"Reconciled","Mismatch"))</x:f>
        <x:v>Pending</x:v>
      </x:c>
    </x:row>
    <x:row r="224" ht="120" customHeight="1">
      <x:c r="A224" s="58" t="str">
        <x:v>NUT-071</x:v>
      </x:c>
      <x:c r="B224" s="58" t="str">
        <x:v>AI meal analysis - repeated follow-ups</x:v>
      </x:c>
      <x:c r="C224" s="58" t="str">
        <x:v>Review meal estimate &gt; Follow-up</x:v>
      </x:c>
      <x:c r="D224" s="58" t="str">
        <x:v>As a subscriber, I want to tell the analyzer what it got wrong multiple times so that it can refine the estimate.</x:v>
      </x:c>
      <x:c r="E224" s="58" t="str">
        <x:v>Follow-up opens a sheet with a 1000-character correction; server reuses stored photos plus the current estimate, replaces the same active draft with the new validated draft, UI reapplies all draft fields, closes the sheet, toasts "Estimate updated," and allows another follow-up.</x:v>
      </x:c>
      <x:c r="F224" s="58" t="str">
        <x:v>Both + remote API</x:v>
      </x:c>
      <x:c r="G224" s="58" t="str">
        <x:v>Active draft with photos; two successive corrections.</x:v>
      </x:c>
      <x:c r="H224" s="58" t="str">
        <x:v>Submit correction 1, inspect changed form/toast; submit correction 2 and verify it builds on the latest estimate.</x:v>
      </x:c>
      <x:c r="I224" s="58" t="str">
        <x:v>Repeat on Android.</x:v>
      </x:c>
      <x:c r="J224" s="58" t="str">
        <x:v>/Users/mason/Sites/buff-server/tests/Feature/MealAnalysisTest.php:81-138</x:v>
      </x:c>
      <x:c r="K224" s="58" t="str">
        <x:v>/Users/mason/Sites/Buff/resources/js/Pages/Add.vue:789-838,1312-1315,1408-1447; /Users/mason/Sites/buff-server/app/Services/MealAnalysisService.php:114-144</x:v>
      </x:c>
      <x:c r="L224" s="58" t="str">
        <x:v>Mapped</x:v>
      </x:c>
      <x:c r="M224" s="58" t="str">
        <x:v>Ready</x:v>
      </x:c>
      <x:c r="N224" s="58" t="str">
        <x:v>Not Run</x:v>
      </x:c>
      <x:c r="O224" s="58" t="str">
        <x:v>Blocked</x:v>
      </x:c>
      <x:c r="P224"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two successive corrections using stored photos and the latest estimate, full field reapplication, closed sheet, 'Estimate updated' toast, and another follow-up. It was unreachable solely because active Buff+ could not be provisioned in the current emulator.</x:v>
      </x:c>
      <x:c r="Q224" s="58" t="str"/>
      <x:c r="R224" s="58" t="str">
        <x:v>Not Needed</x:v>
      </x:c>
      <x:c r="S224" s="58" t="str"/>
      <x:c r="T224" s="58" t="str">
        <x:v>Not Run</x:v>
      </x:c>
      <x:c r="U224" s="58" t="str">
        <x:v>Not Run</x:v>
      </x:c>
      <x:c r="V224" s="58" t="str"/>
      <x:c r="W224" s="58" t="str">
        <x:f>IF(AND(OR(N224="Passed",N224="Failed",N224="Not Applicable"),OR(O224="Passed",O224="Failed",O224="Not Applicable"),OR(N224="Passed",N224="Failed",O224="Passed",O224="Failed"),OR(T224="Passed",T224="Not Applicable"),OR(U224="Passed",U224="Not Applicable"),OR(T224="Passed",U224="Passed"),Y224="Reconciled",Z224="Reconciled",IF(Q224&lt;&gt;"",R224="Fixed",TRUE)),"Verified",IF(OR(T224="Failed",U224="Failed"),"Retest Failed",IF(OR(N224="Failed",O224="Failed",Q224&lt;&gt;""),"Defect Found",IF(AND(OR(N224="Passed",N224="Not Applicable"),OR(O224="Passed",O224="Not Applicable"),OR(N224="Passed",O224="Passed")),"Initial Pass","Not Complete"))))</x:f>
        <x:v>Not Complete</x:v>
      </x:c>
      <x:c r="X224" s="58" t="str">
        <x:v>A successful follow-up overwrites any manual edits already made in the local review form because the entire new draft is reapplied.</x:v>
      </x:c>
      <x:c r="Y224" s="58" t="str">
        <x:f>IF(OR(N224="Not Run",O224="Not Run"),"Pending",IF(AND(OR(N224="Not Applicable",COUNTIFS('Test Runs'!$B$5:$B$2004,A224,'Test Runs'!$C$5:$C$2004,"Initial",'Test Runs'!$D$5:$D$2004,"iOS",'Test Runs'!$I$5:$I$2004,N224)&gt;0),OR(O224="Not Applicable",COUNTIFS('Test Runs'!$B$5:$B$2004,A224,'Test Runs'!$C$5:$C$2004,"Initial",'Test Runs'!$D$5:$D$2004,"Android",'Test Runs'!$I$5:$I$2004,O224)&gt;0)),"Reconciled","Mismatch"))</x:f>
        <x:v>Pending</x:v>
      </x:c>
      <x:c r="Z224" s="58" t="str">
        <x:f>IF(OR(T224="Not Run",U224="Not Run"),"Pending",IF(AND(OR(T224="Not Applicable",COUNTIFS('Test Runs'!$B$5:$B$2004,A224,'Test Runs'!$C$5:$C$2004,"Retest",'Test Runs'!$D$5:$D$2004,"iOS",'Test Runs'!$I$5:$I$2004,T224)&gt;0),OR(U224="Not Applicable",COUNTIFS('Test Runs'!$B$5:$B$2004,A224,'Test Runs'!$C$5:$C$2004,"Retest",'Test Runs'!$D$5:$D$2004,"Android",'Test Runs'!$I$5:$I$2004,U224)&gt;0)),"Reconciled","Mismatch"))</x:f>
        <x:v>Pending</x:v>
      </x:c>
    </x:row>
    <x:row r="225" ht="120" customHeight="1">
      <x:c r="A225" s="58" t="str">
        <x:v>NUT-072</x:v>
      </x:c>
      <x:c r="B225" s="58" t="str">
        <x:v>AI meal analysis - follow-up errors</x:v>
      </x:c>
      <x:c r="C225" s="58" t="str">
        <x:v>Follow-up sheet</x:v>
      </x:c>
      <x:c r="D225" s="58" t="str">
        <x:v>As a subscriber, I want invalid or unavailable follow-ups handled without losing the draft so that I can retry or save manually.</x:v>
      </x:c>
      <x:c r="E225" s="58" t="str">
        <x:v>Blank correction is blocked with "Describe what the estimate got wrong"; server requires 1-1000 characters, owner/update permission, Buff+, and a non-expired draft status; request errors remain in the open sheet, which cannot be dismissed while loading, and existing review values remain.</x:v>
      </x:c>
      <x:c r="F225" s="58" t="str">
        <x:v>Both + remote API</x:v>
      </x:c>
      <x:c r="G225" s="58" t="str">
        <x:v>Blank/1001-character correction; expired/cancelled/confirmed/other-user draft; entitlement revoked.</x:v>
      </x:c>
      <x:c r="H225" s="58" t="str">
        <x:v>Exercise each branch; verify error, no draft replacement, and manual review still saveable where allowed.</x:v>
      </x:c>
      <x:c r="I225" s="58" t="str">
        <x:v>Repeat on Android.</x:v>
      </x:c>
      <x:c r="J225" s="58" t="str">
        <x:v>/Users/mason/Sites/buff-server/tests/Feature/MealAnalysisTest.php:106-173</x:v>
      </x:c>
      <x:c r="K225" s="58" t="str">
        <x:v>/Users/mason/Sites/Buff/resources/js/Pages/Add.vue:789-838,1420-1446; /Users/mason/Sites/buff-server/app/Http/Controllers/Api/V1/MealAnalysisController.php:36-47; /Users/mason/Sites/buff-server/app/Services/MealAnalysisService.php:114-143</x:v>
      </x:c>
      <x:c r="L225" s="58" t="str">
        <x:v>Mapped</x:v>
      </x:c>
      <x:c r="M225" s="58" t="str">
        <x:v>Ready</x:v>
      </x:c>
      <x:c r="N225" s="58" t="str">
        <x:v>Not Run</x:v>
      </x:c>
      <x:c r="O225" s="58" t="str">
        <x:v>Blocked</x:v>
      </x:c>
      <x:c r="P225"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blank/oversized correction, expired/cancelled/confirmed/other-user draft, revoked entitlement, retained review values, visible errors, retry, and manual-save availability. It was unreachable solely because active Buff+ could not be provisioned in the current emulator.</x:v>
      </x:c>
      <x:c r="Q225" s="58" t="str"/>
      <x:c r="R225" s="58" t="str">
        <x:v>Not Needed</x:v>
      </x:c>
      <x:c r="S225" s="58" t="str"/>
      <x:c r="T225" s="58" t="str">
        <x:v>Not Run</x:v>
      </x:c>
      <x:c r="U225" s="58" t="str">
        <x:v>Not Run</x:v>
      </x:c>
      <x:c r="V225" s="58" t="str"/>
      <x:c r="W225" s="58" t="str">
        <x:f>IF(AND(OR(N225="Passed",N225="Failed",N225="Not Applicable"),OR(O225="Passed",O225="Failed",O225="Not Applicable"),OR(N225="Passed",N225="Failed",O225="Passed",O225="Failed"),OR(T225="Passed",T225="Not Applicable"),OR(U225="Passed",U225="Not Applicable"),OR(T225="Passed",U225="Passed"),Y225="Reconciled",Z225="Reconciled",IF(Q225&lt;&gt;"",R225="Fixed",TRUE)),"Verified",IF(OR(T225="Failed",U225="Failed"),"Retest Failed",IF(OR(N225="Failed",O225="Failed",Q225&lt;&gt;""),"Defect Found",IF(AND(OR(N225="Passed",N225="Not Applicable"),OR(O225="Passed",O225="Not Applicable"),OR(N225="Passed",O225="Passed")),"Initial Pass","Not Complete"))))</x:f>
        <x:v>Not Complete</x:v>
      </x:c>
      <x:c r="X225" s="58" t="str">
        <x:v>Expired/not-active server validation is surfaced as generic response text and gives no direct action to start a fresh analysis.</x:v>
      </x:c>
      <x:c r="Y225" s="58" t="str">
        <x:f>IF(OR(N225="Not Run",O225="Not Run"),"Pending",IF(AND(OR(N225="Not Applicable",COUNTIFS('Test Runs'!$B$5:$B$2004,A225,'Test Runs'!$C$5:$C$2004,"Initial",'Test Runs'!$D$5:$D$2004,"iOS",'Test Runs'!$I$5:$I$2004,N225)&gt;0),OR(O225="Not Applicable",COUNTIFS('Test Runs'!$B$5:$B$2004,A225,'Test Runs'!$C$5:$C$2004,"Initial",'Test Runs'!$D$5:$D$2004,"Android",'Test Runs'!$I$5:$I$2004,O225)&gt;0)),"Reconciled","Mismatch"))</x:f>
        <x:v>Pending</x:v>
      </x:c>
      <x:c r="Z225" s="58" t="str">
        <x:f>IF(OR(T225="Not Run",U225="Not Run"),"Pending",IF(AND(OR(T225="Not Applicable",COUNTIFS('Test Runs'!$B$5:$B$2004,A225,'Test Runs'!$C$5:$C$2004,"Retest",'Test Runs'!$D$5:$D$2004,"iOS",'Test Runs'!$I$5:$I$2004,T225)&gt;0),OR(U225="Not Applicable",COUNTIFS('Test Runs'!$B$5:$B$2004,A225,'Test Runs'!$C$5:$C$2004,"Retest",'Test Runs'!$D$5:$D$2004,"Android",'Test Runs'!$I$5:$I$2004,U225)&gt;0)),"Reconciled","Mismatch"))</x:f>
        <x:v>Pending</x:v>
      </x:c>
    </x:row>
    <x:row r="226" ht="120" customHeight="1">
      <x:c r="A226" s="58" t="str">
        <x:v>NUT-073</x:v>
      </x:c>
      <x:c r="B226" s="58" t="str">
        <x:v>AI meal analysis - cancel draft</x:v>
      </x:c>
      <x:c r="C226" s="58" t="str">
        <x:v>Review meal estimate &gt; Cancel</x:v>
      </x:c>
      <x:c r="D226" s="58" t="str">
        <x:v>As a subscriber, I want to cancel an estimate without logging it so that rejected AI data and photos are removed.</x:v>
      </x:c>
      <x:c r="E226" s="58" t="str">
        <x:v>Cancel in review DELETEs the remote draft, server only permits draft cancellation, immediately purges photos, marks analysis cancelled and retains its record for two days; local UI clears analysis_id/context regardless of delete success, returning to the photo/custom state. Offline cancellation is intentionally swallowed and one-day draft expiry provides eventual cleanup.</x:v>
      </x:c>
      <x:c r="F226" s="58" t="str">
        <x:v>Both + remote API</x:v>
      </x:c>
      <x:c r="G226" s="58" t="str">
        <x:v>Active draft online/offline; already confirmed draft.</x:v>
      </x:c>
      <x:c r="H226" s="58" t="str">
        <x:v>Cancel online and verify no meal/photos; repeat offline, reconnect after expiry/cleanup; tamper a confirmed id.</x:v>
      </x:c>
      <x:c r="I226" s="58" t="str">
        <x:v>Repeat on Android.</x:v>
      </x:c>
      <x:c r="J226" s="58" t="str">
        <x:v>/Users/mason/Sites/buff-server/tests/Feature/MealAnalysisTest.php:213-228</x:v>
      </x:c>
      <x:c r="K226" s="58" t="str">
        <x:v>/Users/mason/Sites/Buff/resources/js/Pages/Add.vue:840-853,1393-1404; /Users/mason/Sites/buff-server/app/Http/Controllers/Api/V1/MealAnalysisController.php:59-70; /Users/mason/Sites/buff-server/app/Models/MealAnalysis.php:53-59</x:v>
      </x:c>
      <x:c r="L226" s="58" t="str">
        <x:v>Mapped</x:v>
      </x:c>
      <x:c r="M226" s="58" t="str">
        <x:v>Ready</x:v>
      </x:c>
      <x:c r="N226" s="58" t="str">
        <x:v>Not Run</x:v>
      </x:c>
      <x:c r="O226" s="58" t="str">
        <x:v>Blocked</x:v>
      </x:c>
      <x:c r="P226"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online/offline draft cancellation, no logged meal, photo purge or expiry cleanup, swallowed delete failure, and confirmed-id rejection. It was unreachable solely because active Buff+ could not be provisioned in the current emulator.</x:v>
      </x:c>
      <x:c r="Q226" s="58" t="str"/>
      <x:c r="R226" s="58" t="str">
        <x:v>Not Needed</x:v>
      </x:c>
      <x:c r="S226" s="58" t="str"/>
      <x:c r="T226" s="58" t="str">
        <x:v>Not Run</x:v>
      </x:c>
      <x:c r="U226" s="58" t="str">
        <x:v>Not Run</x:v>
      </x:c>
      <x:c r="V226" s="58" t="str"/>
      <x:c r="W226" s="58" t="str">
        <x:f>IF(AND(OR(N226="Passed",N226="Failed",N226="Not Applicable"),OR(O226="Passed",O226="Failed",O226="Not Applicable"),OR(N226="Passed",N226="Failed",O226="Passed",O226="Failed"),OR(T226="Passed",T226="Not Applicable"),OR(U226="Passed",U226="Not Applicable"),OR(T226="Passed",U226="Passed"),Y226="Reconciled",Z226="Reconciled",IF(Q226&lt;&gt;"",R226="Fixed",TRUE)),"Verified",IF(OR(T226="Failed",U226="Failed"),"Retest Failed",IF(OR(N226="Failed",O226="Failed",Q226&lt;&gt;""),"Defect Found",IF(AND(OR(N226="Passed",N226="Not Applicable"),OR(O226="Passed",O226="Not Applicable"),OR(N226="Passed",O226="Passed")),"Initial Pass","Not Complete"))))</x:f>
        <x:v>Not Complete</x:v>
      </x:c>
      <x:c r="X226" s="58" t="str">
        <x:v>Confirmed reliability gap: UI reports no cancellation failure and discards the analysis id locally, so an online server error leaves a remote draft the user cannot explicitly retry deleting.</x:v>
      </x:c>
      <x:c r="Y226" s="58" t="str">
        <x:f>IF(OR(N226="Not Run",O226="Not Run"),"Pending",IF(AND(OR(N226="Not Applicable",COUNTIFS('Test Runs'!$B$5:$B$2004,A226,'Test Runs'!$C$5:$C$2004,"Initial",'Test Runs'!$D$5:$D$2004,"iOS",'Test Runs'!$I$5:$I$2004,N226)&gt;0),OR(O226="Not Applicable",COUNTIFS('Test Runs'!$B$5:$B$2004,A226,'Test Runs'!$C$5:$C$2004,"Initial",'Test Runs'!$D$5:$D$2004,"Android",'Test Runs'!$I$5:$I$2004,O226)&gt;0)),"Reconciled","Mismatch"))</x:f>
        <x:v>Pending</x:v>
      </x:c>
      <x:c r="Z226" s="58" t="str">
        <x:f>IF(OR(T226="Not Run",U226="Not Run"),"Pending",IF(AND(OR(T226="Not Applicable",COUNTIFS('Test Runs'!$B$5:$B$2004,A226,'Test Runs'!$C$5:$C$2004,"Retest",'Test Runs'!$D$5:$D$2004,"iOS",'Test Runs'!$I$5:$I$2004,T226)&gt;0),OR(U226="Not Applicable",COUNTIFS('Test Runs'!$B$5:$B$2004,A226,'Test Runs'!$C$5:$C$2004,"Retest",'Test Runs'!$D$5:$D$2004,"Android",'Test Runs'!$I$5:$I$2004,U226)&gt;0)),"Reconciled","Mismatch"))</x:f>
        <x:v>Pending</x:v>
      </x:c>
    </x:row>
    <x:row r="227" ht="120" customHeight="1">
      <x:c r="A227" s="58" t="str">
        <x:v>NUT-074</x:v>
      </x:c>
      <x:c r="B227" s="58" t="str">
        <x:v>AI meal analysis - save meal</x:v>
      </x:c>
      <x:c r="C227" s="58" t="str">
        <x:v>Review meal estimate &gt; Save</x:v>
      </x:c>
      <x:c r="D227" s="58" t="str">
        <x:v>As a subscriber, I want saving an approved draft to create a normal local meal so that it appears immediately in Today.</x:v>
      </x:c>
      <x:c r="E227" s="58" t="str">
        <x:v>Save posts the edited custom meal plus analysis_id, computes calories from macros, creates a custom-source local entry, records a pending analysis confirmation, defers sync, redirects to the selected date, and flashes "Meal added. Its photos will attach after sync."</x:v>
      </x:c>
      <x:c r="F227" s="58" t="str">
        <x:v>Both + remote sync</x:v>
      </x:c>
      <x:c r="G227" s="58" t="str">
        <x:v>Valid reviewed draft; selected historical date/meal type; network online/offline.</x:v>
      </x:c>
      <x:c r="H227" s="58" t="str">
        <x:v>Save online and offline, verify immediate local Today entry/date/type/macros and exact toast; ensure one meal only.</x:v>
      </x:c>
      <x:c r="I227" s="58" t="str">
        <x:v>Repeat on Android.</x:v>
      </x:c>
      <x:c r="J227" s="58" t="str">
        <x:v>/Users/mason/Sites/Buff/tests/Feature/MealPhotoIntegrationTest.php</x:v>
      </x:c>
      <x:c r="K227" s="58" t="str">
        <x:v>/Users/mason/Sites/Buff/resources/js/Pages/Add.vue:686-697,735-750,1298-1405; /Users/mason/Sites/Buff/app/Http/Controllers/MealController.php:117-152</x:v>
      </x:c>
      <x:c r="L227" s="58" t="str">
        <x:v>Mapped</x:v>
      </x:c>
      <x:c r="M227" s="58" t="str">
        <x:v>Ready</x:v>
      </x:c>
      <x:c r="N227" s="58" t="str">
        <x:v>Not Run</x:v>
      </x:c>
      <x:c r="O227" s="58" t="str">
        <x:v>Blocked</x:v>
      </x:c>
      <x:c r="P227"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online/offline save of the edited draft creates one immediate local custom meal on the selected date/type with exact macros and the photo-attachment toast. It was unreachable solely because active Buff+ could not be provisioned in the current emulator.</x:v>
      </x:c>
      <x:c r="Q227" s="58" t="str"/>
      <x:c r="R227" s="58" t="str">
        <x:v>Not Needed</x:v>
      </x:c>
      <x:c r="S227" s="58" t="str"/>
      <x:c r="T227" s="58" t="str">
        <x:v>Not Run</x:v>
      </x:c>
      <x:c r="U227" s="58" t="str">
        <x:v>Not Run</x:v>
      </x:c>
      <x:c r="V227" s="58" t="str"/>
      <x:c r="W227" s="58" t="str">
        <x:f>IF(AND(OR(N227="Passed",N227="Failed",N227="Not Applicable"),OR(O227="Passed",O227="Failed",O227="Not Applicable"),OR(N227="Passed",N227="Failed",O227="Passed",O227="Failed"),OR(T227="Passed",T227="Not Applicable"),OR(U227="Passed",U227="Not Applicable"),OR(T227="Passed",U227="Passed"),Y227="Reconciled",Z227="Reconciled",IF(Q227&lt;&gt;"",R227="Fixed",TRUE)),"Verified",IF(OR(T227="Failed",U227="Failed"),"Retest Failed",IF(OR(N227="Failed",O227="Failed",Q227&lt;&gt;""),"Defect Found",IF(AND(OR(N227="Passed",N227="Not Applicable"),OR(O227="Passed",O227="Not Applicable"),OR(N227="Passed",O227="Passed")),"Initial Pass","Not Complete"))))</x:f>
        <x:v>Not Complete</x:v>
      </x:c>
      <x:c r="X227" s="58" t="str">
        <x:v>The toast promises photos will attach but exposes no ongoing/pending/failed state on the meal row or detail.</x:v>
      </x:c>
      <x:c r="Y227" s="58" t="str">
        <x:f>IF(OR(N227="Not Run",O227="Not Run"),"Pending",IF(AND(OR(N227="Not Applicable",COUNTIFS('Test Runs'!$B$5:$B$2004,A227,'Test Runs'!$C$5:$C$2004,"Initial",'Test Runs'!$D$5:$D$2004,"iOS",'Test Runs'!$I$5:$I$2004,N227)&gt;0),OR(O227="Not Applicable",COUNTIFS('Test Runs'!$B$5:$B$2004,A227,'Test Runs'!$C$5:$C$2004,"Initial",'Test Runs'!$D$5:$D$2004,"Android",'Test Runs'!$I$5:$I$2004,O227)&gt;0)),"Reconciled","Mismatch"))</x:f>
        <x:v>Pending</x:v>
      </x:c>
      <x:c r="Z227" s="58" t="str">
        <x:f>IF(OR(T227="Not Run",U227="Not Run"),"Pending",IF(AND(OR(T227="Not Applicable",COUNTIFS('Test Runs'!$B$5:$B$2004,A227,'Test Runs'!$C$5:$C$2004,"Retest",'Test Runs'!$D$5:$D$2004,"iOS",'Test Runs'!$I$5:$I$2004,T227)&gt;0),OR(U227="Not Applicable",COUNTIFS('Test Runs'!$B$5:$B$2004,A227,'Test Runs'!$C$5:$C$2004,"Retest",'Test Runs'!$D$5:$D$2004,"Android",'Test Runs'!$I$5:$I$2004,U227)&gt;0)),"Reconciled","Mismatch"))</x:f>
        <x:v>Pending</x:v>
      </x:c>
    </x:row>
    <x:row r="228" ht="120" customHeight="1">
      <x:c r="A228" s="58" t="str">
        <x:v>NUT-075</x:v>
      </x:c>
      <x:c r="B228" s="58" t="str">
        <x:v>AI meal analysis - confirmation retry</x:v>
      </x:c>
      <x:c r="C228" s="58" t="str">
        <x:v>Sync after saving an analyzed meal</x:v>
      </x:c>
      <x:c r="D228" s="58" t="str">
        <x:v>As a signed-in subscriber, I want draft photos attached after the local meal syncs so that cross-device meal detail retains them.</x:v>
      </x:c>
      <x:c r="E228" s="58" t="str">
        <x:v>Sync first pushes the meal record; only after its meal outbox entry is gone does the client POST the pending analysis/meal id confirmation. Success deletes the pending row; failure stores last_error and retries on a later successful sync.</x:v>
      </x:c>
      <x:c r="F228" s="58" t="str">
        <x:v>Both + remote sync</x:v>
      </x:c>
      <x:c r="G228" s="58" t="str">
        <x:v>Analyzed local meal; server failure between meal sync and confirmation; subsequent recovery.</x:v>
      </x:c>
      <x:c r="H228" s="58" t="str">
        <x:v>Save, force confirmation failure, verify meal syncs without photos, restore server and sync again, verify photos attach.</x:v>
      </x:c>
      <x:c r="I228" s="58" t="str">
        <x:v>Repeat starting on Android and inspect from iOS.</x:v>
      </x:c>
      <x:c r="J228" s="58" t="str">
        <x:v>/Users/mason/Sites/Buff/tests/Feature/MealPhotoIntegrationTest.php; /Users/mason/Sites/buff-server/tests/Feature/MealAnalysisTest.php:174-212</x:v>
      </x:c>
      <x:c r="K228" s="58" t="str">
        <x:v>/Users/mason/Sites/Buff/app/Services/BuffSyncService.php:90-148,413-432; /Users/mason/Sites/Buff/app/Models/PendingMealAnalysisConfirmation.php; /Users/mason/Sites/buff-server/app/Services/MealAnalysisService.php:151-186</x:v>
      </x:c>
      <x:c r="L228" s="58" t="str">
        <x:v>Mapped</x:v>
      </x:c>
      <x:c r="M228" s="58" t="str">
        <x:v>Ready</x:v>
      </x:c>
      <x:c r="N228" s="58" t="str">
        <x:v>Not Run</x:v>
      </x:c>
      <x:c r="O228" s="58" t="str">
        <x:v>Blocked</x:v>
      </x:c>
      <x:c r="P228"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meal outbox sync before confirmation, persisted confirmation failure, later retry after successful sync, and eventual remote photo attachment. It was unreachable solely because active Buff+ could not be provisioned in the current emulator.</x:v>
      </x:c>
      <x:c r="Q228" s="58" t="str"/>
      <x:c r="R228" s="58" t="str">
        <x:v>Not Needed</x:v>
      </x:c>
      <x:c r="S228" s="58" t="str"/>
      <x:c r="T228" s="58" t="str">
        <x:v>Not Run</x:v>
      </x:c>
      <x:c r="U228" s="58" t="str">
        <x:v>Not Run</x:v>
      </x:c>
      <x:c r="V228" s="58" t="str"/>
      <x:c r="W228" s="58" t="str">
        <x:f>IF(AND(OR(N228="Passed",N228="Failed",N228="Not Applicable"),OR(O228="Passed",O228="Failed",O228="Not Applicable"),OR(N228="Passed",N228="Failed",O228="Passed",O228="Failed"),OR(T228="Passed",T228="Not Applicable"),OR(U228="Passed",U228="Not Applicable"),OR(T228="Passed",U228="Passed"),Y228="Reconciled",Z228="Reconciled",IF(Q228&lt;&gt;"",R228="Fixed",TRUE)),"Verified",IF(OR(T228="Failed",U228="Failed"),"Retest Failed",IF(OR(N228="Failed",O228="Failed",Q228&lt;&gt;""),"Defect Found",IF(AND(OR(N228="Passed",N228="Not Applicable"),OR(O228="Passed",O228="Not Applicable"),OR(N228="Passed",O228="Passed")),"Initial Pass","Not Complete"))))</x:f>
        <x:v>Not Complete</x:v>
      </x:c>
      <x:c r="X228" s="58" t="str">
        <x:v>Persistent confirmation last_error has no user-visible surface; retries occur only after another successful sync and may miss the one-day draft expiry.</x:v>
      </x:c>
      <x:c r="Y228" s="58" t="str">
        <x:f>IF(OR(N228="Not Run",O228="Not Run"),"Pending",IF(AND(OR(N228="Not Applicable",COUNTIFS('Test Runs'!$B$5:$B$2004,A228,'Test Runs'!$C$5:$C$2004,"Initial",'Test Runs'!$D$5:$D$2004,"iOS",'Test Runs'!$I$5:$I$2004,N228)&gt;0),OR(O228="Not Applicable",COUNTIFS('Test Runs'!$B$5:$B$2004,A228,'Test Runs'!$C$5:$C$2004,"Initial",'Test Runs'!$D$5:$D$2004,"Android",'Test Runs'!$I$5:$I$2004,O228)&gt;0)),"Reconciled","Mismatch"))</x:f>
        <x:v>Pending</x:v>
      </x:c>
      <x:c r="Z228" s="58" t="str">
        <x:f>IF(OR(T228="Not Run",U228="Not Run"),"Pending",IF(AND(OR(T228="Not Applicable",COUNTIFS('Test Runs'!$B$5:$B$2004,A228,'Test Runs'!$C$5:$C$2004,"Retest",'Test Runs'!$D$5:$D$2004,"iOS",'Test Runs'!$I$5:$I$2004,T228)&gt;0),OR(U228="Not Applicable",COUNTIFS('Test Runs'!$B$5:$B$2004,A228,'Test Runs'!$C$5:$C$2004,"Retest",'Test Runs'!$D$5:$D$2004,"Android",'Test Runs'!$I$5:$I$2004,U228)&gt;0)),"Reconciled","Mismatch"))</x:f>
        <x:v>Pending</x:v>
      </x:c>
    </x:row>
    <x:row r="229" ht="120" customHeight="1">
      <x:c r="A229" s="58" t="str">
        <x:v>NUT-076</x:v>
      </x:c>
      <x:c r="B229" s="58" t="str">
        <x:v>AI meal analysis - confirm contract</x:v>
      </x:c>
      <x:c r="C229" s="58" t="str">
        <x:v>Pending-confirmation API during sync</x:v>
      </x:c>
      <x:c r="D229" s="58" t="str">
        <x:v>As a signed-in subscriber, I want photo confirmation to be safe to retry and impossible before the meal exists so that attachments cannot orphan.</x:v>
      </x:c>
      <x:c r="E229" s="58" t="str">
        <x:v>Remote confirmation is idempotent for the same already-confirmed meal id, requires ownership, an active non-expired draft, and a non-deleted synced meal record; otherwise it returns validation such as "Sync the confirmed meal before attaching its photos."</x:v>
      </x:c>
      <x:c r="F229" s="58" t="str">
        <x:v>Both + remote API</x:v>
      </x:c>
      <x:c r="G229" s="58" t="str">
        <x:v>Duplicate confirm; absent/deleted meal; expired/cancelled draft; other user.</x:v>
      </x:c>
      <x:c r="H229" s="58" t="str">
        <x:v>Use normal sync plus interrupted/retried request and verify one attachment relation; verify invalid cases do not confirm.</x:v>
      </x:c>
      <x:c r="I229" s="58" t="str">
        <x:v>Repeat with Android-created meal.</x:v>
      </x:c>
      <x:c r="J229" s="58" t="str">
        <x:v>/Users/mason/Sites/buff-server/tests/Feature/MealAnalysisTest.php:174-212</x:v>
      </x:c>
      <x:c r="K229" s="58" t="str">
        <x:v>/Users/mason/Sites/buff-server/app/Services/MealAnalysisService.php:151-186; /Users/mason/Sites/buff-server/app/Http/Controllers/Api/V1/MealAnalysisController.php:50-56</x:v>
      </x:c>
      <x:c r="L229" s="58" t="str">
        <x:v>Mapped</x:v>
      </x:c>
      <x:c r="M229" s="58" t="str">
        <x:v>Ready</x:v>
      </x:c>
      <x:c r="N229" s="58" t="str">
        <x:v>Not Run</x:v>
      </x:c>
      <x:c r="O229" s="58" t="str">
        <x:v>Blocked</x:v>
      </x:c>
      <x:c r="P229"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idempotent duplicate confirmation, ownership, active non-expired draft, existing synced meal, and safe absent/deleted/expired/cancelled/other-user rejection. It was unreachable solely because active Buff+ could not be provisioned in the current emulator.</x:v>
      </x:c>
      <x:c r="Q229" s="58" t="str"/>
      <x:c r="R229" s="58" t="str">
        <x:v>Not Needed</x:v>
      </x:c>
      <x:c r="S229" s="58" t="str"/>
      <x:c r="T229" s="58" t="str">
        <x:v>Not Run</x:v>
      </x:c>
      <x:c r="U229" s="58" t="str">
        <x:v>Not Run</x:v>
      </x:c>
      <x:c r="V229" s="58" t="str"/>
      <x:c r="W229" s="58" t="str">
        <x:f>IF(AND(OR(N229="Passed",N229="Failed",N229="Not Applicable"),OR(O229="Passed",O229="Failed",O229="Not Applicable"),OR(N229="Passed",N229="Failed",O229="Passed",O229="Failed"),OR(T229="Passed",T229="Not Applicable"),OR(U229="Passed",U229="Not Applicable"),OR(T229="Passed",U229="Passed"),Y229="Reconciled",Z229="Reconciled",IF(Q229&lt;&gt;"",R229="Fixed",TRUE)),"Verified",IF(OR(T229="Failed",U229="Failed"),"Retest Failed",IF(OR(N229="Failed",O229="Failed",Q229&lt;&gt;""),"Defect Found",IF(AND(OR(N229="Passed",N229="Not Applicable"),OR(O229="Passed",O229="Not Applicable"),OR(N229="Passed",O229="Passed")),"Initial Pass","Not Complete"))))</x:f>
        <x:v>Not Complete</x:v>
      </x:c>
      <x:c r="X229" s="58" t="str">
        <x:v>Changing the local meal id association after confirmation is not supported; a confirmed analysis is bound to one record.</x:v>
      </x:c>
      <x:c r="Y229" s="58" t="str">
        <x:f>IF(OR(N229="Not Run",O229="Not Run"),"Pending",IF(AND(OR(N229="Not Applicable",COUNTIFS('Test Runs'!$B$5:$B$2004,A229,'Test Runs'!$C$5:$C$2004,"Initial",'Test Runs'!$D$5:$D$2004,"iOS",'Test Runs'!$I$5:$I$2004,N229)&gt;0),OR(O229="Not Applicable",COUNTIFS('Test Runs'!$B$5:$B$2004,A229,'Test Runs'!$C$5:$C$2004,"Initial",'Test Runs'!$D$5:$D$2004,"Android",'Test Runs'!$I$5:$I$2004,O229)&gt;0)),"Reconciled","Mismatch"))</x:f>
        <x:v>Pending</x:v>
      </x:c>
      <x:c r="Z229" s="58" t="str">
        <x:f>IF(OR(T229="Not Run",U229="Not Run"),"Pending",IF(AND(OR(T229="Not Applicable",COUNTIFS('Test Runs'!$B$5:$B$2004,A229,'Test Runs'!$C$5:$C$2004,"Retest",'Test Runs'!$D$5:$D$2004,"iOS",'Test Runs'!$I$5:$I$2004,T229)&gt;0),OR(U229="Not Applicable",COUNTIFS('Test Runs'!$B$5:$B$2004,A229,'Test Runs'!$C$5:$C$2004,"Retest",'Test Runs'!$D$5:$D$2004,"Android",'Test Runs'!$I$5:$I$2004,U229)&gt;0)),"Reconciled","Mismatch"))</x:f>
        <x:v>Pending</x:v>
      </x:c>
    </x:row>
    <x:row r="230" ht="120" customHeight="1">
      <x:c r="A230" s="58" t="str">
        <x:v>NUT-077</x:v>
      </x:c>
      <x:c r="B230" s="58" t="str">
        <x:v>Meal photos - view</x:v>
      </x:c>
      <x:c r="C230" s="58" t="str">
        <x:v>Today meal row &gt; detail</x:v>
      </x:c>
      <x:c r="D230" s="58" t="str">
        <x:v>As a user, I want photos from a confirmed analyzed meal visible in its detail so that I remember what I ate.</x:v>
      </x:c>
      <x:c r="E230" s="58" t="str">
        <x:v>Opening any meal detail starts a remote photo request. A confirmed analyzed meal returns its private photos and the sheet renders them; ordinary/unconfirmed meals return 404 and simply render no photos after loading completes.</x:v>
      </x:c>
      <x:c r="F230" s="58" t="str">
        <x:v>Both + remote API</x:v>
      </x:c>
      <x:c r="G230" s="58" t="str">
        <x:v>Confirmed analyzed meal with 1-3 photos; manual meal; pending confirmation.</x:v>
      </x:c>
      <x:c r="H230" s="58" t="str">
        <x:v>Open each meal, verify spinner/ordering/images for confirmed and no gallery for ordinary/pending; rapidly switch meals to test stale-request guard.</x:v>
      </x:c>
      <x:c r="I230" s="58" t="str">
        <x:v>Repeat on Android.</x:v>
      </x:c>
      <x:c r="J230" s="58" t="str">
        <x:v>/Users/mason/Sites/Buff/tests/Feature/MealPhotoIntegrationTest.php; /Users/mason/Sites/Buff/tests/mealPhotos.test.ts</x:v>
      </x:c>
      <x:c r="K230" s="58" t="str">
        <x:v>/Users/mason/Sites/Buff/resources/js/Pages/Today.vue:472-500; /Users/mason/Sites/buff-server/app/Http/Controllers/Api/V1/MealPhotoController.php:14-29</x:v>
      </x:c>
      <x:c r="L230" s="58" t="str">
        <x:v>Mapped</x:v>
      </x:c>
      <x:c r="M230" s="58" t="str">
        <x:v>Ready</x:v>
      </x:c>
      <x:c r="N230" s="58" t="str">
        <x:v>Not Run</x:v>
      </x:c>
      <x:c r="O230" s="58" t="str">
        <x:v>Blocked</x:v>
      </x:c>
      <x:c r="P230"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loading and ordering one to three confirmed photos, spinner behavior, ordinary/pending no-gallery handling, and stale-request protection while switching meals. It was unreachable solely because active Buff+ could not be provisioned in the current emulator.</x:v>
      </x:c>
      <x:c r="Q230" s="58" t="str"/>
      <x:c r="R230" s="58" t="str">
        <x:v>Not Needed</x:v>
      </x:c>
      <x:c r="S230" s="58" t="str"/>
      <x:c r="T230" s="58" t="str">
        <x:v>Not Run</x:v>
      </x:c>
      <x:c r="U230" s="58" t="str">
        <x:v>Not Run</x:v>
      </x:c>
      <x:c r="V230" s="58" t="str"/>
      <x:c r="W230" s="58" t="str">
        <x:f>IF(AND(OR(N230="Passed",N230="Failed",N230="Not Applicable"),OR(O230="Passed",O230="Failed",O230="Not Applicable"),OR(N230="Passed",N230="Failed",O230="Passed",O230="Failed"),OR(T230="Passed",T230="Not Applicable"),OR(U230="Passed",U230="Not Applicable"),OR(T230="Passed",U230="Passed"),Y230="Reconciled",Z230="Reconciled",IF(Q230&lt;&gt;"",R230="Fixed",TRUE)),"Verified",IF(OR(T230="Failed",U230="Failed"),"Retest Failed",IF(OR(N230="Failed",O230="Failed",Q230&lt;&gt;""),"Defect Found",IF(AND(OR(N230="Passed",N230="Not Applicable"),OR(O230="Passed",O230="Not Applicable"),OR(N230="Passed",O230="Passed")),"Initial Pass","Not Complete"))))</x:f>
        <x:v>Not Complete</x:v>
      </x:c>
      <x:c r="X230" s="58" t="str">
        <x:v>Every normal meal produces an expected 404 request; absence is modeled as an exception rather than an empty photo list.</x:v>
      </x:c>
      <x:c r="Y230" s="58" t="str">
        <x:f>IF(OR(N230="Not Run",O230="Not Run"),"Pending",IF(AND(OR(N230="Not Applicable",COUNTIFS('Test Runs'!$B$5:$B$2004,A230,'Test Runs'!$C$5:$C$2004,"Initial",'Test Runs'!$D$5:$D$2004,"iOS",'Test Runs'!$I$5:$I$2004,N230)&gt;0),OR(O230="Not Applicable",COUNTIFS('Test Runs'!$B$5:$B$2004,A230,'Test Runs'!$C$5:$C$2004,"Initial",'Test Runs'!$D$5:$D$2004,"Android",'Test Runs'!$I$5:$I$2004,O230)&gt;0)),"Reconciled","Mismatch"))</x:f>
        <x:v>Pending</x:v>
      </x:c>
      <x:c r="Z230" s="58" t="str">
        <x:f>IF(OR(T230="Not Run",U230="Not Run"),"Pending",IF(AND(OR(T230="Not Applicable",COUNTIFS('Test Runs'!$B$5:$B$2004,A230,'Test Runs'!$C$5:$C$2004,"Retest",'Test Runs'!$D$5:$D$2004,"iOS",'Test Runs'!$I$5:$I$2004,T230)&gt;0),OR(U230="Not Applicable",COUNTIFS('Test Runs'!$B$5:$B$2004,A230,'Test Runs'!$C$5:$C$2004,"Retest",'Test Runs'!$D$5:$D$2004,"Android",'Test Runs'!$I$5:$I$2004,U230)&gt;0)),"Reconciled","Mismatch"))</x:f>
        <x:v>Pending</x:v>
      </x:c>
    </x:row>
    <x:row r="231" ht="120" customHeight="1">
      <x:c r="A231" s="58" t="str">
        <x:v>NUT-078</x:v>
      </x:c>
      <x:c r="B231" s="58" t="str">
        <x:v>Meal photos - load failure</x:v>
      </x:c>
      <x:c r="C231" s="58" t="str">
        <x:v>Open meal detail offline/expired token/server failure</x:v>
      </x:c>
      <x:c r="D231" s="58" t="str">
        <x:v>As a user, I want photo-loading failures distinguished from no photos so that I know when to retry.</x:v>
      </x:c>
      <x:c r="E231" s="58" t="str">
        <x:v>Opening a meal detail starts photo loading and clears the prior gallery/error. A legitimate HTTP 404 means this meal has no confirmed photo gallery and produces no error. Offline, authentication and other non404 failures end loading and show accessible error feedback plus Retry meal photos; parsed or native JSON-string response messages are shown when supplied, with a connection/retry fallback otherwise. Retry clears the error and loads the selected meal again. Success displays the gallery. Closing the drawer clears the error and invalidates its pending request; responses from older requests cannot replace current photos, errors or loading state.</x:v>
      </x:c>
      <x:c r="F231" s="58" t="str">
        <x:v>Both</x:v>
      </x:c>
      <x:c r="G231" s="58" t="str">
        <x:v>Any local meal can exercise the photo endpoint and failure presentation. A confirmed photo meal is required for successful gallery/retry verification, but an active Buff+ entitlement is not required merely to open the drawer or trigger a failure. Use a no-photo meal for legitimate 404, offline connectivity, an expired test token, and a controlled server500 response where available.</x:v>
      </x:c>
      <x:c r="H231" s="58" t="str">
        <x:v>Open a no-photo meal online and confirm a legitimate404 is quiet. Open details offline and verify loading ends with an error and Retry meal photos. Restore connectivity while the drawer stays open and tap Retry; verify stale error clears and the confirmed gallery appears when available. Repeat with controlled expired-token and server500 responses. Rapidly open different meals while requests are delayed, and close/reopen a drawer, verifying older results do not replace the current state.</x:v>
      </x:c>
      <x:c r="I231" s="58" t="str">
        <x:v>Repeat the404, offline, expired-token, server500, reconnect-and-Retry, rapid-selection and close/reopen checks on Android. Record unavailable controlled-response fixtures as blocked rather than inferring a device pass from source tests.</x:v>
      </x:c>
      <x:c r="J231" s="58" t="str">
        <x:v>Stale request behavior in /Users/mason/Sites/Buff/tests/mealPhotos.test.ts; no failure-message test found.</x:v>
      </x:c>
      <x:c r="K231" s="58" t="str">
        <x:v>/Users/mason/Sites/Buff/resources/js/Pages/Today.vue:480-513</x:v>
      </x:c>
      <x:c r="L231" s="58" t="str">
        <x:v>Mapped</x:v>
      </x:c>
      <x:c r="M231" s="58" t="str">
        <x:v>Ready</x:v>
      </x:c>
      <x:c r="N231" s="58" t="str">
        <x:v>Not Run</x:v>
      </x:c>
      <x:c r="O231" s="58" t="str">
        <x:v>Blocked</x:v>
      </x:c>
      <x:c r="P231"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offline, expired-token, and server-500 gallery load failures, their absent error/retry state, and reconnect behavior while detail remains open. It was unreachable solely because active Buff+ could not be provisioned in the current emulator.</x:v>
      </x:c>
      <x:c r="Q231" s="58" t="str">
        <x:v>DEF-082</x:v>
      </x:c>
      <x:c r="R231" s="58" t="str">
        <x:v>In Progress</x:v>
      </x:c>
      <x:c r="S231" s="58" t="str"/>
      <x:c r="T231" s="58" t="str">
        <x:v>Not Run</x:v>
      </x:c>
      <x:c r="U231" s="58" t="str">
        <x:v>Failed</x:v>
      </x:c>
      <x:c r="V231" s="58" t="str">
        <x:v>Android: /Users/mason/.codex/visualizations/2026/09/01/01a05def-1c0d-76d1-abc6-07c63a443582/emulator-runs/retest/android/NUT-078-offline-details.json
/Users/mason/.codex/visualizations/2026/09/01/01a05def-1c0d-76d1-abc6-07c63a443582/emulator-runs/retest/android/NUT-078-photo-request-status.json
/Users/mason/.codex/visualizations/2026/09/01/01a05def-1c0d-76d1-abc6-07c63a443582/emulator-runs/retest/android/NUT-078-offline-no-feedback.png — Opening the synced QA meal offline triggered a photo GET returning 503. The drawer silently removed loading without error or Retry. Connectivity restoration did not reload photos or offer recovery.</x:v>
      </x:c>
      <x:c r="W231" s="58" t="str">
        <x:f>IF(AND(OR(N231="Passed",N231="Failed",N231="Not Applicable"),OR(O231="Passed",O231="Failed",O231="Not Applicable"),OR(N231="Passed",N231="Failed",O231="Passed",O231="Failed"),OR(T231="Passed",T231="Not Applicable"),OR(U231="Passed",U231="Not Applicable"),OR(T231="Passed",U231="Passed"),Y231="Reconciled",Z231="Reconciled",IF(Q231&lt;&gt;"",R231="Fixed",TRUE)),"Verified",IF(OR(T231="Failed",U231="Failed"),"Retest Failed",IF(OR(N231="Failed",O231="Failed",Q231&lt;&gt;""),"Defect Found",IF(AND(OR(N231="Passed",N231="Not Applicable"),OR(O231="Passed",O231="Not Applicable"),OR(N231="Passed",O231="Passed")),"Initial Pass","Not Complete"))))</x:f>
        <x:v>Retest Failed</x:v>
      </x:c>
      <x:c r="X231" s="58" t="str">
        <x:v>Confirmed UX defect: offline/auth/server failures are indistinguishable from a meal having no photos, with no retry control.</x:v>
      </x:c>
      <x:c r="Y231" s="58" t="str">
        <x:f>IF(OR(N231="Not Run",O231="Not Run"),"Pending",IF(AND(OR(N231="Not Applicable",COUNTIFS('Test Runs'!$B$5:$B$2004,A231,'Test Runs'!$C$5:$C$2004,"Initial",'Test Runs'!$D$5:$D$2004,"iOS",'Test Runs'!$I$5:$I$2004,N231)&gt;0),OR(O231="Not Applicable",COUNTIFS('Test Runs'!$B$5:$B$2004,A231,'Test Runs'!$C$5:$C$2004,"Initial",'Test Runs'!$D$5:$D$2004,"Android",'Test Runs'!$I$5:$I$2004,O231)&gt;0)),"Reconciled","Mismatch"))</x:f>
        <x:v>Pending</x:v>
      </x:c>
      <x:c r="Z231" s="58" t="str">
        <x:f>IF(OR(T231="Not Run",U231="Not Run"),"Pending",IF(AND(OR(T231="Not Applicable",COUNTIFS('Test Runs'!$B$5:$B$2004,A231,'Test Runs'!$C$5:$C$2004,"Retest",'Test Runs'!$D$5:$D$2004,"iOS",'Test Runs'!$I$5:$I$2004,T231)&gt;0),OR(U231="Not Applicable",COUNTIFS('Test Runs'!$B$5:$B$2004,A231,'Test Runs'!$C$5:$C$2004,"Retest",'Test Runs'!$D$5:$D$2004,"Android",'Test Runs'!$I$5:$I$2004,U231)&gt;0)),"Reconciled","Mismatch"))</x:f>
        <x:v>Pending</x:v>
      </x:c>
    </x:row>
    <x:row r="232" ht="120" customHeight="1">
      <x:c r="A232" s="58" t="str">
        <x:v>NUT-079</x:v>
      </x:c>
      <x:c r="B232" s="58" t="str">
        <x:v>Meal photos - private URLs</x:v>
      </x:c>
      <x:c r="C232" s="58" t="str">
        <x:v>Confirmed meal photo request</x:v>
      </x:c>
      <x:c r="D232" s="58" t="str">
        <x:v>As a user, I want meal photos private and time-limited so that diary images are not public.</x:v>
      </x:c>
      <x:c r="E232" s="58" t="str">
        <x:v>Photo listing requires authenticated ownership and confirmed status, then produces storage temporary URLs valid for ten minutes; a different user/unknown meal receives 404. Already-loaded URLs may expire and require reopening the detail to fetch new ones.</x:v>
      </x:c>
      <x:c r="F232" s="58" t="str">
        <x:v>Both + remote API</x:v>
      </x:c>
      <x:c r="G232" s="58" t="str">
        <x:v>Owner and second account; URL captured before/after 10 minutes.</x:v>
      </x:c>
      <x:c r="H232" s="58" t="str">
        <x:v>Open as owner; try captured endpoint/url as second user; wait/advance expiry and reopen for new URL.</x:v>
      </x:c>
      <x:c r="I232" s="58" t="str">
        <x:v>Repeat using Android owner/second account.</x:v>
      </x:c>
      <x:c r="J232" s="58" t="str">
        <x:v>Ownership/photo retention in /Users/mason/Sites/buff-server/tests/Feature/MealAnalysisTest.php:174-212</x:v>
      </x:c>
      <x:c r="K232" s="58" t="str">
        <x:v>/Users/mason/Sites/buff-server/routes/api.php:39-68; /Users/mason/Sites/buff-server/app/Http/Controllers/Api/V1/MealPhotoController.php:14-29</x:v>
      </x:c>
      <x:c r="L232" s="58" t="str">
        <x:v>Mapped</x:v>
      </x:c>
      <x:c r="M232" s="58" t="str">
        <x:v>Ready</x:v>
      </x:c>
      <x:c r="N232" s="58" t="str">
        <x:v>Not Run</x:v>
      </x:c>
      <x:c r="O232" s="58" t="str">
        <x:v>Blocked</x:v>
      </x:c>
      <x:c r="P232"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authenticated owner access, second-account and unknown-meal 404s, ten-minute temporary URL expiry, and refreshed URLs after reopening. It was unreachable solely because active Buff+ could not be provisioned in the current emulator.</x:v>
      </x:c>
      <x:c r="Q232" s="58" t="str"/>
      <x:c r="R232" s="58" t="str">
        <x:v>Not Needed</x:v>
      </x:c>
      <x:c r="S232" s="58" t="str"/>
      <x:c r="T232" s="58" t="str">
        <x:v>Not Run</x:v>
      </x:c>
      <x:c r="U232" s="58" t="str">
        <x:v>Not Run</x:v>
      </x:c>
      <x:c r="V232" s="58" t="str"/>
      <x:c r="W232" s="58" t="str">
        <x:f>IF(AND(OR(N232="Passed",N232="Failed",N232="Not Applicable"),OR(O232="Passed",O232="Failed",O232="Not Applicable"),OR(N232="Passed",N232="Failed",O232="Passed",O232="Failed"),OR(T232="Passed",T232="Not Applicable"),OR(U232="Passed",U232="Not Applicable"),OR(T232="Passed",U232="Passed"),Y232="Reconciled",Z232="Reconciled",IF(Q232&lt;&gt;"",R232="Fixed",TRUE)),"Verified",IF(OR(T232="Failed",U232="Failed"),"Retest Failed",IF(OR(N232="Failed",O232="Failed",Q232&lt;&gt;""),"Defect Found",IF(AND(OR(N232="Passed",N232="Not Applicable"),OR(O232="Passed",O232="Not Applicable"),OR(N232="Passed",O232="Passed")),"Initial Pass","Not Complete"))))</x:f>
        <x:v>Not Complete</x:v>
      </x:c>
      <x:c r="X232" s="58" t="str">
        <x:v>If the detail remains open past URL expiry and the image reloads, there is no automatic refresh or error state.</x:v>
      </x:c>
      <x:c r="Y232" s="58" t="str">
        <x:f>IF(OR(N232="Not Run",O232="Not Run"),"Pending",IF(AND(OR(N232="Not Applicable",COUNTIFS('Test Runs'!$B$5:$B$2004,A232,'Test Runs'!$C$5:$C$2004,"Initial",'Test Runs'!$D$5:$D$2004,"iOS",'Test Runs'!$I$5:$I$2004,N232)&gt;0),OR(O232="Not Applicable",COUNTIFS('Test Runs'!$B$5:$B$2004,A232,'Test Runs'!$C$5:$C$2004,"Initial",'Test Runs'!$D$5:$D$2004,"Android",'Test Runs'!$I$5:$I$2004,O232)&gt;0)),"Reconciled","Mismatch"))</x:f>
        <x:v>Pending</x:v>
      </x:c>
      <x:c r="Z232" s="58" t="str">
        <x:f>IF(OR(T232="Not Run",U232="Not Run"),"Pending",IF(AND(OR(T232="Not Applicable",COUNTIFS('Test Runs'!$B$5:$B$2004,A232,'Test Runs'!$C$5:$C$2004,"Retest",'Test Runs'!$D$5:$D$2004,"iOS",'Test Runs'!$I$5:$I$2004,T232)&gt;0),OR(U232="Not Applicable",COUNTIFS('Test Runs'!$B$5:$B$2004,A232,'Test Runs'!$C$5:$C$2004,"Retest",'Test Runs'!$D$5:$D$2004,"Android",'Test Runs'!$I$5:$I$2004,U232)&gt;0)),"Reconciled","Mismatch"))</x:f>
        <x:v>Pending</x:v>
      </x:c>
    </x:row>
    <x:row r="233" ht="120" customHeight="1">
      <x:c r="A233" s="58" t="str">
        <x:v>NUT-080</x:v>
      </x:c>
      <x:c r="B233" s="58" t="str">
        <x:v>Meal photos - deletion lifecycle</x:v>
      </x:c>
      <x:c r="C233" s="58" t="str">
        <x:v>Delete confirmed photo meal, then sync</x:v>
      </x:c>
      <x:c r="D233" s="58" t="str">
        <x:v>As a user, I want deleting an analyzed meal to remove its remote photos so that private media does not outlive my log.</x:v>
      </x:c>
      <x:c r="E233" s="58" t="str">
        <x:v>Local deletion immediately removes the meal and queues a sync tombstone. When server applies that deleted meal record, its associated confirmed analysis/photos are deleted; model deletion also removes underlying storage files. Cancelled/failed drafts are cleaned separately.</x:v>
      </x:c>
      <x:c r="F233" s="58" t="str">
        <x:v>Both + remote sync</x:v>
      </x:c>
      <x:c r="G233" s="58" t="str">
        <x:v>Confirmed meal with photos; delete while online/offline; storage delete fake.</x:v>
      </x:c>
      <x:c r="H233" s="58" t="str">
        <x:v>Delete offline, verify local disappearance but remote URL until sync; reconnect/sync and verify endpoint/files unavailable.</x:v>
      </x:c>
      <x:c r="I233" s="58" t="str">
        <x:v>Repeat Android-origin deletion and verify on iOS.</x:v>
      </x:c>
      <x:c r="J233" s="58" t="str">
        <x:v>/Users/mason/Sites/buff-server/tests/Feature/MealAnalysisTest.php:174-228</x:v>
      </x:c>
      <x:c r="K233" s="58" t="str">
        <x:v>/Users/mason/Sites/Buff/app/Http/Controllers/MealController.php:287-294; /Users/mason/Sites/Buff/config/buff.php:40-43; /Users/mason/Sites/buff-server/app/Models/MealAnalysis.php:34-40; /Users/mason/Sites/buff-server/tests/Feature/MealAnalysisTest.php:174-228</x:v>
      </x:c>
      <x:c r="L233" s="58" t="str">
        <x:v>Mapped</x:v>
      </x:c>
      <x:c r="M233" s="58" t="str">
        <x:v>Ready</x:v>
      </x:c>
      <x:c r="N233" s="58" t="str">
        <x:v>Not Run</x:v>
      </x:c>
      <x:c r="O233" s="58" t="str">
        <x:v>Blocked</x:v>
      </x:c>
      <x:c r="P233" s="58" t="str">
        <x:v>Android: /Users/mason/.codex/visualizations/2026/09/01/01a05def-1c0d-76d1-abc6-07c63a443582/emulator-runs/initial/android/NUT-058-free-subscription-gate.png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 — Required downstream behavior: online/offline deletion, immediate local disappearance, remote availability while pending, tombstone sync, endpoint removal, and storage-file cleanup. It was unreachable solely because active Buff+ could not be provisioned in the current emulator.</x:v>
      </x:c>
      <x:c r="Q233" s="58" t="str"/>
      <x:c r="R233" s="58" t="str">
        <x:v>Not Needed</x:v>
      </x:c>
      <x:c r="S233" s="58" t="str"/>
      <x:c r="T233" s="58" t="str">
        <x:v>Not Run</x:v>
      </x:c>
      <x:c r="U233" s="58" t="str">
        <x:v>Not Run</x:v>
      </x:c>
      <x:c r="V233" s="58" t="str"/>
      <x:c r="W233" s="58" t="str">
        <x:f>IF(AND(OR(N233="Passed",N233="Failed",N233="Not Applicable"),OR(O233="Passed",O233="Failed",O233="Not Applicable"),OR(N233="Passed",N233="Failed",O233="Passed",O233="Failed"),OR(T233="Passed",T233="Not Applicable"),OR(U233="Passed",U233="Not Applicable"),OR(T233="Passed",U233="Passed"),Y233="Reconciled",Z233="Reconciled",IF(Q233&lt;&gt;"",R233="Fixed",TRUE)),"Verified",IF(OR(T233="Failed",U233="Failed"),"Retest Failed",IF(OR(N233="Failed",O233="Failed",Q233&lt;&gt;""),"Defect Found",IF(AND(OR(N233="Passed",N233="Not Applicable"),OR(O233="Passed",O233="Not Applicable"),OR(N233="Passed",O233="Passed")),"Initial Pass","Not Complete"))))</x:f>
        <x:v>Not Complete</x:v>
      </x:c>
      <x:c r="X233" s="58" t="str">
        <x:v>Privacy timing is sync-dependent: while deletion is pending offline, server-side photos remain accessible to the account.</x:v>
      </x:c>
      <x:c r="Y233" s="58" t="str">
        <x:f>IF(OR(N233="Not Run",O233="Not Run"),"Pending",IF(AND(OR(N233="Not Applicable",COUNTIFS('Test Runs'!$B$5:$B$2004,A233,'Test Runs'!$C$5:$C$2004,"Initial",'Test Runs'!$D$5:$D$2004,"iOS",'Test Runs'!$I$5:$I$2004,N233)&gt;0),OR(O233="Not Applicable",COUNTIFS('Test Runs'!$B$5:$B$2004,A233,'Test Runs'!$C$5:$C$2004,"Initial",'Test Runs'!$D$5:$D$2004,"Android",'Test Runs'!$I$5:$I$2004,O233)&gt;0)),"Reconciled","Mismatch"))</x:f>
        <x:v>Pending</x:v>
      </x:c>
      <x:c r="Z233" s="58" t="str">
        <x:f>IF(OR(T233="Not Run",U233="Not Run"),"Pending",IF(AND(OR(T233="Not Applicable",COUNTIFS('Test Runs'!$B$5:$B$2004,A233,'Test Runs'!$C$5:$C$2004,"Retest",'Test Runs'!$D$5:$D$2004,"iOS",'Test Runs'!$I$5:$I$2004,T233)&gt;0),OR(U233="Not Applicable",COUNTIFS('Test Runs'!$B$5:$B$2004,A233,'Test Runs'!$C$5:$C$2004,"Retest",'Test Runs'!$D$5:$D$2004,"Android",'Test Runs'!$I$5:$I$2004,U233)&gt;0)),"Reconciled","Mismatch"))</x:f>
        <x:v>Pending</x:v>
      </x:c>
    </x:row>
    <x:row r="234" ht="120" customHeight="1">
      <x:c r="A234" s="58" t="str">
        <x:v>NUT-081</x:v>
      </x:c>
      <x:c r="B234" s="58" t="str">
        <x:v>Meal detail</x:v>
      </x:c>
      <x:c r="C234" s="58" t="str">
        <x:v>Today &gt; meal row</x:v>
      </x:c>
      <x:c r="D234" s="58" t="str">
        <x:v>As a user, I want to inspect a logged meal so that I can verify its source, portion, calories and macros.</x:v>
      </x:c>
      <x:c r="E234" s="58" t="str">
        <x:v>Meal detail shows type, name, optional product image/brand, calories, labelled portion, macro grams/percent of current goal and Repeat/Edit/Delete. Recipe/null-unit portions use serving/servings. Closing restores triggering-row focus. Repeat uses the viewed date and meal type, prevents dismissal during submission, closes on success and shows an error on failure.</x:v>
      </x:c>
      <x:c r="F234" s="58" t="str">
        <x:v>Both</x:v>
      </x:c>
      <x:c r="G234" s="58" t="str">
        <x:v>Barcode, custom, recipe and analyzed meals; goal/no-goal; long names.</x:v>
      </x:c>
      <x:c r="H234" s="58" t="str">
        <x:v>Open each source, inspect values/percentages, close by X/swipe/back and verify focus return.</x:v>
      </x:c>
      <x:c r="I234" s="58" t="str">
        <x:v>Repeat on Android with predictive/system back.</x:v>
      </x:c>
      <x:c r="J234" s="58" t="str">
        <x:v>/Users/mason/Sites/Buff/tests/mealPhotos.test.ts; /Users/mason/Sites/Buff/tests/Feature/DashboardTest.php</x:v>
      </x:c>
      <x:c r="K234" s="58" t="str">
        <x:v>/Users/mason/Sites/Buff/resources/js/Pages/Today.vue:203-217,472-513,852-915</x:v>
      </x:c>
      <x:c r="L234" s="58" t="str">
        <x:v>Mapped</x:v>
      </x:c>
      <x:c r="M234" s="58" t="str">
        <x:v>Ready</x:v>
      </x:c>
      <x:c r="N234" s="58" t="str">
        <x:v>Not Run</x:v>
      </x:c>
      <x:c r="O234" s="58" t="str">
        <x:v>Failed</x:v>
      </x:c>
      <x:c r="P234" s="58" t="str">
        <x:v>Android: /Users/mason/.codex/visualizations/2026/09/01/01a05def-1c0d-76d1-abc6-07c63a443582/emulator-runs/initial/android/NUT-089-meal-detail-no-repeat.png — The detail sheet showed the correct meal type, name, 370 kcal, 350g, P40/C30/F10 with goal percentages, and its explicit Close restored row focus. Android system Back instead navigated browser history from dated Today to the preceding Weekly range page rather than dismissing in place.</x:v>
      </x:c>
      <x:c r="Q234" s="58" t="str">
        <x:v>DEF-018</x:v>
      </x:c>
      <x:c r="R234" s="58" t="str">
        <x:v>In Progress</x:v>
      </x:c>
      <x:c r="S234" s="58" t="str"/>
      <x:c r="T234" s="58" t="str">
        <x:v>Not Run</x:v>
      </x:c>
      <x:c r="U234" s="58" t="str">
        <x:v>Not Run</x:v>
      </x:c>
      <x:c r="V234" s="58" t="str"/>
      <x:c r="W234" s="58" t="str">
        <x:f>IF(AND(OR(N234="Passed",N234="Failed",N234="Not Applicable"),OR(O234="Passed",O234="Failed",O234="Not Applicable"),OR(N234="Passed",N234="Failed",O234="Passed",O234="Failed"),OR(T234="Passed",T234="Not Applicable"),OR(U234="Passed",U234="Not Applicable"),OR(T234="Passed",U234="Passed"),Y234="Reconciled",Z234="Reconciled",IF(Q234&lt;&gt;"",R234="Fixed",TRUE)),"Verified",IF(OR(T234="Failed",U234="Failed"),"Retest Failed",IF(OR(N234="Failed",O234="Failed",Q234&lt;&gt;""),"Defect Found",IF(AND(OR(N234="Passed",N234="Not Applicable"),OR(O234="Passed",O234="Not Applicable"),OR(N234="Passed",O234="Passed")),"Initial Pass","Not Complete"))))</x:f>
        <x:v>Defect Found</x:v>
      </x:c>
      <x:c r="X234" s="58" t="str">
        <x:v>When no goal exists, macro percent displays 0% goal rather than indicating that no goal is configured.</x:v>
      </x:c>
      <x:c r="Y234" s="58" t="str">
        <x:f>IF(OR(N234="Not Run",O234="Not Run"),"Pending",IF(AND(OR(N234="Not Applicable",COUNTIFS('Test Runs'!$B$5:$B$2004,A234,'Test Runs'!$C$5:$C$2004,"Initial",'Test Runs'!$D$5:$D$2004,"iOS",'Test Runs'!$I$5:$I$2004,N234)&gt;0),OR(O234="Not Applicable",COUNTIFS('Test Runs'!$B$5:$B$2004,A234,'Test Runs'!$C$5:$C$2004,"Initial",'Test Runs'!$D$5:$D$2004,"Android",'Test Runs'!$I$5:$I$2004,O234)&gt;0)),"Reconciled","Mismatch"))</x:f>
        <x:v>Pending</x:v>
      </x:c>
      <x:c r="Z234" s="58" t="str">
        <x:f>IF(OR(T234="Not Run",U234="Not Run"),"Pending",IF(AND(OR(T234="Not Applicable",COUNTIFS('Test Runs'!$B$5:$B$2004,A234,'Test Runs'!$C$5:$C$2004,"Retest",'Test Runs'!$D$5:$D$2004,"iOS",'Test Runs'!$I$5:$I$2004,T234)&gt;0),OR(U234="Not Applicable",COUNTIFS('Test Runs'!$B$5:$B$2004,A234,'Test Runs'!$C$5:$C$2004,"Retest",'Test Runs'!$D$5:$D$2004,"Android",'Test Runs'!$I$5:$I$2004,U234)&gt;0)),"Reconciled","Mismatch"))</x:f>
        <x:v>Pending</x:v>
      </x:c>
    </x:row>
    <x:row r="235" ht="120" customHeight="1">
      <x:c r="A235" s="58" t="str">
        <x:v>NUT-082</x:v>
      </x:c>
      <x:c r="B235" s="58" t="str">
        <x:v>Meal edit - initial mode</x:v>
      </x:c>
      <x:c r="C235" s="58" t="str">
        <x:v>Meal detail &gt; Edit</x:v>
      </x:c>
      <x:c r="D235" s="58" t="str">
        <x:v>As a user, I want an existing meal prefilled for editing so that I change only what is necessary.</x:v>
      </x:c>
      <x:c r="E235" s="58" t="str">
        <x:v>Edit copies current date, meal type, name, portion and macros. Any entry with non-null portion defaults to Portion mode and offers Portion/Macros toggle; an entry with null portion defaults to Macros and hides the toggle. The editor cannot be dismissed during save.</x:v>
      </x:c>
      <x:c r="F235" s="58" t="str">
        <x:v>Both</x:v>
      </x:c>
      <x:c r="G235" s="58" t="str">
        <x:v>Custom/barcode meals with portion; legacy/no-portion entry.</x:v>
      </x:c>
      <x:c r="H235" s="58" t="str">
        <x:v>Open Edit for each, verify exact prefill/default toggle, close without saving, reopen.</x:v>
      </x:c>
      <x:c r="I235" s="58" t="str">
        <x:v>Repeat on Android.</x:v>
      </x:c>
      <x:c r="J235" s="58" t="str">
        <x:v>/Users/mason/Sites/Buff/tests/Feature/MealEntryTest.php</x:v>
      </x:c>
      <x:c r="K235" s="58" t="str">
        <x:v>/Users/mason/Sites/Buff/resources/js/Pages/Today.vue:515-549,916-980</x:v>
      </x:c>
      <x:c r="L235" s="58" t="str">
        <x:v>Mapped</x:v>
      </x:c>
      <x:c r="M235" s="58" t="str">
        <x:v>Ready</x:v>
      </x:c>
      <x:c r="N235" s="58" t="str">
        <x:v>Not Run</x:v>
      </x:c>
      <x:c r="O235" s="58" t="str">
        <x:v>Passed</x:v>
      </x:c>
      <x:c r="P235" s="58" t="str">
        <x:v>Android: /Users/mason/.codex/visualizations/2026/09/01/01a05def-1c0d-76d1-abc6-07c63a443582/emulator-runs/initial/android/NUT-083-macro-edit-reclassified.png — Two portioned custom entries opened Edit with exact name/quantity/unit prefill, Portion selected, Macros available, and correct meal type. Closing without save and reopening preserved the stored values.</x:v>
      </x:c>
      <x:c r="Q235" s="58" t="str"/>
      <x:c r="R235" s="58" t="str">
        <x:v>Not Needed</x:v>
      </x:c>
      <x:c r="S235" s="58" t="str"/>
      <x:c r="T235" s="58" t="str">
        <x:v>Not Run</x:v>
      </x:c>
      <x:c r="U235" s="58" t="str">
        <x:v>Not Run</x:v>
      </x:c>
      <x:c r="V235" s="58" t="str"/>
      <x:c r="W235" s="58" t="str">
        <x:f>IF(AND(OR(N235="Passed",N235="Failed",N235="Not Applicable"),OR(O235="Passed",O235="Failed",O235="Not Applicable"),OR(N235="Passed",N235="Failed",O235="Passed",O235="Failed"),OR(T235="Passed",T235="Not Applicable"),OR(U235="Passed",U235="Not Applicable"),OR(T235="Passed",U235="Passed"),Y235="Reconciled",Z235="Reconciled",IF(Q235&lt;&gt;"",R235="Fixed",TRUE)),"Verified",IF(OR(T235="Failed",U235="Failed"),"Retest Failed",IF(OR(N235="Failed",O235="Failed",Q235&lt;&gt;""),"Defect Found",IF(AND(OR(N235="Passed",N235="Not Applicable"),OR(O235="Passed",O235="Not Applicable"),OR(N235="Passed",O235="Passed")),"Initial Pass","Not Complete"))))</x:f>
        <x:v>Not Complete</x:v>
      </x:c>
      <x:c r="X235" s="58" t="str">
        <x:v>Recipe entries store a numeric portion with null unit, so they enter Portion mode and label Servings, but portion recalculation later follows the generic saved-meal unit rules.</x:v>
      </x:c>
      <x:c r="Y235" s="58" t="str">
        <x:f>IF(OR(N235="Not Run",O235="Not Run"),"Pending",IF(AND(OR(N235="Not Applicable",COUNTIFS('Test Runs'!$B$5:$B$2004,A235,'Test Runs'!$C$5:$C$2004,"Initial",'Test Runs'!$D$5:$D$2004,"iOS",'Test Runs'!$I$5:$I$2004,N235)&gt;0),OR(O235="Not Applicable",COUNTIFS('Test Runs'!$B$5:$B$2004,A235,'Test Runs'!$C$5:$C$2004,"Initial",'Test Runs'!$D$5:$D$2004,"Android",'Test Runs'!$I$5:$I$2004,O235)&gt;0)),"Reconciled","Mismatch"))</x:f>
        <x:v>Pending</x:v>
      </x:c>
      <x:c r="Z235" s="58" t="str">
        <x:f>IF(OR(T235="Not Run",U235="Not Run"),"Pending",IF(AND(OR(T235="Not Applicable",COUNTIFS('Test Runs'!$B$5:$B$2004,A235,'Test Runs'!$C$5:$C$2004,"Retest",'Test Runs'!$D$5:$D$2004,"iOS",'Test Runs'!$I$5:$I$2004,T235)&gt;0),OR(U235="Not Applicable",COUNTIFS('Test Runs'!$B$5:$B$2004,A235,'Test Runs'!$C$5:$C$2004,"Retest",'Test Runs'!$D$5:$D$2004,"Android",'Test Runs'!$I$5:$I$2004,U235)&gt;0)),"Reconciled","Mismatch"))</x:f>
        <x:v>Pending</x:v>
      </x:c>
    </x:row>
    <x:row r="236" ht="110.4000015258789" hidden="0" customHeight="1">
      <x:c r="A236" s="58" t="str">
        <x:v>NUT-083</x:v>
      </x:c>
      <x:c r="B236" s="58" t="str">
        <x:v>Meal edit - macros</x:v>
      </x:c>
      <x:c r="C236" s="58" t="str">
        <x:v>Meal editor &gt; Macros &gt; Save meal</x:v>
      </x:c>
      <x:c r="D236" s="58" t="str">
        <x:v>As a user, I want to edit a meal’s name, macros and meal type so that diary mistakes can be corrected.</x:v>
      </x:c>
      <x:c r="E236" s="58" t="str">
        <x:v>Macros mode validates name/date/type and protein/carbs/fat from 0–1000 g. Changing any macro recomputes calories with 4/4/9; submitting numerically unchanged macros preserves the saved calorie snapshot during metadata-only edits. Existing portion/source relations are preserved. The update saves locally, flashes Meal updated, redirects to the meal's date, closes the sheet and refreshes summaries.</x:v>
      </x:c>
      <x:c r="F236" s="58" t="str">
        <x:v>Both</x:v>
      </x:c>
      <x:c r="G236" s="58" t="str">
        <x:v>Meal with known macros; change name, all macros and move breakfast to dinner.</x:v>
      </x:c>
      <x:c r="H236" s="58" t="str">
        <x:v>Save and verify row moved, calories/macros/totals changed, toast and persistence after restart.</x:v>
      </x:c>
      <x:c r="I236" s="58" t="str">
        <x:v>Repeat on Android.</x:v>
      </x:c>
      <x:c r="J236" s="58" t="str">
        <x:v>/Users/mason/Sites/Buff/tests/Feature/MealEntryTest.php</x:v>
      </x:c>
      <x:c r="K236" s="58" t="str">
        <x:v>/Users/mason/Sites/Buff/resources/js/Pages/Today.vue:537-549,924-978; /Users/mason/Sites/Buff/app/Http/Controllers/MealController.php:218-256</x:v>
      </x:c>
      <x:c r="L236" s="58" t="str">
        <x:v>Mapped</x:v>
      </x:c>
      <x:c r="M236" s="58" t="str">
        <x:v>Ready</x:v>
      </x:c>
      <x:c r="N236" s="58" t="str">
        <x:v>Not Run</x:v>
      </x:c>
      <x:c r="O236" s="58" t="str">
        <x:v>Passed</x:v>
      </x:c>
      <x:c r="P236" s="58" t="str">
        <x:v>Android: /Users/mason/.codex/visualizations/2026/09/01/01a05def-1c0d-76d1-abc6-07c63a443582/emulator-runs/initial/android/NUT-083-macro-edit-reclassified.png — Macros edit renamed the 350g entry, changed it to P40/C30/F10, recomputed 370 kcal, moved Lunch to Dinner, closed after save, and refreshed row/group/day totals without changing portion.</x:v>
      </x:c>
      <x:c r="Q236" s="58" t="str">
        <x:v>DEF-093
DEF-103</x:v>
      </x:c>
      <x:c r="R236" s="58" t="str">
        <x:v>Fixed</x:v>
      </x:c>
      <x:c r="S236" s="58" t="str"/>
      <x:c r="T236" s="58" t="str">
        <x:v>Blocked</x:v>
      </x:c>
      <x:c r="U236" s="58" t="str">
        <x:v>Blocked</x:v>
      </x:c>
      <x:c r="V236" s="58" t="str">
        <x:v>Android: /Users/mason/.codex/visualizations/2026/09/06/01a07722-2d43-7910-aa74-f3a7d9489dc2/release-qa/DEF-103-native-step-mismatch.json — Saved P9.45/C86.25/F46.35 are rejected by step=0.1. Save meal remains in the editor and submits no update. Source precision fix and automated regression pass; native retest awaits rebuild.
Android: /Users/mason/.codex/visualizations/2026/09/06/01a07722-2d43-7910-aa74-f3a7d9489dc2/release-qa/DEF-093-103-android-saved.json; /Users/mason/.codex/visualizations/2026/09/06/01a07722-2d43-7910-aa74-f3a7d9489dc2/release-qa/DEF-093-103-ios-cloud-confirmed.json — Focused DEF-093/DEF-103 retest Passed: unchanged P9.45/C86.25/F46.35 macros submit successfully, reclassify the meal and preserve809kcal. Editor closes. iOS final Lunch record received independently on Android.
iOS: /Users/mason/.codex/visualizations/2026/09/06/01a07722-2d43-7910-aa74-f3a7d9489dc2/release-qa/DEF-093-103-ios-saved.png; /Users/mason/.codex/visualizations/2026/09/06/01a07722-2d43-7910-aa74-f3a7d9489dc2/release-qa/DEF-093-103-ios-cloud-confirmed.json — Focused DEF-093/DEF-103 retest Passed: unchanged P9.45/C86.25/F46.35 macros submit successfully, reclassify the meal and preserve809kcal. Editor closes. iOS final Lunch record received independently on Android.</x:v>
      </x:c>
      <x:c r="W236" s="58" t="str">
        <x:f>IF(AND(OR(N236="Passed",N236="Failed",N236="Not Applicable"),OR(O236="Passed",O236="Failed",O236="Not Applicable"),OR(N236="Passed",N236="Failed",O236="Passed",O236="Failed"),OR(T236="Passed",T236="Not Applicable"),OR(U236="Passed",U236="Not Applicable"),OR(T236="Passed",U236="Passed"),Y236="Reconciled",Z236="Reconciled",IF(Q236&lt;&gt;"",R236="Fixed",TRUE)),"Verified",IF(OR(T236="Failed",U236="Failed"),"Retest Failed",IF(OR(N236="Failed",O236="Failed",Q236&lt;&gt;""),"Defect Found",IF(AND(OR(N236="Passed",N236="Not Applicable"),OR(O236="Passed",O236="Not Applicable"),OR(N236="Passed",O236="Passed")),"Initial Pass","Not Complete"))))</x:f>
        <x:v>Defect Found</x:v>
      </x:c>
      <x:c r="X236" s="58" t="str">
        <x:v>Direct macro editing can intentionally diverge a barcode meal’s logged snapshot from its linked product nutrition; source/product badge remains.</x:v>
      </x:c>
      <x:c r="Y236" s="58" t="str">
        <x:f>IF(OR(N236="Not Run",O236="Not Run"),"Pending",IF(AND(OR(N236="Not Applicable",COUNTIFS('Test Runs'!$B$5:$B$2004,A236,'Test Runs'!$C$5:$C$2004,"Initial",'Test Runs'!$D$5:$D$2004,"iOS",'Test Runs'!$I$5:$I$2004,N236)&gt;0),OR(O236="Not Applicable",COUNTIFS('Test Runs'!$B$5:$B$2004,A236,'Test Runs'!$C$5:$C$2004,"Initial",'Test Runs'!$D$5:$D$2004,"Android",'Test Runs'!$I$5:$I$2004,O236)&gt;0)),"Reconciled","Mismatch"))</x:f>
        <x:v>Pending</x:v>
      </x:c>
      <x:c r="Z236" s="58" t="str">
        <x:f>IF(OR(T236="Not Run",U236="Not Run"),"Pending",IF(AND(OR(T236="Not Applicable",COUNTIFS('Test Runs'!$B$5:$B$2004,A236,'Test Runs'!$C$5:$C$2004,"Retest",'Test Runs'!$D$5:$D$2004,"iOS",'Test Runs'!$I$5:$I$2004,T236)&gt;0),OR(U236="Not Applicable",COUNTIFS('Test Runs'!$B$5:$B$2004,A236,'Test Runs'!$C$5:$C$2004,"Retest",'Test Runs'!$D$5:$D$2004,"Android",'Test Runs'!$I$5:$I$2004,U236)&gt;0)),"Reconciled","Mismatch"))</x:f>
        <x:v>Reconciled</x:v>
      </x:c>
    </x:row>
    <x:row r="237" ht="97.19999694824219" hidden="0" customHeight="1">
      <x:c r="A237" s="58" t="str">
        <x:v>NUT-084</x:v>
      </x:c>
      <x:c r="B237" s="58" t="str">
        <x:v>Meal edit - portion</x:v>
      </x:c>
      <x:c r="C237" s="58" t="str">
        <x:v>Meal editor &gt; Portion &gt; Save meal</x:v>
      </x:c>
      <x:c r="D237" s="58" t="str">
        <x:v>As a user, I want changing a portion to rescale nutrition automatically so that I do not recalculate macros.</x:v>
      </x:c>
      <x:c r="E237" s="58" t="str">
        <x:v>Portion mode validates quantity from 0.1–10000. Submitting the same numeric quantity and nullable unit preserves the meal's saved calories and macros. When the portion changes, a product meal recalculates from the product's current per-100 nutrition and requires its g/ml unit. A non-product saved meal scales its original stored calories/macros and must use exactly the original unit. Recipe servings retain their null unit and scale the saved meal snapshot when quantity changes.</x:v>
      </x:c>
      <x:c r="F237" s="58" t="str">
        <x:v>Both</x:v>
      </x:c>
      <x:c r="G237" s="58" t="str">
        <x:v>Barcode, custom, recipe meals; double and halve each portion; tampered unit.</x:v>
      </x:c>
      <x:c r="H237" s="58" t="str">
        <x:v>Change quantity and verify proportional totals; tamper unit/request and verify rejection/no mutation.</x:v>
      </x:c>
      <x:c r="I237" s="58" t="str">
        <x:v>Repeat on Android.</x:v>
      </x:c>
      <x:c r="J237" s="58" t="str">
        <x:v>/Users/mason/Sites/Buff/tests/Feature/MealEntryTest.php</x:v>
      </x:c>
      <x:c r="K237" s="58" t="str">
        <x:v>/Users/mason/Sites/Buff/resources/js/Pages/Today.vue:930-952; /Users/mason/Sites/Buff/app/Http/Controllers/MealController.php:242-244,313-347</x:v>
      </x:c>
      <x:c r="L237" s="58" t="str">
        <x:v>Mapped</x:v>
      </x:c>
      <x:c r="M237" s="58" t="str">
        <x:v>Ready</x:v>
      </x:c>
      <x:c r="N237" s="58" t="str">
        <x:v>Not Run</x:v>
      </x:c>
      <x:c r="O237" s="58" t="str">
        <x:v>Passed</x:v>
      </x:c>
      <x:c r="P237" s="58" t="str">
        <x:v>Android: /Users/mason/.codex/visualizations/2026/09/01/01a05def-1c0d-76d1-abc6-07c63a443582/emulator-runs/initial/android/NUT-083-macro-edit-reclassified.png — Portion edit doubled 350g to 700g and exactly doubled the snapshot to 740 kcal/P80/C60/F20; halving back to 350g restored 370/P40/C30/F10 and the same unit.</x:v>
      </x:c>
      <x:c r="Q237" s="58" t="str">
        <x:v>DEF-093
DEF-103</x:v>
      </x:c>
      <x:c r="R237" s="58" t="str">
        <x:v>Fixed</x:v>
      </x:c>
      <x:c r="S237" s="58" t="str"/>
      <x:c r="T237" s="58" t="str">
        <x:v>Not Run</x:v>
      </x:c>
      <x:c r="U237" s="58" t="str">
        <x:v>Not Run</x:v>
      </x:c>
      <x:c r="V237" s="58" t="str"/>
      <x:c r="W237" s="58" t="str">
        <x:f>IF(AND(OR(N237="Passed",N237="Failed",N237="Not Applicable"),OR(O237="Passed",O237="Failed",O237="Not Applicable"),OR(N237="Passed",N237="Failed",O237="Passed",O237="Failed"),OR(T237="Passed",T237="Not Applicable"),OR(U237="Passed",U237="Not Applicable"),OR(T237="Passed",U237="Passed"),Y237="Reconciled",Z237="Reconciled",IF(Q237&lt;&gt;"",R237="Fixed",TRUE)),"Verified",IF(OR(T237="Failed",U237="Failed"),"Retest Failed",IF(OR(N237="Failed",O237="Failed",Q237&lt;&gt;""),"Defect Found",IF(AND(OR(N237="Passed",N237="Not Applicable"),OR(O237="Passed",O237="Not Applicable"),OR(N237="Passed",O237="Passed")),"Initial Pass","Not Complete"))))</x:f>
        <x:v>Defect Found</x:v>
      </x:c>
      <x:c r="X237" s="58" t="str">
        <x:v>Barcode edits use the linked product’s current nutrition, so an updated catalogue record can change macros by more than the portion factor.</x:v>
      </x:c>
      <x:c r="Y237" s="58" t="str">
        <x:f>IF(OR(N237="Not Run",O237="Not Run"),"Pending",IF(AND(OR(N237="Not Applicable",COUNTIFS('Test Runs'!$B$5:$B$2004,A237,'Test Runs'!$C$5:$C$2004,"Initial",'Test Runs'!$D$5:$D$2004,"iOS",'Test Runs'!$I$5:$I$2004,N237)&gt;0),OR(O237="Not Applicable",COUNTIFS('Test Runs'!$B$5:$B$2004,A237,'Test Runs'!$C$5:$C$2004,"Initial",'Test Runs'!$D$5:$D$2004,"Android",'Test Runs'!$I$5:$I$2004,O237)&gt;0)),"Reconciled","Mismatch"))</x:f>
        <x:v>Pending</x:v>
      </x:c>
      <x:c r="Z237" s="58" t="str">
        <x:f>IF(OR(T237="Not Run",U237="Not Run"),"Pending",IF(AND(OR(T237="Not Applicable",COUNTIFS('Test Runs'!$B$5:$B$2004,A237,'Test Runs'!$C$5:$C$2004,"Retest",'Test Runs'!$D$5:$D$2004,"iOS",'Test Runs'!$I$5:$I$2004,T237)&gt;0),OR(U237="Not Applicable",COUNTIFS('Test Runs'!$B$5:$B$2004,A237,'Test Runs'!$C$5:$C$2004,"Retest",'Test Runs'!$D$5:$D$2004,"Android",'Test Runs'!$I$5:$I$2004,U237)&gt;0)),"Reconciled","Mismatch"))</x:f>
        <x:v>Pending</x:v>
      </x:c>
    </x:row>
    <x:row r="238" ht="704.4000244140625" hidden="0" customHeight="1">
      <x:c r="A238" s="58" t="str">
        <x:v>NUT-085</x:v>
      </x:c>
      <x:c r="B238" s="58" t="str">
        <x:v>Meal edit - validation feedback</x:v>
      </x:c>
      <x:c r="C238" s="58" t="str">
        <x:v>Meal editor invalid submission</x:v>
      </x:c>
      <x:c r="D238" s="58" t="str">
        <x:v>As a user, I want edit errors next to the invalid field so that I can repair the meal without losing work.</x:v>
      </x:c>
      <x:c r="E238" s="58" t="str">
        <x:v>Portion/unit, each macro, name and meal-type validation errors render in the meal editor. Rejection leaves entered values intact so users can correct and save. Changing Name, Portion or an individual macro clears only that field's old server error immediately; selecting a meal type clears its old error. Unchanged field errors and other entered values remain. A changed invalid value can still trigger the native min/step constraint, but must not simultaneously show a server message for its previous value. Visible errors are associated with affected controls through invalid state and described-by references. During Save, all editable fields, nutrition-mode and meal-type controls are locked, preventing late validation responses from describing a superseded value. Validation completion unlocks the editor for correction. Corrected valid Save updates the existing meal and closes the editor.</x:v>
      </x:c>
      <x:c r="F238" s="58" t="str">
        <x:v>Both</x:v>
      </x:c>
      <x:c r="G238" s="58" t="str">
        <x:v>Existing logged meal with editable portion and macro modes. Blank/121-character name; invalid meal type/unit where a controlled request fixture permits them; zero/too-large portion; negative/too-large macros. Include a previous server error before changing each editable field.</x:v>
      </x:c>
      <x:c r="H238" s="58" t="str">
        <x:v>Submit blank and121-character names, portion10000.1, and each macro1000.1. Verify the editor retains values and shows the relevant errors without mutating the meal. Change each field without resubmitting and verify only its old error clears. Change a previously too-large portion to0 and submit: only the current native minimum constraint should appear, not the old maximum error. Check negative macro limits, unit/type rejection using a controlled fixture, and screen-reader error associations. Restore valid values and Save; verify the existing row updates once and the editor closes.</x:v>
      </x:c>
      <x:c r="I238" s="58" t="str">
        <x:v>Repeat the error-to-correction checks on Android, including too-large portion to0, name corrections, each macro correction and meal-type selection. Verify unaffected errors persist and TalkBack associates feedback with the right control. Restore the original valid name, portion100g and expected nutrition; Save should close the editor and leave one existing meal. Negative macro lower bounds and invalid unit/type request variants require separate coverage and must not be inferred from upper-bound tests.</x:v>
      </x:c>
      <x:c r="J238" s="58" t="str">
        <x:v>/Users/mason/Sites/Buff/tests/mealEditValidation.test.ts: four source-level tests cover field-specific error clearing, meal-type clearing, control associations and processing lock/recovery. /Users/mason/Sites/Buff/tests/iosUxRegressions.test.ts checks editor/error markup. /Users/mason/Sites/Buff/tests/Feature/MealEntryTest.php covers update/scaling and unit mismatch; it is not a full endpoint validation-boundary matrix.</x:v>
      </x:c>
      <x:c r="K238" s="58" t="str">
        <x:v>/Users/mason/Sites/Buff/resources/js/Pages/Today.vue:924-978; /Users/mason/Sites/Buff/app/Http/Controllers/MealController.php:218-256</x:v>
      </x:c>
      <x:c r="L238" s="58" t="str">
        <x:v>Mapped</x:v>
      </x:c>
      <x:c r="M238" s="58" t="str">
        <x:v>Ready</x:v>
      </x:c>
      <x:c r="N238" s="58" t="str">
        <x:v>Not Run</x:v>
      </x:c>
      <x:c r="O238" s="58" t="str">
        <x:v>Failed</x:v>
      </x:c>
      <x:c r="P238" s="58" t="str">
        <x:v>Android: /Users/mason/.codex/visualizations/2026/09/01/01a05def-1c0d-76d1-abc6-07c63a443582/emulator-runs/initial/android/NUT-085-name-error-hidden.png — Clearing Name and saving retained the open editor and rejected state but showed no inline or summary message. Visible portion and macro validation surfaces exist, so the missing name feedback is inconsistent.</x:v>
      </x:c>
      <x:c r="Q238" s="58" t="str">
        <x:v>DEF-025
DEF-085</x:v>
      </x:c>
      <x:c r="R238" s="58" t="str">
        <x:v>In Progress</x:v>
      </x:c>
      <x:c r="S238" s="58" t="str"/>
      <x:c r="T238" s="58" t="str">
        <x:v>Blocked</x:v>
      </x:c>
      <x:c r="U238" s="58" t="str">
        <x:v>Failed</x:v>
      </x:c>
      <x:c r="V238" s="58" t="str">
        <x:v>Android: /Users/mason/.codex/visualizations/2026/09/01/01a05def-1c0d-76d1-abc6-07c63a443582/emulator-runs/retest/android/NUT-085-blank-name-error.json
/Users/mason/.codex/visualizations/2026/09/01/01a05def-1c0d-76d1-abc6-07c63a443582/emulator-runs/retest/android/NUT-085-visible-name-error.png
/Users/mason/.codex/visualizations/2026/09/01/01a05def-1c0d-76d1-abc6-07c63a443582/emulator-runs/retest/android/NUT-085-long-name-error.json
/Users/mason/.codex/visualizations/2026/09/01/01a05def-1c0d-76d1-abc6-07c63a443582/emulator-runs/retest/android/NUT-085-large-macros-error.json
/Users/mason/.codex/visualizations/2026/09/01/01a05def-1c0d-76d1-abc6-07c63a443582/emulator-runs/retest/android/NUT-085-large-portion-error.json
/Users/mason/.codex/visualizations/2026/09/01/01a05def-1c0d-76d1-abc6-07c63a443582/emulator-runs/retest/android/NUT-085-zero-portion-native-validation.json
/Users/mason/.codex/visualizations/2026/09/01/01a05def-1c0d-76d1-abc6-07c63a443582/emulator-runs/retest/android/NUT-085-stale-portion-error.png
/Users/mason/.codex/visualizations/2026/09/01/01a05def-1c0d-76d1-abc6-07c63a443582/emulator-runs/retest/android/NUT-085-corrected-save-recovery.json — Blank Name displayed required feedback and121-character Name displayed its120-character maximum, confirming DEF-025's original missing-name feedback is fixed on this Android build. Protein, carbs and fat each at1000.1 displayed their1000 maximum errors. Portion10000.1 displayed its10000 maximum error. Changing Portion to0 then submitting showed the native minimum0.1 failure while the obsolete10000 maximum error remained inline; corrected Name values also retained old feedback until resubmission. After restoring the original valid name, switching to Portion100 and saving, Meal updated appeared, the editor closed, the URL retained date2026-09-04, and the same meal showed100g,500kcal and20/60/20g macros. No rejected attempt persisted invalid values. NUT-085 remains Failed for new DEF-085 despite the successful recovery.
iOS: /Users/mason/.codex/visualizations/2026/09/01/01a05def-1c0d-76d1-abc6-07c63a443582/emulator-runs/retest/ios/NUT-085-blank-name-inline-error.png
/Users/mason/.codex/visualizations/2026/09/01/01a05def-1c0d-76d1-abc6-07c63a443582/emulator-runs/retest/ios/NUT-085-cancel-meal-unchanged.png
/Users/mason/.codex/visualizations/2026/09/01/01a05def-1c0d-76d1-abc6-07c63a443582/emulator-runs/retest/ios/ACC-032-068-NUT-085-observations.json — Cleared only Name in QA meal editor and submitted once. Required-name error appears beside field with role=alert; editor remains open with100g andLunch. Closed without valid save. Original named meal and Today500kcal/P20/C60/F20 remain unchanged; pending0 and no sync error.</x:v>
      </x:c>
      <x:c r="W238" s="58" t="str">
        <x:f>IF(AND(OR(N238="Passed",N238="Failed",N238="Not Applicable"),OR(O238="Passed",O238="Failed",O238="Not Applicable"),OR(N238="Passed",N238="Failed",O238="Passed",O238="Failed"),OR(T238="Passed",T238="Not Applicable"),OR(U238="Passed",U238="Not Applicable"),OR(T238="Passed",U238="Passed"),Y238="Reconciled",Z238="Reconciled",IF(Q238&lt;&gt;"",R238="Fixed",TRUE)),"Verified",IF(OR(T238="Failed",U238="Failed"),"Retest Failed",IF(OR(N238="Failed",O238="Failed",Q238&lt;&gt;""),"Defect Found",IF(AND(OR(N238="Passed",N238="Not Applicable"),OR(O238="Passed",O238="Not Applicable"),OR(N238="Passed",O238="Passed")),"Initial Pass","Not Complete"))))</x:f>
        <x:v>Retest Failed</x:v>
      </x:c>
      <x:c r="X238" s="58" t="str">
        <x:v>DEF-025 missing blank-name feedback is fixed on both build15 emulators. DEF-085 stale-error clearing, accessibility associations and processing-lock source fix remains undeployed; current native results remain iOS Blocked / Android Failed. Invalid meal-type/unit request branches and full lower-bound/assistive coverage must not be inferred from the blank-name/upper-bound runs.</x:v>
      </x:c>
      <x:c r="Y238" s="58" t="str">
        <x:f>IF(OR(N238="Not Run",O238="Not Run"),"Pending",IF(AND(OR(N238="Not Applicable",COUNTIFS('Test Runs'!$B$5:$B$2004,A238,'Test Runs'!$C$5:$C$2004,"Initial",'Test Runs'!$D$5:$D$2004,"iOS",'Test Runs'!$I$5:$I$2004,N238)&gt;0),OR(O238="Not Applicable",COUNTIFS('Test Runs'!$B$5:$B$2004,A238,'Test Runs'!$C$5:$C$2004,"Initial",'Test Runs'!$D$5:$D$2004,"Android",'Test Runs'!$I$5:$I$2004,O238)&gt;0)),"Reconciled","Mismatch"))</x:f>
        <x:v>Pending</x:v>
      </x:c>
      <x:c r="Z238" s="58" t="str">
        <x:f>IF(OR(T238="Not Run",U238="Not Run"),"Pending",IF(AND(OR(T238="Not Applicable",COUNTIFS('Test Runs'!$B$5:$B$2004,A238,'Test Runs'!$C$5:$C$2004,"Retest",'Test Runs'!$D$5:$D$2004,"iOS",'Test Runs'!$I$5:$I$2004,T238)&gt;0),OR(U238="Not Applicable",COUNTIFS('Test Runs'!$B$5:$B$2004,A238,'Test Runs'!$C$5:$C$2004,"Retest",'Test Runs'!$D$5:$D$2004,"Android",'Test Runs'!$I$5:$I$2004,U238)&gt;0)),"Reconciled","Mismatch"))</x:f>
        <x:v>Reconciled</x:v>
      </x:c>
    </x:row>
    <x:row r="239" ht="120" customHeight="1">
      <x:c r="A239" s="58" t="str">
        <x:v>NUT-086</x:v>
      </x:c>
      <x:c r="B239" s="58" t="str">
        <x:v>Meal delete - confirmation</x:v>
      </x:c>
      <x:c r="C239" s="58" t="str">
        <x:v>Meal detail &gt; Delete</x:v>
      </x:c>
      <x:c r="D239" s="58" t="str">
        <x:v>As a user, I want a destructive confirmation before removing a meal so that accidental taps do not erase logs.</x:v>
      </x:c>
      <x:c r="E239" s="58" t="str">
        <x:v>Delete from detail opens a confirmation sheet naming the meal and meal type; Cancel keeps it, Confirm haptics and sends DELETE, locks dismissal while processing, then closes meal/detail and flashes "Meal removed" on success.</x:v>
      </x:c>
      <x:c r="F239" s="58" t="str">
        <x:v>Both</x:v>
      </x:c>
      <x:c r="G239" s="58" t="str">
        <x:v>Meal on current and historical dates.</x:v>
      </x:c>
      <x:c r="H239" s="58" t="str">
        <x:v>Open delete, cancel; reopen and confirm; verify totals/day status update and correct dated redirect.</x:v>
      </x:c>
      <x:c r="I239" s="58" t="str">
        <x:v>Repeat on Android including back while processing.</x:v>
      </x:c>
      <x:c r="J239" s="58" t="str">
        <x:v>/Users/mason/Sites/Buff/tests/Feature/MealEntryTest.php</x:v>
      </x:c>
      <x:c r="K239" s="58" t="str">
        <x:v>/Users/mason/Sites/Buff/resources/js/Pages/Today.vue:271-317,911-915,1022-1031; /Users/mason/Sites/Buff/app/Http/Controllers/MealController.php:287-294</x:v>
      </x:c>
      <x:c r="L239" s="58" t="str">
        <x:v>Mapped</x:v>
      </x:c>
      <x:c r="M239" s="58" t="str">
        <x:v>Ready</x:v>
      </x:c>
      <x:c r="N239" s="58" t="str">
        <x:v>Not Run</x:v>
      </x:c>
      <x:c r="O239" s="58" t="str">
        <x:v>Passed</x:v>
      </x:c>
      <x:c r="P239" s="58" t="str">
        <x:v>Android: /Users/mason/.codex/visualizations/2026/09/01/01a05def-1c0d-76d1-abc6-07c63a443582/emulator-runs/initial/android/NUT-086-delete-confirmation.png
/Users/mason/.codex/visualizations/2026/09/01/01a05def-1c0d-76d1-abc6-07c63a443582/emulator-runs/initial/android/NUT-087-offline-delete-confirmation.png — Delete opened an alert naming QA Order Meal Android 20260901 and Snacks. Cancel preserved the detail and row. Reopening and confirming removed the exact 205-kcal copy, closed both sheets, restored the dated Today page, and reduced all totals immediately.</x:v>
      </x:c>
      <x:c r="Q239" s="58" t="str">
        <x:v>DEF-018</x:v>
      </x:c>
      <x:c r="R239" s="58" t="str">
        <x:v>In Progress</x:v>
      </x:c>
      <x:c r="S239" s="58" t="str"/>
      <x:c r="T239" s="58" t="str">
        <x:v>Not Run</x:v>
      </x:c>
      <x:c r="U239" s="58" t="str">
        <x:v>Not Run</x:v>
      </x:c>
      <x:c r="V239" s="58" t="str"/>
      <x:c r="W239" s="58" t="str">
        <x:f>IF(AND(OR(N239="Passed",N239="Failed",N239="Not Applicable"),OR(O239="Passed",O239="Failed",O239="Not Applicable"),OR(N239="Passed",N239="Failed",O239="Passed",O239="Failed"),OR(T239="Passed",T239="Not Applicable"),OR(U239="Passed",U239="Not Applicable"),OR(T239="Passed",U239="Passed"),Y239="Reconciled",Z239="Reconciled",IF(Q239&lt;&gt;"",R239="Fixed",TRUE)),"Verified",IF(OR(T239="Failed",U239="Failed"),"Retest Failed",IF(OR(N239="Failed",O239="Failed",Q239&lt;&gt;""),"Defect Found",IF(AND(OR(N239="Passed",N239="Not Applicable"),OR(O239="Passed",O239="Not Applicable"),OR(N239="Passed",O239="Passed")),"Initial Pass","Not Complete"))))</x:f>
        <x:v>Defect Found</x:v>
      </x:c>
      <x:c r="X239" s="58" t="str">
        <x:v>No undo/recovery is offered after a successful local delete.</x:v>
      </x:c>
      <x:c r="Y239" s="58" t="str">
        <x:f>IF(OR(N239="Not Run",O239="Not Run"),"Pending",IF(AND(OR(N239="Not Applicable",COUNTIFS('Test Runs'!$B$5:$B$2004,A239,'Test Runs'!$C$5:$C$2004,"Initial",'Test Runs'!$D$5:$D$2004,"iOS",'Test Runs'!$I$5:$I$2004,N239)&gt;0),OR(O239="Not Applicable",COUNTIFS('Test Runs'!$B$5:$B$2004,A239,'Test Runs'!$C$5:$C$2004,"Initial",'Test Runs'!$D$5:$D$2004,"Android",'Test Runs'!$I$5:$I$2004,O239)&gt;0)),"Reconciled","Mismatch"))</x:f>
        <x:v>Pending</x:v>
      </x:c>
      <x:c r="Z239" s="58" t="str">
        <x:f>IF(OR(T239="Not Run",U239="Not Run"),"Pending",IF(AND(OR(T239="Not Applicable",COUNTIFS('Test Runs'!$B$5:$B$2004,A239,'Test Runs'!$C$5:$C$2004,"Retest",'Test Runs'!$D$5:$D$2004,"iOS",'Test Runs'!$I$5:$I$2004,T239)&gt;0),OR(U239="Not Applicable",COUNTIFS('Test Runs'!$B$5:$B$2004,A239,'Test Runs'!$C$5:$C$2004,"Retest",'Test Runs'!$D$5:$D$2004,"Android",'Test Runs'!$I$5:$I$2004,U239)&gt;0)),"Reconciled","Mismatch"))</x:f>
        <x:v>Pending</x:v>
      </x:c>
    </x:row>
    <x:row r="240" ht="120" customHeight="1">
      <x:c r="A240" s="58" t="str">
        <x:v>NUT-087</x:v>
      </x:c>
      <x:c r="B240" s="58" t="str">
        <x:v>Meal delete - failure/offline</x:v>
      </x:c>
      <x:c r="C240" s="58" t="str">
        <x:v>Confirm meal deletion during local failure/offline</x:v>
      </x:c>
      <x:c r="D240" s="58" t="str">
        <x:v>As a user, I want deletion failures explained while my meal stays intact so that I can retry safely.</x:v>
      </x:c>
      <x:c r="E240" s="58" t="str">
        <x:v>Router failure retains the confirmation and shows "Couldn’t delete this meal. Try again."; local SQLite deletion normally succeeds without network and syncs a tombstone later, so airplane mode is not itself expected to fail.</x:v>
      </x:c>
      <x:c r="F240" s="58" t="str">
        <x:v>Both + remote sync</x:v>
      </x:c>
      <x:c r="G240" s="58" t="str">
        <x:v>Force local 500/database failure, then separately delete in airplane mode.</x:v>
      </x:c>
      <x:c r="H240" s="58" t="str">
        <x:v>Verify true failure retains meal/error; verify offline success removes locally and later syncs deletion.</x:v>
      </x:c>
      <x:c r="I240" s="58" t="str">
        <x:v>Repeat on Android.</x:v>
      </x:c>
      <x:c r="J240" s="58" t="str">
        <x:v>Local delete path in /Users/mason/Sites/Buff/tests/Feature/MealEntryTest.php; no visible-error test found.</x:v>
      </x:c>
      <x:c r="K240" s="58" t="str">
        <x:v>/Users/mason/Sites/Buff/resources/js/Pages/Today.vue:285-317,1022-1031; /Users/mason/Sites/Buff/app/Http/Controllers/MealController.php:287-294; /Users/mason/Sites/Buff/app/Observers/SyncableObserver.php</x:v>
      </x:c>
      <x:c r="L240" s="58" t="str">
        <x:v>Mapped</x:v>
      </x:c>
      <x:c r="M240" s="58" t="str">
        <x:v>Ready</x:v>
      </x:c>
      <x:c r="N240" s="58" t="str">
        <x:v>Not Run</x:v>
      </x:c>
      <x:c r="O240" s="58" t="str">
        <x:v>Blocked</x:v>
      </x:c>
      <x:c r="P240" s="58" t="str">
        <x:v>Android: /Users/mason/.codex/visualizations/2026/09/01/01a05def-1c0d-76d1-abc6-07c63a443582/emulator-runs/initial/android/NUT-087-offline-delete-confirmation.png — With Android airplane mode active and the No internet connection banner visible, confirming Delete succeeded locally, removed the row/totals, survived reconnection and an app force-stop/relaunch, and left a tombstone for later sync.</x:v>
      </x:c>
      <x:c r="Q240" s="58" t="str"/>
      <x:c r="R240" s="58" t="str">
        <x:v>Not Needed</x:v>
      </x:c>
      <x:c r="S240" s="58" t="str"/>
      <x:c r="T240" s="58" t="str">
        <x:v>Not Run</x:v>
      </x:c>
      <x:c r="U240" s="58" t="str">
        <x:v>Not Run</x:v>
      </x:c>
      <x:c r="V240" s="58" t="str"/>
      <x:c r="W240" s="58" t="str">
        <x:f>IF(AND(OR(N240="Passed",N240="Failed",N240="Not Applicable"),OR(O240="Passed",O240="Failed",O240="Not Applicable"),OR(N240="Passed",N240="Failed",O240="Passed",O240="Failed"),OR(T240="Passed",T240="Not Applicable"),OR(U240="Passed",U240="Not Applicable"),OR(T240="Passed",U240="Passed"),Y240="Reconciled",Z240="Reconciled",IF(Q240&lt;&gt;"",R240="Fixed",TRUE)),"Verified",IF(OR(T240="Failed",U240="Failed"),"Retest Failed",IF(OR(N240="Failed",O240="Failed",Q240&lt;&gt;""),"Defect Found",IF(AND(OR(N240="Passed",N240="Not Applicable"),OR(O240="Passed",O240="Not Applicable"),OR(N240="Passed",O240="Passed")),"Initial Pass","Not Complete"))))</x:f>
        <x:v>Not Complete</x:v>
      </x:c>
      <x:c r="X240" s="58" t="str">
        <x:v>Generic failure copy does not distinguish a local app/database fault; offline success has no explicit "pending sync" indication.</x:v>
      </x:c>
      <x:c r="Y240" s="58" t="str">
        <x:f>IF(OR(N240="Not Run",O240="Not Run"),"Pending",IF(AND(OR(N240="Not Applicable",COUNTIFS('Test Runs'!$B$5:$B$2004,A240,'Test Runs'!$C$5:$C$2004,"Initial",'Test Runs'!$D$5:$D$2004,"iOS",'Test Runs'!$I$5:$I$2004,N240)&gt;0),OR(O240="Not Applicable",COUNTIFS('Test Runs'!$B$5:$B$2004,A240,'Test Runs'!$C$5:$C$2004,"Initial",'Test Runs'!$D$5:$D$2004,"Android",'Test Runs'!$I$5:$I$2004,O240)&gt;0)),"Reconciled","Mismatch"))</x:f>
        <x:v>Pending</x:v>
      </x:c>
      <x:c r="Z240" s="58" t="str">
        <x:f>IF(OR(T240="Not Run",U240="Not Run"),"Pending",IF(AND(OR(T240="Not Applicable",COUNTIFS('Test Runs'!$B$5:$B$2004,A240,'Test Runs'!$C$5:$C$2004,"Retest",'Test Runs'!$D$5:$D$2004,"iOS",'Test Runs'!$I$5:$I$2004,T240)&gt;0),OR(U240="Not Applicable",COUNTIFS('Test Runs'!$B$5:$B$2004,A240,'Test Runs'!$C$5:$C$2004,"Retest",'Test Runs'!$D$5:$D$2004,"Android",'Test Runs'!$I$5:$I$2004,U240)&gt;0)),"Reconciled","Mismatch"))</x:f>
        <x:v>Pending</x:v>
      </x:c>
    </x:row>
    <x:row r="241" ht="120" customHeight="1">
      <x:c r="A241" s="58" t="str">
        <x:v>NUT-088</x:v>
      </x:c>
      <x:c r="B241" s="58" t="str">
        <x:v>Meal repeat - snapshot copy</x:v>
      </x:c>
      <x:c r="C241" s="58" t="str">
        <x:v>POST /meals/{meal}/repeat from Today details or previous-food drawer</x:v>
      </x:c>
      <x:c r="D241" s="58" t="str">
        <x:v>As a user, I want a previous meal copied to another date/type so that repeated eating is quick and historically stable.</x:v>
      </x:c>
      <x:c r="E241" s="58" t="str">
        <x:v>Repeat clones source type, product/recipe relations, name, portion and macro snapshot into a new id/date, optionally changes meal type, and only recalculates when both quantity and unit are supplied; it redirects to target date with "Meal added again."</x:v>
      </x:c>
      <x:c r="F241" s="58" t="str">
        <x:v>Both</x:v>
      </x:c>
      <x:c r="G241" s="58" t="str">
        <x:v>Previous custom, barcode and recipe snapshots; same/different g/ml portions and target date/type</x:v>
      </x:c>
      <x:c r="H241" s="58" t="str">
        <x:v>Reuse NUT-028 drawer runs and NUT-089 Today/recipe runs; verify distinct new IDs, snapshot independence after source edit and correct date/type. Recipe repeat preserves servings and null unit.</x:v>
      </x:c>
      <x:c r="I241" s="58" t="str">
        <x:v>Repeat Android drawer and Today Repeat, including recipe snapshot independence.</x:v>
      </x:c>
      <x:c r="J241" s="58" t="str">
        <x:v>/Users/mason/Sites/Buff/tests/Feature/MealEntryTest.php</x:v>
      </x:c>
      <x:c r="K241" s="58" t="str">
        <x:v>/Users/mason/Sites/Buff/app/Http/Controllers/MealController.php:258-285,313-347; /Users/mason/Sites/Buff/resources/js/Pages/Add.vue:655-675</x:v>
      </x:c>
      <x:c r="L241" s="58" t="str">
        <x:v>Mapped</x:v>
      </x:c>
      <x:c r="M241" s="58" t="str">
        <x:v>Ready</x:v>
      </x:c>
      <x:c r="N241" s="58" t="str">
        <x:v>Not Run</x:v>
      </x:c>
      <x:c r="O241" s="58" t="str">
        <x:v>Passed</x:v>
      </x:c>
      <x:c r="P241" s="58" t="str">
        <x:v>Android: /Users/mason/.codex/visualizations/2026/09/01/01a05def-1c0d-76d1-abc6-07c63a443582/emulator-runs/initial/android/NUT-088-repeat-before-save.png
/Users/mason/.codex/visualizations/2026/09/01/01a05def-1c0d-76d1-abc6-07c63a443582/emulator-runs/initial/android/NUT-088-repeat-independent-after-source-edit.png — The 200ml/P20/C60/F10 snapshot reopened at 410 kcal. Changing to 100ml and Snacks recalculated 205/P10/C30/F5, created a separate row, and a later rename of the source left the copy’s old name and nutrition unchanged.</x:v>
      </x:c>
      <x:c r="Q241" s="58" t="str"/>
      <x:c r="R241" s="58" t="str">
        <x:v>Not Needed</x:v>
      </x:c>
      <x:c r="S241" s="58" t="str"/>
      <x:c r="T241" s="58" t="str">
        <x:v>Not Run</x:v>
      </x:c>
      <x:c r="U241" s="58" t="str">
        <x:v>Not Run</x:v>
      </x:c>
      <x:c r="V241" s="58" t="str"/>
      <x:c r="W241" s="58" t="str">
        <x:f>IF(AND(OR(N241="Passed",N241="Failed",N241="Not Applicable"),OR(O241="Passed",O241="Failed",O241="Not Applicable"),OR(N241="Passed",N241="Failed",O241="Passed",O241="Failed"),OR(T241="Passed",T241="Not Applicable"),OR(U241="Passed",U241="Not Applicable"),OR(T241="Passed",U241="Passed"),Y241="Reconciled",Z241="Reconciled",IF(Q241&lt;&gt;"",R241="Fixed",TRUE)),"Verified",IF(OR(T241="Failed",U241="Failed"),"Retest Failed",IF(OR(N241="Failed",O241="Failed",Q241&lt;&gt;""),"Defect Found",IF(AND(OR(N241="Passed",N241="Not Applicable"),OR(O241="Passed",O241="Not Applicable"),OR(N241="Passed",O241="Passed")),"Initial Pass","Not Complete"))))</x:f>
        <x:v>Not Complete</x:v>
      </x:c>
      <x:c r="X241" s="58" t="str">
        <x:v>Shared emulator scenario with NUT-028. There is no duplicate-request idempotency token; a double tap/retry may create multiple copies.</x:v>
      </x:c>
      <x:c r="Y241" s="58" t="str">
        <x:f>IF(OR(N241="Not Run",O241="Not Run"),"Pending",IF(AND(OR(N241="Not Applicable",COUNTIFS('Test Runs'!$B$5:$B$2004,A241,'Test Runs'!$C$5:$C$2004,"Initial",'Test Runs'!$D$5:$D$2004,"iOS",'Test Runs'!$I$5:$I$2004,N241)&gt;0),OR(O241="Not Applicable",COUNTIFS('Test Runs'!$B$5:$B$2004,A241,'Test Runs'!$C$5:$C$2004,"Initial",'Test Runs'!$D$5:$D$2004,"Android",'Test Runs'!$I$5:$I$2004,O241)&gt;0)),"Reconciled","Mismatch"))</x:f>
        <x:v>Pending</x:v>
      </x:c>
      <x:c r="Z241" s="58" t="str">
        <x:f>IF(OR(T241="Not Run",U241="Not Run"),"Pending",IF(AND(OR(T241="Not Applicable",COUNTIFS('Test Runs'!$B$5:$B$2004,A241,'Test Runs'!$C$5:$C$2004,"Retest",'Test Runs'!$D$5:$D$2004,"iOS",'Test Runs'!$I$5:$I$2004,T241)&gt;0),OR(U241="Not Applicable",COUNTIFS('Test Runs'!$B$5:$B$2004,A241,'Test Runs'!$C$5:$C$2004,"Retest",'Test Runs'!$D$5:$D$2004,"Android",'Test Runs'!$I$5:$I$2004,U241)&gt;0)),"Reconciled","Mismatch"))</x:f>
        <x:v>Pending</x:v>
      </x:c>
    </x:row>
    <x:row r="242" ht="120" customHeight="1">
      <x:c r="A242" s="58" t="str">
        <x:v>NUT-089</x:v>
      </x:c>
      <x:c r="B242" s="58" t="str">
        <x:v>Meal repeat - discoverability gap</x:v>
      </x:c>
      <x:c r="C242" s="58" t="str">
        <x:v>Today meal detail or Add history</x:v>
      </x:c>
      <x:c r="D242" s="58" t="str">
        <x:v>As a user, I want to repeat any meal from its detail so that recipes and historical meals are equally reusable.</x:v>
      </x:c>
      <x:c r="E242" s="58" t="str">
        <x:v>Today detail exposes Repeat for all meal sources and repeats the snapshot into the viewed date and meal type. Add history/search includes custom, barcode and recipe sources, enabling cross-date/type repetition. Recipe snapshots repeat their saved serving amount without substituting current recipe totals.</x:v>
      </x:c>
      <x:c r="F242" s="58" t="str">
        <x:v>Both</x:v>
      </x:c>
      <x:c r="G242" s="58" t="str">
        <x:v>Custom, barcode, recipe and analyzed(custom) historical meals.</x:v>
      </x:c>
      <x:c r="H242" s="58" t="str">
        <x:v>Use Today Repeat on custom/barcode/recipe/analyzed meals and verify an independent duplicate on viewed date/type. From Add on another date search each source and repeat there; change the recipe definition first and verify the old meal snapshot is preserved.</x:v>
      </x:c>
      <x:c r="I242" s="58" t="str">
        <x:v>Repeat Android, including offline repetition and visible error/retry after a forced local failure.</x:v>
      </x:c>
      <x:c r="J242" s="58" t="str">
        <x:v>Previous-history coverage in /Users/mason/Sites/Buff/tests/Feature/MealEntryTest.php</x:v>
      </x:c>
      <x:c r="K242" s="58" t="str">
        <x:v>/Users/mason/Sites/Buff/resources/js/Pages/Today.vue:869-915; /Users/mason/Sites/Buff/app/Http/Controllers/MealController.php:349-443</x:v>
      </x:c>
      <x:c r="L242" s="58" t="str">
        <x:v>Mapped</x:v>
      </x:c>
      <x:c r="M242" s="58" t="str">
        <x:v>Ready</x:v>
      </x:c>
      <x:c r="N242" s="58" t="str">
        <x:v>Not Run</x:v>
      </x:c>
      <x:c r="O242" s="58" t="str">
        <x:v>Failed</x:v>
      </x:c>
      <x:c r="P242" s="58" t="str">
        <x:v>Android: /Users/mason/.codex/visualizations/2026/09/01/01a05def-1c0d-76d1-abc6-07c63a443582/emulator-runs/initial/android/NUT-089-meal-detail-no-repeat.png — Today detail exposed only Edit and Delete, so repeating requires leaving the meal and rediscovering it under Add. Static route/query inspection confirms recipe meals are excluded from that previous-food discovery list.</x:v>
      </x:c>
      <x:c r="Q242" s="58" t="str">
        <x:v>DEF-027</x:v>
      </x:c>
      <x:c r="R242" s="58" t="str">
        <x:v>In Progress</x:v>
      </x:c>
      <x:c r="S242" s="58" t="str"/>
      <x:c r="T242" s="58" t="str">
        <x:v>Not Run</x:v>
      </x:c>
      <x:c r="U242" s="58" t="str">
        <x:v>Not Run</x:v>
      </x:c>
      <x:c r="V242" s="58" t="str"/>
      <x:c r="W242" s="58" t="str">
        <x:f>IF(AND(OR(N242="Passed",N242="Failed",N242="Not Applicable"),OR(O242="Passed",O242="Failed",O242="Not Applicable"),OR(N242="Passed",N242="Failed",O242="Passed",O242="Failed"),OR(T242="Passed",T242="Not Applicable"),OR(U242="Passed",U242="Not Applicable"),OR(T242="Passed",U242="Passed"),Y242="Reconciled",Z242="Reconciled",IF(Q242&lt;&gt;"",R242="Fixed",TRUE)),"Verified",IF(OR(T242="Failed",U242="Failed"),"Retest Failed",IF(OR(N242="Failed",O242="Failed",Q242&lt;&gt;""),"Defect Found",IF(AND(OR(N242="Passed",N242="Not Applicable"),OR(O242="Passed",O242="Not Applicable"),OR(N242="Passed",O242="Passed")),"Initial Pass","Not Complete"))))</x:f>
        <x:v>Defect Found</x:v>
      </x:c>
      <x:c r="X242" s="58" t="str">
        <x:v>Confirmed UX gap: backend can repeat any bound meal, but user-facing discovery excludes recipes and omits Repeat from meal detail.</x:v>
      </x:c>
      <x:c r="Y242" s="58" t="str">
        <x:f>IF(OR(N242="Not Run",O242="Not Run"),"Pending",IF(AND(OR(N242="Not Applicable",COUNTIFS('Test Runs'!$B$5:$B$2004,A242,'Test Runs'!$C$5:$C$2004,"Initial",'Test Runs'!$D$5:$D$2004,"iOS",'Test Runs'!$I$5:$I$2004,N242)&gt;0),OR(O242="Not Applicable",COUNTIFS('Test Runs'!$B$5:$B$2004,A242,'Test Runs'!$C$5:$C$2004,"Initial",'Test Runs'!$D$5:$D$2004,"Android",'Test Runs'!$I$5:$I$2004,O242)&gt;0)),"Reconciled","Mismatch"))</x:f>
        <x:v>Pending</x:v>
      </x:c>
      <x:c r="Z242" s="58" t="str">
        <x:f>IF(OR(T242="Not Run",U242="Not Run"),"Pending",IF(AND(OR(T242="Not Applicable",COUNTIFS('Test Runs'!$B$5:$B$2004,A242,'Test Runs'!$C$5:$C$2004,"Retest",'Test Runs'!$D$5:$D$2004,"iOS",'Test Runs'!$I$5:$I$2004,T242)&gt;0),OR(U242="Not Applicable",COUNTIFS('Test Runs'!$B$5:$B$2004,A242,'Test Runs'!$C$5:$C$2004,"Retest",'Test Runs'!$D$5:$D$2004,"Android",'Test Runs'!$I$5:$I$2004,U242)&gt;0)),"Reconciled","Mismatch"))</x:f>
        <x:v>Pending</x:v>
      </x:c>
    </x:row>
    <x:row r="243" ht="453.6000061035156" hidden="0" customHeight="1">
      <x:c r="A243" s="58" t="str">
        <x:v>NUT-090</x:v>
      </x:c>
      <x:c r="B243" s="58" t="str">
        <x:v>Meal reclassification</x:v>
      </x:c>
      <x:c r="C243" s="58" t="str">
        <x:v>Meal editor &gt; meal type buttons</x:v>
      </x:c>
      <x:c r="D243" s="58" t="str">
        <x:v>As a user, I want to move a meal between meal types while editing so that it appears in the correct section.</x:v>
      </x:c>
      <x:c r="E243" s="58" t="str">
        <x:v>Editor offers Breakfast/Lunch/Dinner/Snacks, saves the selected meal_type, closes, and the refreshed Today list removes the row from its former group and inserts it into the new group without changing date or nutrition. A metadata-only save preserves nutrition in both Portion and Macros mode, including manually adjusted barcode nutrition, older catalogue snapshots and no-portion entries whose saved calories differ from their 4/4/9 macro sum.</x:v>
      </x:c>
      <x:c r="F243" s="58" t="str">
        <x:v>Both</x:v>
      </x:c>
      <x:c r="G243" s="58" t="str">
        <x:v>One meal in each group, especially sole row in a group.</x:v>
      </x:c>
      <x:c r="H243" s="58" t="str">
        <x:v>Move breakfast to snacks; verify old group becomes empty/add affordance, new group gains meal and totals unchanged.</x:v>
      </x:c>
      <x:c r="I243" s="58" t="str">
        <x:v>Repeat on Android.</x:v>
      </x:c>
      <x:c r="J243" s="58" t="str">
        <x:v>/Users/mason/Sites/Buff/tests/Feature/MealEntryTest.php</x:v>
      </x:c>
      <x:c r="K243" s="58" t="str">
        <x:v>/Users/mason/Sites/Buff/resources/js/Pages/Today.vue:962-978; /Users/mason/Sites/Buff/app/Http/Controllers/MealController.php:224-255</x:v>
      </x:c>
      <x:c r="L243" s="58" t="str">
        <x:v>Mapped</x:v>
      </x:c>
      <x:c r="M243" s="58" t="str">
        <x:v>Ready</x:v>
      </x:c>
      <x:c r="N243" s="58" t="str">
        <x:v>Not Run</x:v>
      </x:c>
      <x:c r="O243" s="58" t="str">
        <x:v>Passed</x:v>
      </x:c>
      <x:c r="P243" s="58" t="str">
        <x:v>Android: /Users/mason/.codex/visualizations/2026/09/01/01a05def-1c0d-76d1-abc6-07c63a443582/emulator-runs/initial/android/NUT-083-macro-edit-reclassified.png — Editing the sole Lunch row to Dinner removed it from Lunch, restored the Lunch Add affordance, inserted it into Dinner, preserved the selected date and portion, and changed totals only according to the simultaneous macro edit.</x:v>
      </x:c>
      <x:c r="Q243" s="58" t="str">
        <x:v>DEF-093
DEF-091
DEF-103</x:v>
      </x:c>
      <x:c r="R243" s="58" t="str">
        <x:v>Open</x:v>
      </x:c>
      <x:c r="S243" s="58" t="str"/>
      <x:c r="T243" s="58" t="str">
        <x:v>Blocked</x:v>
      </x:c>
      <x:c r="U243" s="58" t="str">
        <x:v>Failed</x:v>
      </x:c>
      <x:c r="V243" s="58" t="str">
        <x:v>Android: /Users/mason/.codex/visualizations/2026/09/01/01a05def-1c0d-76d1-abc6-07c63a443582/inventory/retest-android-meal-groups-cases.json
/Users/mason/.codex/visualizations/2026/09/01/01a05def-1c0d-76d1-abc6-07c63a443582/emulator-runs/retest/android/NUT-090-a-last-move.png — Cancel preserves data. Moving newer B then older A from Breakfast to Snacks keeps exact UUID/date/source/100g/calories/macros and408kcal day totals; A inserts before B. Breakfast Add returns with correct preset. Cold launch preserves all records with pending0/no sync error. Native duplicate Dinner/Snacks fragments persist (DEF-091).
iOS: /Users/mason/.codex/visualizations/2026/09/01/01a05def-1c0d-76d1-abc6-07c63a443582/emulator-runs/retest/ios/batch-012-case-manifest.json
/Users/mason/.codex/visualizations/2026/09/01/01a05def-1c0d-76d1-abc6-07c63a443582/emulator-runs/retest/ios/NUT-009-090-batch012-observations.json
/Users/mason/.codex/visualizations/2026/09/01/01a05def-1c0d-76d1-abc6-07c63a443582/emulator-runs/retest/ios/NUT-090-after-both-moves-oldest-first.png — The custom 100 g Portion-mode subset passed on iOS build 15. The editor offered all four meal types. Selecting Snacks then cancelling preserved the entire daily summary. Saving newer B from Breakfast to empty Snacks closed the editor and left A in Breakfast. Saving sole remaining A then emptied Breakfast, restored its Add action and inserted A before B in Snacks. All three UUIDs, names, portions and nutrition stayed unchanged on Aug 30: 419 kcal, P 35g, C 45g and F 11g. A cold launch retained the exact final rows and totals, with pending sync 0 and no error. Android received the same Aug 30 result, and iOS independently received Android's Aug 29 final groups and 408 kcal total without editing them.</x:v>
      </x:c>
      <x:c r="W243" s="58" t="str">
        <x:f>IF(AND(OR(N243="Passed",N243="Failed",N243="Not Applicable"),OR(O243="Passed",O243="Failed",O243="Not Applicable"),OR(N243="Passed",N243="Failed",O243="Passed",O243="Failed"),OR(T243="Passed",T243="Not Applicable"),OR(U243="Passed",U243="Not Applicable"),OR(T243="Passed",U243="Passed"),Y243="Reconciled",Z243="Reconciled",IF(Q243&lt;&gt;"",R243="Fixed",TRUE)),"Verified",IF(OR(T243="Failed",U243="Failed"),"Retest Failed",IF(OR(N243="Failed",O243="Failed",Q243&lt;&gt;""),"Defect Found",IF(AND(OR(N243="Passed",N243="Not Applicable"),OR(O243="Passed",O243="Not Applicable"),OR(N243="Passed",O243="Passed")),"Initial Pass","Not Complete"))))</x:f>
        <x:v>Retest Failed</x:v>
      </x:c>
      <x:c r="X243" s="58" t="str">
        <x:v>The edit UI cannot move a meal to a different date even though date is submitted/validated internally; only meal type is exposed. Custom 100 g Portion-mode cancel and two-step reclassification preserve all three UUIDs, date, source and nutrition through cold launch on both platforms: Android Aug 29 totals 408 kcal and iOS Aug 30 totals 419 kcal. Moving newer B then older A proves original-creation ordering. Both devices received the other's exact final records. Android remains Failed for DEF-091 native fragments; iOS is Blocked because DEF-093 barcode/catalogue/unportioned snapshot branches still require rebuilt apps and native tests. The iOS global visual failure is tracked under NUT-009/ACC-082, not as meal-data corruption. This does not cover every source or destination combination. Independent evidence audit: /Users/mason/.codex/visualizations/2026/09/01/01a05def-1c0d-76d1-abc6-07c63a443582/inventory/meal-group-evidence-audit.json. It clarifies receipt versus sync timestamps and distinguishes observed snapshot invariants from operator action-scope statements.</x:v>
      </x:c>
      <x:c r="Y243" s="58" t="str">
        <x:f>IF(OR(N243="Not Run",O243="Not Run"),"Pending",IF(AND(OR(N243="Not Applicable",COUNTIFS('Test Runs'!$B$5:$B$2004,A243,'Test Runs'!$C$5:$C$2004,"Initial",'Test Runs'!$D$5:$D$2004,"iOS",'Test Runs'!$I$5:$I$2004,N243)&gt;0),OR(O243="Not Applicable",COUNTIFS('Test Runs'!$B$5:$B$2004,A243,'Test Runs'!$C$5:$C$2004,"Initial",'Test Runs'!$D$5:$D$2004,"Android",'Test Runs'!$I$5:$I$2004,O243)&gt;0)),"Reconciled","Mismatch"))</x:f>
        <x:v>Pending</x:v>
      </x:c>
      <x:c r="Z243" s="58" t="str">
        <x:f>IF(OR(T243="Not Run",U243="Not Run"),"Pending",IF(AND(OR(T243="Not Applicable",COUNTIFS('Test Runs'!$B$5:$B$2004,A243,'Test Runs'!$C$5:$C$2004,"Retest",'Test Runs'!$D$5:$D$2004,"iOS",'Test Runs'!$I$5:$I$2004,T243)&gt;0),OR(U243="Not Applicable",COUNTIFS('Test Runs'!$B$5:$B$2004,A243,'Test Runs'!$C$5:$C$2004,"Retest",'Test Runs'!$D$5:$D$2004,"Android",'Test Runs'!$I$5:$I$2004,U243)&gt;0)),"Reconciled","Mismatch"))</x:f>
        <x:v>Reconciled</x:v>
      </x:c>
    </x:row>
    <x:row r="244" ht="120" customHeight="1">
      <x:c r="A244" s="58" t="str">
        <x:v>NUT-091</x:v>
      </x:c>
      <x:c r="B244" s="58" t="str">
        <x:v>Macro breakdown - navigation</x:v>
      </x:c>
      <x:c r="C244" s="58" t="str">
        <x:v>Today calorie card &gt; a macro</x:v>
      </x:c>
      <x:c r="D244" s="58" t="str">
        <x:v>As a user, I want to open a date-specific protein, carb or fat breakdown so that I see which foods contributed.</x:v>
      </x:c>
      <x:c r="E244" s="58" t="str">
        <x:v>Each Today macro card links to /macros/{protein|carbs|fat}?date=current; controller rejects unsupported slugs, normalizes date, returns the matching macro summary and all date entries; Back returns to the same date.</x:v>
      </x:c>
      <x:c r="F244" s="58" t="str">
        <x:v>Both</x:v>
      </x:c>
      <x:c r="G244" s="58" t="str">
        <x:v>Meals across multiple dates; valid/invalid macro slug/date.</x:v>
      </x:c>
      <x:c r="H244" s="58" t="str">
        <x:v>Open all three on a historical date, verify headers/date and back target; tamper slug/date and verify controlled response.</x:v>
      </x:c>
      <x:c r="I244" s="58" t="str">
        <x:v>Repeat on Android.</x:v>
      </x:c>
      <x:c r="J244" s="58" t="str">
        <x:v>/Users/mason/Sites/Buff/tests/Feature/MacroBreakdownTest.php</x:v>
      </x:c>
      <x:c r="K244" s="58" t="str">
        <x:v>/Users/mason/Sites/Buff/resources/js/Pages/Today.vue:700-714; /Users/mason/Sites/Buff/routes/web.php:51; /Users/mason/Sites/Buff/app/Http/Controllers/MacroController.php:17-137; /Users/mason/Sites/Buff/resources/js/Pages/MacroBreakdown.vue:66-77</x:v>
      </x:c>
      <x:c r="L244" s="58" t="str">
        <x:v>Mapped</x:v>
      </x:c>
      <x:c r="M244" s="58" t="str">
        <x:v>Ready</x:v>
      </x:c>
      <x:c r="N244" s="58" t="str">
        <x:v>Not Run</x:v>
      </x:c>
      <x:c r="O244" s="58" t="str">
        <x:v>Passed</x:v>
      </x:c>
      <x:c r="P244" s="58" t="str">
        <x:v>Android: /Users/mason/.codex/visualizations/2026/09/01/01a05def-1c0d-76d1-abc6-07c63a443582/emulator-runs/initial/android/NUT-091-empty-fat-breakdown.png — Protein, carbs, and fat each opened the correct selected-date breakdown with the right label, goal, empty state, and Back target. An unsupported slug returned 404, a missing date normalized to today, and an invalid date returned the controlled 422 response. The retained account has no meal entries, so cross-date populated contribution isolation remains unexercised.
Android: /Users/mason/.codex/visualizations/2026/09/01/01a05def-1c0d-76d1-abc6-07c63a443582/emulator-runs/initial/android/NUT-091-populated-protein.png — Protein, Carbs, and Fat cards each opened the matching /macros/{slug}?date=2026-09-02 page with the correct uppercase date/header, and each Back link returned to /?date=2026-09-02.</x:v>
      </x:c>
      <x:c r="Q244" s="58" t="str">
        <x:v>DEF-008</x:v>
      </x:c>
      <x:c r="R244" s="58" t="str">
        <x:v>In Progress</x:v>
      </x:c>
      <x:c r="S244" s="58" t="str"/>
      <x:c r="T244" s="58" t="str">
        <x:v>Blocked</x:v>
      </x:c>
      <x:c r="U244" s="58" t="str">
        <x:v>Not Run</x:v>
      </x:c>
      <x:c r="V244" s="58" t="str">
        <x:v>iOS: /Users/mason/.codex/visualizations/2026/09/01/01a05def-1c0d-76d1-abc6-07c63a443582/emulator-runs/retest/ios/NUT-091-105-batch007-observations.json
/Users/mason/.codex/visualizations/2026/09/01/01a05def-1c0d-76d1-abc6-07c63a443582/emulator-runs/retest/ios/NUT-091-093-protein-populated.png
/Users/mason/.codex/visualizations/2026/09/01/01a05def-1c0d-76d1-abc6-07c63a443582/emulator-runs/retest/ios/NUT-094-protein-empty-day.png — All three Today macro cards open matching protein/carbs/fat routes for Sep 4. Each has the correct heading/date and a 44 px labelled Back control that returns to the same Today date. Repeated all three on empty historical Sep 3. Back retains Sep 3.</x:v>
      </x:c>
      <x:c r="W244" s="58" t="str">
        <x:f>IF(AND(OR(N244="Passed",N244="Failed",N244="Not Applicable"),OR(O244="Passed",O244="Failed",O244="Not Applicable"),OR(N244="Passed",N244="Failed",O244="Passed",O244="Failed"),OR(T244="Passed",T244="Not Applicable"),OR(U244="Passed",U244="Not Applicable"),OR(T244="Passed",U244="Passed"),Y244="Reconciled",Z244="Reconciled",IF(Q244&lt;&gt;"",R244="Fixed",TRUE)),"Verified",IF(OR(T244="Failed",U244="Failed"),"Retest Failed",IF(OR(N244="Failed",O244="Failed",Q244&lt;&gt;""),"Defect Found",IF(AND(OR(N244="Passed",N244="Not Applicable"),OR(O244="Passed",O244="Not Applicable"),OR(N244="Passed",O244="Passed")),"Initial Pass","Not Complete"))))</x:f>
        <x:v>Defect Found</x:v>
      </x:c>
      <x:c r="X244" s="58" t="str">
        <x:v>No likely defect in valid navigation; invalid slug is route/controller-level rather than a user-facing selection.</x:v>
      </x:c>
      <x:c r="Y244" s="58" t="str">
        <x:f>IF(OR(N244="Not Run",O244="Not Run"),"Pending",IF(AND(OR(N244="Not Applicable",COUNTIFS('Test Runs'!$B$5:$B$2004,A244,'Test Runs'!$C$5:$C$2004,"Initial",'Test Runs'!$D$5:$D$2004,"iOS",'Test Runs'!$I$5:$I$2004,N244)&gt;0),OR(O244="Not Applicable",COUNTIFS('Test Runs'!$B$5:$B$2004,A244,'Test Runs'!$C$5:$C$2004,"Initial",'Test Runs'!$D$5:$D$2004,"Android",'Test Runs'!$I$5:$I$2004,O244)&gt;0)),"Reconciled","Mismatch"))</x:f>
        <x:v>Pending</x:v>
      </x:c>
      <x:c r="Z244" s="58" t="str">
        <x:f>IF(OR(T244="Not Run",U244="Not Run"),"Pending",IF(AND(OR(T244="Not Applicable",COUNTIFS('Test Runs'!$B$5:$B$2004,A244,'Test Runs'!$C$5:$C$2004,"Retest",'Test Runs'!$D$5:$D$2004,"iOS",'Test Runs'!$I$5:$I$2004,T244)&gt;0),OR(U244="Not Applicable",COUNTIFS('Test Runs'!$B$5:$B$2004,A244,'Test Runs'!$C$5:$C$2004,"Retest",'Test Runs'!$D$5:$D$2004,"Android",'Test Runs'!$I$5:$I$2004,U244)&gt;0)),"Reconciled","Mismatch"))</x:f>
        <x:v>Pending</x:v>
      </x:c>
    </x:row>
    <x:row r="245" ht="202.8000030517578" hidden="0" customHeight="1">
      <x:c r="A245" s="58" t="str">
        <x:v>NUT-092</x:v>
      </x:c>
      <x:c r="B245" s="58" t="str">
        <x:v>Macro breakdown - split summary</x:v>
      </x:c>
      <x:c r="C245" s="58" t="str">
        <x:v>Macro breakdown header card</x:v>
      </x:c>
      <x:c r="D245" s="58" t="str">
        <x:v>As a user, I want current and goal macro percentages so that I understand today’s calorie composition.</x:v>
      </x:c>
      <x:c r="E245" s="58" t="str">
        <x:v>Current percentage is this macro’s 4/4/9 calorie contribution divided by total macro-derived calories; goal percentage is its contribution divided by configured goal macro calories. UI shows both, clamps only progress-bar width to 0-100, and shows grams eaten plus daily goal when nonzero.</x:v>
      </x:c>
      <x:c r="F245" s="58" t="str">
        <x:v>Both</x:v>
      </x:c>
      <x:c r="G245" s="58" t="str">
        <x:v>Goal with uneven macro split; meals with known macros; over-target macro.</x:v>
      </x:c>
      <x:c r="H245" s="58" t="str">
        <x:v>Calculate the expected calorie-derived split and compare text/progress at 0%, a mixed-macro value and 100% from a single macro. Separately log grams exceeding the daily gram target and confirm Current split still means share of consumed macro calories, not percentage of the daily goal.</x:v>
      </x:c>
      <x:c r="I245" s="58" t="str">
        <x:v>Repeat on Android.</x:v>
      </x:c>
      <x:c r="J245" s="58" t="str">
        <x:v>/Users/mason/Sites/Buff/tests/Feature/MacroBreakdownTest.php</x:v>
      </x:c>
      <x:c r="K245" s="58" t="str">
        <x:v>/Users/mason/Sites/Buff/app/Http/Controllers/MacroController.php:38-105; /Users/mason/Sites/Buff/resources/js/Pages/MacroBreakdown.vue:79-94</x:v>
      </x:c>
      <x:c r="L245" s="58" t="str">
        <x:v>Mapped</x:v>
      </x:c>
      <x:c r="M245" s="58" t="str">
        <x:v>Ready</x:v>
      </x:c>
      <x:c r="N245" s="58" t="str">
        <x:v>Not Run</x:v>
      </x:c>
      <x:c r="O245" s="58" t="str">
        <x:v>Passed</x:v>
      </x:c>
      <x:c r="P245" s="58" t="str">
        <x:v>Android: /Users/mason/.codex/visualizations/2026/09/01/01a05def-1c0d-76d1-abc6-07c63a443582/emulator-runs/initial/android/NUT-093-protein-attribution-order.png
/Users/mason/.codex/visualizations/2026/09/01/01a05def-1c0d-76d1-abc6-07c63a443582/emulator-runs/initial/android/NUT-093-carbs-attribution-order.png
/Users/mason/.codex/visualizations/2026/09/01/01a05def-1c0d-76d1-abc6-07c63a443582/emulator-runs/initial/android/NUT-093-fat-tie-attribution-order.png — For known meal macros the pages showed the independently calculated current splits, configured 30/40/30 goal splits, eaten grams, and effective daily goal grams. The workout later raised protein goal from 154g to 176g without changing eaten grams.</x:v>
      </x:c>
      <x:c r="Q245" s="58" t="str"/>
      <x:c r="R245" s="58" t="str">
        <x:v>Not Needed</x:v>
      </x:c>
      <x:c r="S245" s="58" t="str"/>
      <x:c r="T245" s="58" t="str">
        <x:v>Blocked</x:v>
      </x:c>
      <x:c r="U245" s="58" t="str">
        <x:v>Not Run</x:v>
      </x:c>
      <x:c r="V245" s="58" t="str">
        <x:v>iOS: /Users/mason/.codex/visualizations/2026/09/01/01a05def-1c0d-76d1-abc6-07c63a443582/emulator-runs/retest/ios/NUT-091-105-batch007-observations.json
/Users/mason/.codex/visualizations/2026/09/01/01a05def-1c0d-76d1-abc6-07c63a443582/emulator-runs/retest/ios/NUT-091-093-protein-populated.png
/Users/mason/.codex/visualizations/2026/09/01/01a05def-1c0d-76d1-abc6-07c63a443582/emulator-runs/retest/ios/NUT-094-protein-empty-day.png — Known P 20 / C 60 / F 20 g gives a macro-derived 500 kcal and exact current splits of 16/48/36%. Displayed goal splits are 30/40/30%, with gram targets of 158/210/70. Empty Sep 3 produces 0% current on each macro with goal splits retained.</x:v>
      </x:c>
      <x:c r="W245" s="58" t="str">
        <x:f>IF(AND(OR(N245="Passed",N245="Failed",N245="Not Applicable"),OR(O245="Passed",O245="Failed",O245="Not Applicable"),OR(N245="Passed",N245="Failed",O245="Passed",O245="Failed"),OR(T245="Passed",T245="Not Applicable"),OR(U245="Passed",U245="Not Applicable"),OR(T245="Passed",U245="Passed"),Y245="Reconciled",Z245="Reconciled",IF(Q245&lt;&gt;"",R245="Fixed",TRUE)),"Verified",IF(OR(T245="Failed",U245="Failed"),"Retest Failed",IF(OR(N245="Failed",O245="Failed",Q245&lt;&gt;""),"Defect Found",IF(AND(OR(N245="Passed",N245="Not Applicable"),OR(O245="Passed",O245="Not Applicable"),OR(N245="Passed",O245="Passed")),"Initial Pass","Not Complete"))))</x:f>
        <x:v>Not Complete</x:v>
      </x:c>
      <x:c r="X245" s="58" t="str">
        <x:v>For valid nonnegative macro data, Current split is between 0% and 100%. Exceeding a gram goal does not imply Current split above 100%; the progress bar represents the split, not goal completion.</x:v>
      </x:c>
      <x:c r="Y245" s="58" t="str">
        <x:f>IF(OR(N245="Not Run",O245="Not Run"),"Pending",IF(AND(OR(N245="Not Applicable",COUNTIFS('Test Runs'!$B$5:$B$2004,A245,'Test Runs'!$C$5:$C$2004,"Initial",'Test Runs'!$D$5:$D$2004,"iOS",'Test Runs'!$I$5:$I$2004,N245)&gt;0),OR(O245="Not Applicable",COUNTIFS('Test Runs'!$B$5:$B$2004,A245,'Test Runs'!$C$5:$C$2004,"Initial",'Test Runs'!$D$5:$D$2004,"Android",'Test Runs'!$I$5:$I$2004,O245)&gt;0)),"Reconciled","Mismatch"))</x:f>
        <x:v>Pending</x:v>
      </x:c>
      <x:c r="Z245" s="58" t="str">
        <x:f>IF(OR(T245="Not Run",U245="Not Run"),"Pending",IF(AND(OR(T245="Not Applicable",COUNTIFS('Test Runs'!$B$5:$B$2004,A245,'Test Runs'!$C$5:$C$2004,"Retest",'Test Runs'!$D$5:$D$2004,"iOS",'Test Runs'!$I$5:$I$2004,T245)&gt;0),OR(U245="Not Applicable",COUNTIFS('Test Runs'!$B$5:$B$2004,A245,'Test Runs'!$C$5:$C$2004,"Retest",'Test Runs'!$D$5:$D$2004,"Android",'Test Runs'!$I$5:$I$2004,U245)&gt;0)),"Reconciled","Mismatch"))</x:f>
        <x:v>Pending</x:v>
      </x:c>
    </x:row>
    <x:row r="246" ht="120" customHeight="1">
      <x:c r="A246" s="58" t="str">
        <x:v>NUT-093</x:v>
      </x:c>
      <x:c r="B246" s="58" t="str">
        <x:v>Macro breakdown - food attribution</x:v>
      </x:c>
      <x:c r="C246" s="58" t="str">
        <x:v>Macro breakdown &gt; Foods</x:v>
      </x:c>
      <x:c r="D246" s="58" t="str">
        <x:v>As a user, I want every food’s contribution listed so that I can identify macro sources.</x:v>
      </x:c>
      <x:c r="E246" s="58" t="str">
        <x:v>All dated entries sort by selected macro grams descending, then oldest first, and show optional image, name, group, portion, selected macro and all macros. Zero-contribution foods remain. Recipe/null-unit portions use serving/servings.</x:v>
      </x:c>
      <x:c r="F246" s="58" t="str">
        <x:v>Both</x:v>
      </x:c>
      <x:c r="G246" s="58" t="str">
        <x:v>Multiple foods across groups including 0g selected macro, long names and recipe null unit.</x:v>
      </x:c>
      <x:c r="H246" s="58" t="str">
        <x:v>Verify descending selected-macro order with oldest-first ties, every entry, selected macro number, full macro grid and image fallback.</x:v>
      </x:c>
      <x:c r="I246" s="58" t="str">
        <x:v>Repeat on Android.</x:v>
      </x:c>
      <x:c r="J246" s="58" t="str">
        <x:v>/Users/mason/Sites/Buff/tests/Feature/MacroBreakdownTest.php</x:v>
      </x:c>
      <x:c r="K246" s="58" t="str">
        <x:v>/Users/mason/Sites/Buff/app/Http/Controllers/MacroController.php:106-137; /Users/mason/Sites/Buff/resources/js/Pages/MacroBreakdown.vue:96-134</x:v>
      </x:c>
      <x:c r="L246" s="58" t="str">
        <x:v>Mapped</x:v>
      </x:c>
      <x:c r="M246" s="58" t="str">
        <x:v>Ready</x:v>
      </x:c>
      <x:c r="N246" s="58" t="str">
        <x:v>Not Run</x:v>
      </x:c>
      <x:c r="O246" s="58" t="str">
        <x:v>Passed</x:v>
      </x:c>
      <x:c r="P246" s="58" t="str">
        <x:v>Android: /Users/mason/.codex/visualizations/2026/09/01/01a05def-1c0d-76d1-abc6-07c63a443582/emulator-runs/initial/android/NUT-093-protein-attribution-order.png
/Users/mason/.codex/visualizations/2026/09/01/01a05def-1c0d-76d1-abc6-07c63a443582/emulator-runs/initial/android/NUT-093-carbs-attribution-order.png
/Users/mason/.codex/visualizations/2026/09/01/01a05def-1c0d-76d1-abc6-07c63a443582/emulator-runs/initial/android/NUT-093-fat-tie-attribution-order.png — Protein sorted 40g before 20g, Carbs sorted 60g before 30g, and equal 10g Fat entries stayed oldest-first. Every card retained meal group, g/ml portion, selected contribution, and all three macro values.</x:v>
      </x:c>
      <x:c r="Q246" s="58" t="str"/>
      <x:c r="R246" s="58" t="str">
        <x:v>Not Needed</x:v>
      </x:c>
      <x:c r="S246" s="58" t="str"/>
      <x:c r="T246" s="58" t="str">
        <x:v>Blocked</x:v>
      </x:c>
      <x:c r="U246" s="58" t="str">
        <x:v>Not Run</x:v>
      </x:c>
      <x:c r="V246" s="58" t="str">
        <x:v>iOS: /Users/mason/.codex/visualizations/2026/09/01/01a05def-1c0d-76d1-abc6-07c63a443582/emulator-runs/retest/ios/NUT-091-105-batch007-observations.json
/Users/mason/.codex/visualizations/2026/09/01/01a05def-1c0d-76d1-abc6-07c63a443582/emulator-runs/retest/ios/NUT-091-093-protein-populated.png — Every populated macro screen attributes its 20/60/20 g selected macro to the QA meal with Lunch, 100 g and a full P 20 / C 60 / F 20 g grid. The single meal appears once, and text remains readable.</x:v>
      </x:c>
      <x:c r="W246" s="58" t="str">
        <x:f>IF(AND(OR(N246="Passed",N246="Failed",N246="Not Applicable"),OR(O246="Passed",O246="Failed",O246="Not Applicable"),OR(N246="Passed",N246="Failed",O246="Passed",O246="Failed"),OR(T246="Passed",T246="Not Applicable"),OR(U246="Passed",U246="Not Applicable"),OR(T246="Passed",U246="Passed"),Y246="Reconciled",Z246="Reconciled",IF(Q246&lt;&gt;"",R246="Fixed",TRUE)),"Verified",IF(OR(T246="Failed",U246="Failed"),"Retest Failed",IF(OR(N246="Failed",O246="Failed",Q246&lt;&gt;""),"Defect Found",IF(AND(OR(N246="Passed",N246="Not Applicable"),OR(O246="Passed",O246="Not Applicable"),OR(N246="Passed",O246="Passed")),"Initial Pass","Not Complete"))))</x:f>
        <x:v>Not Complete</x:v>
      </x:c>
      <x:c r="X246" s="58" t="str">
        <x:v>Recipe portion again renders as a bare number because null unit is concatenated in the template.</x:v>
      </x:c>
      <x:c r="Y246" s="58" t="str">
        <x:f>IF(OR(N246="Not Run",O246="Not Run"),"Pending",IF(AND(OR(N246="Not Applicable",COUNTIFS('Test Runs'!$B$5:$B$2004,A246,'Test Runs'!$C$5:$C$2004,"Initial",'Test Runs'!$D$5:$D$2004,"iOS",'Test Runs'!$I$5:$I$2004,N246)&gt;0),OR(O246="Not Applicable",COUNTIFS('Test Runs'!$B$5:$B$2004,A246,'Test Runs'!$C$5:$C$2004,"Initial",'Test Runs'!$D$5:$D$2004,"Android",'Test Runs'!$I$5:$I$2004,O246)&gt;0)),"Reconciled","Mismatch"))</x:f>
        <x:v>Pending</x:v>
      </x:c>
      <x:c r="Z246" s="58" t="str">
        <x:f>IF(OR(T246="Not Run",U246="Not Run"),"Pending",IF(AND(OR(T246="Not Applicable",COUNTIFS('Test Runs'!$B$5:$B$2004,A246,'Test Runs'!$C$5:$C$2004,"Retest",'Test Runs'!$D$5:$D$2004,"iOS",'Test Runs'!$I$5:$I$2004,T246)&gt;0),OR(U246="Not Applicable",COUNTIFS('Test Runs'!$B$5:$B$2004,A246,'Test Runs'!$C$5:$C$2004,"Retest",'Test Runs'!$D$5:$D$2004,"Android",'Test Runs'!$I$5:$I$2004,U246)&gt;0)),"Reconciled","Mismatch"))</x:f>
        <x:v>Pending</x:v>
      </x:c>
    </x:row>
    <x:row r="247" ht="150" hidden="0" customHeight="1">
      <x:c r="A247" s="58" t="str">
        <x:v>NUT-094</x:v>
      </x:c>
      <x:c r="B247" s="58" t="str">
        <x:v>Macro breakdown - empty/no goal</x:v>
      </x:c>
      <x:c r="C247" s="58" t="str">
        <x:v>Open macro breakdown on empty/no-goal date</x:v>
      </x:c>
      <x:c r="D247" s="58" t="str">
        <x:v>As a user, I want a useful breakdown even before logging food or setting a goal so that the screen is not broken.</x:v>
      </x:c>
      <x:c r="E247" s="58" t="str">
        <x:v>With no entries, the screen shows No food logged for this day, 0% current split, 0 g eaten and zero current-split progress. A configured goal is retained: its goal split and gram target do not become zero merely because the day is empty. Without a goal, goal split and goal grams are zero and the daily-goal suffix is omitted; any logged food still determines the current split and consumed grams. Today can link to the breakdown without a configured goal.</x:v>
      </x:c>
      <x:c r="F247" s="58" t="str">
        <x:v>Both</x:v>
      </x:c>
      <x:c r="G247" s="58" t="str">
        <x:v>No goal/no food; goal/no food; food/no goal.</x:v>
      </x:c>
      <x:c r="H247" s="58" t="str">
        <x:v>Open each macro in all three states and verify zero-safe values and empty message.</x:v>
      </x:c>
      <x:c r="I247" s="58" t="str">
        <x:v>Repeat on Android.</x:v>
      </x:c>
      <x:c r="J247" s="58" t="str">
        <x:v>/Users/mason/Sites/Buff/tests/Feature/MacroBreakdownTest.php</x:v>
      </x:c>
      <x:c r="K247" s="58" t="str">
        <x:v>/Users/mason/Sites/Buff/app/Http/Controllers/MacroController.php:17-105; /Users/mason/Sites/Buff/resources/js/Pages/MacroBreakdown.vue:79-101</x:v>
      </x:c>
      <x:c r="L247" s="58" t="str">
        <x:v>Mapped</x:v>
      </x:c>
      <x:c r="M247" s="58" t="str">
        <x:v>Ready</x:v>
      </x:c>
      <x:c r="N247" s="58" t="str">
        <x:v>Not Run</x:v>
      </x:c>
      <x:c r="O247" s="58" t="str">
        <x:v>Blocked</x:v>
      </x:c>
      <x:c r="P247" s="58" t="str">
        <x:v>Android: /Users/mason/.codex/visualizations/2026/09/01/01a05def-1c0d-76d1-abc6-07c63a443582/emulator-runs/initial/android/NUT-094-goal-no-food-protein.png
/Users/mason/.codex/visualizations/2026/09/01/01a05def-1c0d-76d1-abc6-07c63a443582/emulator-runs/initial/android/NUT-013-018-094-105-106-observations.json — In the configured-goal/no-food Protein state, the screen showed Current split 0%, Goal split 30%, 0g eaten, 173g daily goal, and 'No food logged for this day.'</x:v>
      </x:c>
      <x:c r="Q247" s="58" t="str"/>
      <x:c r="R247" s="58" t="str">
        <x:v>Not Needed</x:v>
      </x:c>
      <x:c r="S247" s="58" t="str"/>
      <x:c r="T247" s="58" t="str">
        <x:v>Blocked</x:v>
      </x:c>
      <x:c r="U247" s="58" t="str">
        <x:v>Not Run</x:v>
      </x:c>
      <x:c r="V247" s="58" t="str">
        <x:v>iOS: /Users/mason/.codex/visualizations/2026/09/01/01a05def-1c0d-76d1-abc6-07c63a443582/emulator-runs/retest/ios/NUT-091-105-batch007-observations.json
/Users/mason/.codex/visualizations/2026/09/01/01a05def-1c0d-76d1-abc6-07c63a443582/emulator-runs/retest/ios/NUT-094-protein-empty-day.png — All three Sep 3 empty macro pages show No food logged for this day, 0% current and 0 g eaten. The existing goal remains 30/40/30%, with 158/210/70 g displayed targets. Historical header Back works.</x:v>
      </x:c>
      <x:c r="W247" s="58" t="str">
        <x:f>IF(AND(OR(N247="Passed",N247="Failed",N247="Not Applicable"),OR(O247="Passed",O247="Failed",O247="Not Applicable"),OR(N247="Passed",N247="Failed",O247="Passed",O247="Failed"),OR(T247="Passed",T247="Not Applicable"),OR(U247="Passed",U247="Not Applicable"),OR(T247="Passed",U247="Passed"),Y247="Reconciled",Z247="Reconciled",IF(Q247&lt;&gt;"",R247="Fixed",TRUE)),"Verified",IF(OR(T247="Failed",U247="Failed"),"Retest Failed",IF(OR(N247="Failed",O247="Failed",Q247&lt;&gt;""),"Defect Found",IF(AND(OR(N247="Passed",N247="Not Applicable"),OR(O247="Passed",O247="Not Applicable"),OR(N247="Passed",O247="Passed")),"Initial Pass","Not Complete"))))</x:f>
        <x:v>Not Complete</x:v>
      </x:c>
      <x:c r="X247" s="58" t="str">
        <x:v>The goal/no-food state was observed on Android initially and on iOS build 15; the no-goal variants remain untested. Goal split 0% can be ambiguous when no goal exists, and this detail screen has no setup-goals CTA.</x:v>
      </x:c>
      <x:c r="Y247" s="58" t="str">
        <x:f>IF(OR(N247="Not Run",O247="Not Run"),"Pending",IF(AND(OR(N247="Not Applicable",COUNTIFS('Test Runs'!$B$5:$B$2004,A247,'Test Runs'!$C$5:$C$2004,"Initial",'Test Runs'!$D$5:$D$2004,"iOS",'Test Runs'!$I$5:$I$2004,N247)&gt;0),OR(O247="Not Applicable",COUNTIFS('Test Runs'!$B$5:$B$2004,A247,'Test Runs'!$C$5:$C$2004,"Initial",'Test Runs'!$D$5:$D$2004,"Android",'Test Runs'!$I$5:$I$2004,O247)&gt;0)),"Reconciled","Mismatch"))</x:f>
        <x:v>Pending</x:v>
      </x:c>
      <x:c r="Z247" s="58" t="str">
        <x:f>IF(OR(T247="Not Run",U247="Not Run"),"Pending",IF(AND(OR(T247="Not Applicable",COUNTIFS('Test Runs'!$B$5:$B$2004,A247,'Test Runs'!$C$5:$C$2004,"Retest",'Test Runs'!$D$5:$D$2004,"iOS",'Test Runs'!$I$5:$I$2004,T247)&gt;0),OR(U247="Not Applicable",COUNTIFS('Test Runs'!$B$5:$B$2004,A247,'Test Runs'!$C$5:$C$2004,"Retest",'Test Runs'!$D$5:$D$2004,"Android",'Test Runs'!$I$5:$I$2004,U247)&gt;0)),"Reconciled","Mismatch"))</x:f>
        <x:v>Pending</x:v>
      </x:c>
    </x:row>
    <x:row r="248" ht="120" customHeight="1">
      <x:c r="A248" s="58" t="str">
        <x:v>NUT-095</x:v>
      </x:c>
      <x:c r="B248" s="58" t="str">
        <x:v>Macro breakdown - workout scope</x:v>
      </x:c>
      <x:c r="C248" s="58" t="str">
        <x:v>Macro breakdown after logging a workout</x:v>
      </x:c>
      <x:c r="D248" s="58" t="str">
        <x:v>As a user, I want macro goals to reflect my exercise-calorie preference so that the breakdown matches Today’s effective target.</x:v>
      </x:c>
      <x:c r="E248" s="58" t="str">
        <x:v>Macro breakdown sums the selected day’s workouts, applies all/half/none eat-back, and scales the base DailyGoal calories and macro grams proportionally through effectiveDailyGoal; meal contributions stay unchanged. None keeps base gram goals, half adds rounded half the burn, and all adds the full nonnegative burn.</x:v>
      </x:c>
      <x:c r="F248" s="58" t="str">
        <x:v>Both</x:v>
      </x:c>
      <x:c r="G248" s="58" t="str">
        <x:v>Eat-back all/half/none; same meals and a known workout.</x:v>
      </x:c>
      <x:c r="H248" s="58" t="str">
        <x:v>Capture macro goals, add a workout, then test all/half/none and verify gram goals scale consistently with Today’s effective calorie target while consumed grams stay fixed.</x:v>
      </x:c>
      <x:c r="I248" s="58" t="str">
        <x:v>Repeat on Android with an imported workout.</x:v>
      </x:c>
      <x:c r="J248" s="58" t="str">
        <x:v>/Users/mason/Sites/Buff/tests/Feature/MacroBreakdownTest.php; /Users/mason/Sites/Buff/tests/Feature/DashboardTest.php</x:v>
      </x:c>
      <x:c r="K248" s="58" t="str">
        <x:v>/Users/mason/Sites/Buff/app/Http/Controllers/MacroController.php:17-105; /Users/mason/Sites/Buff/app/Services/NutritionCalculator.php:41-64</x:v>
      </x:c>
      <x:c r="L248" s="58" t="str">
        <x:v>Mapped</x:v>
      </x:c>
      <x:c r="M248" s="58" t="str">
        <x:v>Ready</x:v>
      </x:c>
      <x:c r="N248" s="58" t="str">
        <x:v>Not Run</x:v>
      </x:c>
      <x:c r="O248" s="58" t="str">
        <x:v>Passed</x:v>
      </x:c>
      <x:c r="P248" s="58" t="str">
        <x:v>Android: /Users/mason/.codex/visualizations/2026/09/01/01a05def-1c0d-76d1-abc6-07c63a443582/emulator-runs/initial/android/HLT-045-all-eat-back-restored.png — After 301 kcal of workouts, Today physically verified all three modes and the Protein breakdown in All mode showed eaten 90g unchanged with goal raised from 154g to 176g.
Android: /Users/mason/.codex/visualizations/2026/09/01/01a05def-1c0d-76d1-abc6-07c63a443582/emulator-runs/initial/android/HLT-045-all-eat-back-restored.png
/Users/mason/.codex/visualizations/2026/09/01/01a05def-1c0d-76d1-abc6-07c63a443582/emulator-runs/initial/android/NUT-095-half-macro-goal.png
/Users/mason/.codex/visualizations/2026/09/01/01a05def-1c0d-76d1-abc6-07c63a443582/emulator-runs/initial/android/NUT-095-none-macro-goal.png — For the same meals and odd workout burn, Protein breakdown kept eaten grams/current split unchanged while its daily goal followed All, Half, and None. With 441 burned after edit, Half showed 170g and None restored 154g; Today and automated service assertions matched the same scale.</x:v>
      </x:c>
      <x:c r="Q248" s="58" t="str"/>
      <x:c r="R248" s="58" t="str">
        <x:v>Not Needed</x:v>
      </x:c>
      <x:c r="S248" s="58" t="str"/>
      <x:c r="T248" s="58" t="str">
        <x:v>Not Run</x:v>
      </x:c>
      <x:c r="U248" s="58" t="str">
        <x:v>Not Run</x:v>
      </x:c>
      <x:c r="V248" s="58" t="str"/>
      <x:c r="W248" s="58" t="str">
        <x:f>IF(AND(OR(N248="Passed",N248="Failed",N248="Not Applicable"),OR(O248="Passed",O248="Failed",O248="Not Applicable"),OR(N248="Passed",N248="Failed",O248="Passed",O248="Failed"),OR(T248="Passed",T248="Not Applicable"),OR(U248="Passed",U248="Not Applicable"),OR(T248="Passed",U248="Passed"),Y248="Reconciled",Z248="Reconciled",IF(Q248&lt;&gt;"",R248="Fixed",TRUE)),"Verified",IF(OR(T248="Failed",U248="Failed"),"Retest Failed",IF(OR(N248="Failed",O248="Failed",Q248&lt;&gt;""),"Defect Found",IF(AND(OR(N248="Passed",N248="Not Applicable"),OR(O248="Passed",O248="Not Applicable"),OR(N248="Passed",O248="Passed")),"Initial Pass","Not Complete"))))</x:f>
        <x:v>Not Complete</x:v>
      </x:c>
      <x:c r="X248" s="58" t="str">
        <x:v>The moving macro goal is correct in code but not explained on-screen, so users may not realize exercise changes the target grams.</x:v>
      </x:c>
      <x:c r="Y248" s="58" t="str">
        <x:f>IF(OR(N248="Not Run",O248="Not Run"),"Pending",IF(AND(OR(N248="Not Applicable",COUNTIFS('Test Runs'!$B$5:$B$2004,A248,'Test Runs'!$C$5:$C$2004,"Initial",'Test Runs'!$D$5:$D$2004,"iOS",'Test Runs'!$I$5:$I$2004,N248)&gt;0),OR(O248="Not Applicable",COUNTIFS('Test Runs'!$B$5:$B$2004,A248,'Test Runs'!$C$5:$C$2004,"Initial",'Test Runs'!$D$5:$D$2004,"Android",'Test Runs'!$I$5:$I$2004,O248)&gt;0)),"Reconciled","Mismatch"))</x:f>
        <x:v>Pending</x:v>
      </x:c>
      <x:c r="Z248" s="58" t="str">
        <x:f>IF(OR(T248="Not Run",U248="Not Run"),"Pending",IF(AND(OR(T248="Not Applicable",COUNTIFS('Test Runs'!$B$5:$B$2004,A248,'Test Runs'!$C$5:$C$2004,"Retest",'Test Runs'!$D$5:$D$2004,"iOS",'Test Runs'!$I$5:$I$2004,T248)&gt;0),OR(U248="Not Applicable",COUNTIFS('Test Runs'!$B$5:$B$2004,A248,'Test Runs'!$C$5:$C$2004,"Retest",'Test Runs'!$D$5:$D$2004,"Android",'Test Runs'!$I$5:$I$2004,U248)&gt;0)),"Reconciled","Mismatch"))</x:f>
        <x:v>Pending</x:v>
      </x:c>
    </x:row>
    <x:row r="249" ht="120" customHeight="1">
      <x:c r="A249" s="58" t="str">
        <x:v>NUT-096</x:v>
      </x:c>
      <x:c r="B249" s="58" t="str">
        <x:v>Weekly summary - entry/default week</x:v>
      </x:c>
      <x:c r="C249" s="58" t="str">
        <x:v>Today &gt; Weekly roundup</x:v>
      </x:c>
      <x:c r="D249" s="58" t="str">
        <x:v>As a user, I want a roundup for the week containing my selected Today date so that weekly context follows the day I was viewing.</x:v>
      </x:c>
      <x:c r="E249" s="58" t="str">
        <x:v>Today links to Weekly with its date. Without a custom range, controller selects the containing Monday-Sunday and returns seven rows; the selected date has visible highlight and aria-current=date. Back returns to that Today date.</x:v>
      </x:c>
      <x:c r="F249" s="58" t="str">
        <x:v>Both</x:v>
      </x:c>
      <x:c r="G249" s="58" t="str">
        <x:v>Dates on Monday, Sunday and year boundary.</x:v>
      </x:c>
      <x:c r="H249" s="58" t="str">
        <x:v>Open from each date, verify Monday-Sunday span/selection and Back target.</x:v>
      </x:c>
      <x:c r="I249" s="58" t="str">
        <x:v>Repeat on Android.</x:v>
      </x:c>
      <x:c r="J249" s="58" t="str">
        <x:v>/Users/mason/Sites/Buff/tests/Feature/WeeklySummaryTest.php</x:v>
      </x:c>
      <x:c r="K249" s="58" t="str">
        <x:v>/Users/mason/Sites/Buff/resources/js/Pages/Today.vue:842-848; /Users/mason/Sites/Buff/app/Http/Controllers/WeeklySummaryController.php:14-57; /Users/mason/Sites/Buff/app/Services/WeekSummaryService.php:20-26; /Users/mason/Sites/Buff/resources/js/Pages/Weekly.vue:112-123</x:v>
      </x:c>
      <x:c r="L249" s="58" t="str">
        <x:v>Mapped</x:v>
      </x:c>
      <x:c r="M249" s="58" t="str">
        <x:v>Ready</x:v>
      </x:c>
      <x:c r="N249" s="58" t="str">
        <x:v>Not Run</x:v>
      </x:c>
      <x:c r="O249" s="58" t="str">
        <x:v>Passed</x:v>
      </x:c>
      <x:c r="P249" s="58" t="str">
        <x:v>Android: /Users/mason/.codex/visualizations/2026/09/01/01a05def-1c0d-76d1-abc6-07c63a443582/emulator-runs/initial/android/NUT-096-week-selected-marker-missing.png — Opening from Monday 2026-08-31 and Sunday 2026-09-06 returned the same seven rows from 2026-08-31 through 2026-09-06 with exactly the originating date selected. Opening from 2026-12-31 returned 2026-12-28 through 2027-01-03. Header Back returned to each supplied Today date.
Android: /Users/mason/.codex/visualizations/2026/09/01/01a05def-1c0d-76d1-abc6-07c63a443582/emulator-runs/initial/android/NUT-107-range-reactive-correct.png — Opening Weekly from 2026-09-02 selected the Monday 2026-08-31 through Sunday 2026-09-06 week, rendered exactly seven dated rows, kept Sep 2 as the data-bearing day, and retained the same-date Back target.</x:v>
      </x:c>
      <x:c r="Q249" s="58" t="str">
        <x:v>DEF-010</x:v>
      </x:c>
      <x:c r="R249" s="58" t="str">
        <x:v>In Progress</x:v>
      </x:c>
      <x:c r="S249" s="58" t="str"/>
      <x:c r="T249" s="58" t="str">
        <x:v>Blocked</x:v>
      </x:c>
      <x:c r="U249" s="58" t="str">
        <x:v>Not Run</x:v>
      </x:c>
      <x:c r="V249" s="58" t="str">
        <x:v>iOS: /Users/mason/.codex/visualizations/2026/09/01/01a05def-1c0d-76d1-abc6-07c63a443582/emulator-runs/retest/ios/NUT-091-105-batch007-observations.json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/Users/mason/.codex/visualizations/2026/09/01/01a05def-1c0d-76d1-abc6-07c63a443582/emulator-runs/retest/ios/NUT-096-102-105-daily-rows.png — Entered Weekly from Sep 3 Today: Monday Aug 31–Sunday Sep 6, seven rows, Sep 3 highlighted and aria-current=date. The Back href preserved Sep 3. After range checks, header Back returned to its declared Sep 4 Today target.</x:v>
      </x:c>
      <x:c r="W249" s="58" t="str">
        <x:f>IF(AND(OR(N249="Passed",N249="Failed",N249="Not Applicable"),OR(O249="Passed",O249="Failed",O249="Not Applicable"),OR(N249="Passed",N249="Failed",O249="Passed",O249="Failed"),OR(T249="Passed",T249="Not Applicable"),OR(U249="Passed",U249="Not Applicable"),OR(T249="Passed",U249="Passed"),Y249="Reconciled",Z249="Reconciled",IF(Q249&lt;&gt;"",R249="Fixed",TRUE)),"Verified",IF(OR(T249="Failed",U249="Failed"),"Retest Failed",IF(OR(N249="Failed",O249="Failed",Q249&lt;&gt;""),"Defect Found",IF(AND(OR(N249="Passed",N249="Not Applicable"),OR(O249="Passed",O249="Not Applicable"),OR(N249="Passed",O249="Passed")),"Initial Pass","Not Complete"))))</x:f>
        <x:v>Defect Found</x:v>
      </x:c>
      <x:c r="X249" s="58" t="str">
        <x:v>No likely defect in initial server-rendered week selection.</x:v>
      </x:c>
      <x:c r="Y249" s="58" t="str">
        <x:f>IF(OR(N249="Not Run",O249="Not Run"),"Pending",IF(AND(OR(N249="Not Applicable",COUNTIFS('Test Runs'!$B$5:$B$2004,A249,'Test Runs'!$C$5:$C$2004,"Initial",'Test Runs'!$D$5:$D$2004,"iOS",'Test Runs'!$I$5:$I$2004,N249)&gt;0),OR(O249="Not Applicable",COUNTIFS('Test Runs'!$B$5:$B$2004,A249,'Test Runs'!$C$5:$C$2004,"Initial",'Test Runs'!$D$5:$D$2004,"Android",'Test Runs'!$I$5:$I$2004,O249)&gt;0)),"Reconciled","Mismatch"))</x:f>
        <x:v>Pending</x:v>
      </x:c>
      <x:c r="Z249" s="58" t="str">
        <x:f>IF(OR(T249="Not Run",U249="Not Run"),"Pending",IF(AND(OR(T249="Not Applicable",COUNTIFS('Test Runs'!$B$5:$B$2004,A249,'Test Runs'!$C$5:$C$2004,"Retest",'Test Runs'!$D$5:$D$2004,"iOS",'Test Runs'!$I$5:$I$2004,T249)&gt;0),OR(U249="Not Applicable",COUNTIFS('Test Runs'!$B$5:$B$2004,A249,'Test Runs'!$C$5:$C$2004,"Retest",'Test Runs'!$D$5:$D$2004,"Android",'Test Runs'!$I$5:$I$2004,U249)&gt;0)),"Reconciled","Mismatch"))</x:f>
        <x:v>Pending</x:v>
      </x:c>
    </x:row>
    <x:row r="250" ht="120" customHeight="1">
      <x:c r="A250" s="58" t="str">
        <x:v>NUT-097</x:v>
      </x:c>
      <x:c r="B250" s="58" t="str">
        <x:v>Weekly summary - week selector</x:v>
      </x:c>
      <x:c r="C250" s="58" t="str">
        <x:v>Weekly roundup &gt; Week containing</x:v>
      </x:c>
      <x:c r="D250" s="58" t="str">
        <x:v>As a user, I want to jump to a week containing any chosen date so that I can review past periods quickly.</x:v>
      </x:c>
      <x:c r="E250" s="58" t="str">
        <x:v>Week mode shows a locale en-GB calendar; selecting a date immediately visits /weekly?date=..., preserving scroll. The calendar navigation month and its native month/year selectors are initialized from the displayed selected date. Opening either native selector highlights its current month/year rather than starting unselected at the beginning of the list, and arrow/dropdown navigation keeps them synchronized with the displayed calendar. Week/Range is an aria-pressed toggle and range values are prefilled to the current period.</x:v>
      </x:c>
      <x:c r="F250" s="58" t="str">
        <x:v>Both</x:v>
      </x:c>
      <x:c r="G250" s="58" t="str">
        <x:v>Past/future dates, month/year boundary, switch Range then back Week.</x:v>
      </x:c>
      <x:c r="H250" s="58" t="str">
        <x:v>Select dates and verify server data/controls/selected mode; switch modes without apply and back.</x:v>
      </x:c>
      <x:c r="I250" s="58" t="str">
        <x:v>Repeat on Android.</x:v>
      </x:c>
      <x:c r="J250" s="58" t="str">
        <x:v>/Users/mason/Sites/Buff/tests/Feature/WeeklySummaryTest.php</x:v>
      </x:c>
      <x:c r="K250" s="58" t="str">
        <x:v>/Users/mason/Sites/Buff/resources/js/Pages/Weekly.vue:66-69,86-109,125-190</x:v>
      </x:c>
      <x:c r="L250" s="58" t="str">
        <x:v>Mapped</x:v>
      </x:c>
      <x:c r="M250" s="58" t="str">
        <x:v>Ready</x:v>
      </x:c>
      <x:c r="N250" s="58" t="str">
        <x:v>Not Run</x:v>
      </x:c>
      <x:c r="O250" s="58" t="str">
        <x:v>Failed</x:v>
      </x:c>
      <x:c r="P250" s="58" t="str">
        <x:v>Android: /Users/mason/.codex/visualizations/2026/09/01/01a05def-1c0d-76d1-abc6-07c63a443582/emulator-runs/initial/android/NUT-097-calendar-next-no-op.png
/Users/mason/.codex/visualizations/2026/09/01/01a05def-1c0d-76d1-abc6-07c63a443582/emulator-runs/initial/android/NUT-097-year-selector-starts-1926.png — Week/Range toggles exposed correct aria-pressed states, Range prefilled the current period, and selecting an adjacent visible date updated URL, rows, control text, and selected server row. On a clean October date, trusted Next presses did not advance the calendar and the year picker opened at 1926 rather than 2026, preventing the required arbitrary-date jump.</x:v>
      </x:c>
      <x:c r="Q250" s="58" t="str">
        <x:v>DEF-011</x:v>
      </x:c>
      <x:c r="R250" s="58" t="str">
        <x:v>In Progress</x:v>
      </x:c>
      <x:c r="S250" s="58" t="str"/>
      <x:c r="T250" s="58" t="str">
        <x:v>Failed</x:v>
      </x:c>
      <x:c r="U250" s="58" t="str">
        <x:v>Not Run</x:v>
      </x:c>
      <x:c r="V250" s="58" t="str">
        <x:v>iOS: /Users/mason/.codex/visualizations/2026/09/01/01a05def-1c0d-76d1-abc6-07c63a443582/emulator-runs/retest/ios/NUT-091-105-batch007-observations.json
/Users/mason/.codex/visualizations/2026/09/01/01a05def-1c0d-76d1-abc6-07c63a443582/emulator-runs/retest/ios/NUT-097-year-picker-starts1926.png
/Users/mason/.codex/visualizations/2026/09/01/01a05def-1c0d-76d1-abc6-07c63a443582/emulator-runs/retest/ios/NUT-097-native-select-state.json — Week calendar Next advances from September to October. Selecting Oct 15 visits its week and closes the picker. Week/Range toggles expose the correct aria-pressed state, and Range is prefilled with Oct 12–18. However, native month/year selects have an empty value and selectedIndex -1. The displayed 2026 year menu starts at 1926 without a current selection.</x:v>
      </x:c>
      <x:c r="W250" s="58" t="str">
        <x:f>IF(AND(OR(N250="Passed",N250="Failed",N250="Not Applicable"),OR(O250="Passed",O250="Failed",O250="Not Applicable"),OR(N250="Passed",N250="Failed",O250="Passed",O250="Failed"),OR(T250="Passed",T250="Not Applicable"),OR(U250="Passed",U250="Not Applicable"),OR(T250="Passed",U250="Passed"),Y250="Reconciled",Z250="Reconciled",IF(Q250&lt;&gt;"",R250="Fixed",TRUE)),"Verified",IF(OR(T250="Failed",U250="Failed"),"Retest Failed",IF(OR(N250="Failed",O250="Failed",Q250&lt;&gt;""),"Defect Found",IF(AND(OR(N250="Passed",N250="Not Applicable"),OR(O250="Passed",O250="Not Applicable"),OR(N250="Passed",O250="Passed")),"Initial Pass","Not Complete"))))</x:f>
        <x:v>Retest Failed</x:v>
      </x:c>
      <x:c r="X250" s="58" t="str">
        <x:v>Because local refs are initialized only once, same-component Inertia visits may leave the visible control date/mode stale after navigation.</x:v>
      </x:c>
      <x:c r="Y250" s="58" t="str">
        <x:f>IF(OR(N250="Not Run",O250="Not Run"),"Pending",IF(AND(OR(N250="Not Applicable",COUNTIFS('Test Runs'!$B$5:$B$2004,A250,'Test Runs'!$C$5:$C$2004,"Initial",'Test Runs'!$D$5:$D$2004,"iOS",'Test Runs'!$I$5:$I$2004,N250)&gt;0),OR(O250="Not Applicable",COUNTIFS('Test Runs'!$B$5:$B$2004,A250,'Test Runs'!$C$5:$C$2004,"Initial",'Test Runs'!$D$5:$D$2004,"Android",'Test Runs'!$I$5:$I$2004,O250)&gt;0)),"Reconciled","Mismatch"))</x:f>
        <x:v>Pending</x:v>
      </x:c>
      <x:c r="Z250" s="58" t="str">
        <x:f>IF(OR(T250="Not Run",U250="Not Run"),"Pending",IF(AND(OR(T250="Not Applicable",COUNTIFS('Test Runs'!$B$5:$B$2004,A250,'Test Runs'!$C$5:$C$2004,"Retest",'Test Runs'!$D$5:$D$2004,"iOS",'Test Runs'!$I$5:$I$2004,T250)&gt;0),OR(U250="Not Applicable",COUNTIFS('Test Runs'!$B$5:$B$2004,A250,'Test Runs'!$C$5:$C$2004,"Retest",'Test Runs'!$D$5:$D$2004,"Android",'Test Runs'!$I$5:$I$2004,U250)&gt;0)),"Reconciled","Mismatch"))</x:f>
        <x:v>Pending</x:v>
      </x:c>
    </x:row>
    <x:row r="251" ht="120" customHeight="1">
      <x:c r="A251" s="58" t="str">
        <x:v>NUT-098</x:v>
      </x:c>
      <x:c r="B251" s="58" t="str">
        <x:v>Weekly summary - custom range</x:v>
      </x:c>
      <x:c r="C251" s="58" t="str">
        <x:v>Weekly roundup &gt; Range &gt; Apply</x:v>
      </x:c>
      <x:c r="D251" s="58" t="str">
        <x:v>As a user, I want a custom inclusive date range so that I can summarize more or less than one week.</x:v>
      </x:c>
      <x:c r="E251" s="58" t="str">
        <x:v>Range mode accepts Start and End date inputs and Apply visits with both values; server includes every date from start through end, accepts start=end, requires paired dates and end &gt;= start, and allows at most 90 inclusive days (diffInDays &lt;90).</x:v>
      </x:c>
      <x:c r="F251" s="58" t="str">
        <x:v>Both</x:v>
      </x:c>
      <x:c r="G251" s="58" t="str">
        <x:v>Same-day, 7-day, 90-day, 91-day, missing and reversed ranges.</x:v>
      </x:c>
      <x:c r="H251" s="58" t="str">
        <x:v>Apply each boundary; count daily rows and verify URL/mode.</x:v>
      </x:c>
      <x:c r="I251" s="58" t="str">
        <x:v>Repeat on Android.</x:v>
      </x:c>
      <x:c r="J251" s="58" t="str">
        <x:v>/Users/mason/Sites/Buff/tests/Feature/WeeklySummaryTest.php</x:v>
      </x:c>
      <x:c r="K251" s="58" t="str">
        <x:v>/Users/mason/Sites/Buff/resources/js/Pages/Weekly.vue:99-109,125-190; /Users/mason/Sites/Buff/app/Http/Controllers/WeeklySummaryController.php:16-44; /Users/mason/Sites/Buff/app/Services/WeekSummaryService.php:28-76</x:v>
      </x:c>
      <x:c r="L251" s="58" t="str">
        <x:v>Mapped</x:v>
      </x:c>
      <x:c r="M251" s="58" t="str">
        <x:v>Ready</x:v>
      </x:c>
      <x:c r="N251" s="58" t="str">
        <x:v>Not Run</x:v>
      </x:c>
      <x:c r="O251" s="58" t="str">
        <x:v>Passed</x:v>
      </x:c>
      <x:c r="P251" s="58" t="str">
        <x:v>Android: /Users/mason/.codex/visualizations/2026/09/01/01a05def-1c0d-76d1-abc6-07c63a443582/emulator-runs/initial/android/NUT-098-90-day-range.png — Apply produced exactly 1 row for 2027-01-01, 7 rows through 2027-01-07, and 90 rows through 2027-03-31, with matching canonical query values and Range state. A 2027-01-01 through 2027-04-01 request was rejected and retained the last valid 90-day result.</x:v>
      </x:c>
      <x:c r="Q251" s="58" t="str">
        <x:v>DEF-012</x:v>
      </x:c>
      <x:c r="R251" s="58" t="str">
        <x:v>In Progress</x:v>
      </x:c>
      <x:c r="S251" s="58" t="str"/>
      <x:c r="T251" s="58" t="str">
        <x:v>Blocked</x:v>
      </x:c>
      <x:c r="U251" s="58" t="str">
        <x:v>Not Run</x:v>
      </x:c>
      <x:c r="V251" s="58" t="str">
        <x:v>iOS: /Users/mason/.codex/visualizations/2026/09/01/01a05def-1c0d-76d1-abc6-07c63a443582/emulator-runs/retest/ios/NUT-091-105-batch007-observations.json
/Users/mason/.codex/visualizations/2026/09/01/01a05def-1c0d-76d1-abc6-07c63a443582/emulator-runs/retest/ios/NUT-098-valid-single-day.png
/Users/mason/.codex/visualizations/2026/09/01/01a05def-1c0d-76d1-abc6-07c63a443582/emulator-runs/retest/ios/NUT-098-101-valid90day-range.png
/Users/mason/.codex/visualizations/2026/09/01/01a05def-1c0d-76d1-abc6-07c63a443582/emulator-runs/retest/ios/NUT-099-invalid91day-visible-error.png — Applied equal Oct 18 dates: one row, 0 kcal and a 2100 period target. Applied Jul 21–Oct 18: 90 inclusive rows, 500 calories and exact 90-day macro denominators of 14175/18900/6300 g. Jul 20–Oct 18 (91 days) is rejected while the prior 90-row result remains. Attempted values are retained.</x:v>
      </x:c>
      <x:c r="W251" s="58" t="str">
        <x:f>IF(AND(OR(N251="Passed",N251="Failed",N251="Not Applicable"),OR(O251="Passed",O251="Failed",O251="Not Applicable"),OR(N251="Passed",N251="Failed",O251="Passed",O251="Failed"),OR(T251="Passed",T251="Not Applicable"),OR(U251="Passed",U251="Not Applicable"),OR(T251="Passed",U251="Passed"),Y251="Reconciled",Z251="Reconciled",IF(Q251&lt;&gt;"",R251="Fixed",TRUE)),"Verified",IF(OR(T251="Failed",U251="Failed"),"Retest Failed",IF(OR(N251="Failed",O251="Failed",Q251&lt;&gt;""),"Defect Found",IF(AND(OR(N251="Passed",N251="Not Applicable"),OR(O251="Passed",O251="Not Applicable"),OR(N251="Passed",O251="Passed")),"Initial Pass","Not Complete"))))</x:f>
        <x:v>Defect Found</x:v>
      </x:c>
      <x:c r="X251" s="58" t="str">
        <x:v>Wording "90 days or less" corresponds to diff &lt;=89, i.e. 90 inclusive dates; ensure product expectation uses inclusive counting.</x:v>
      </x:c>
      <x:c r="Y251" s="58" t="str">
        <x:f>IF(OR(N251="Not Run",O251="Not Run"),"Pending",IF(AND(OR(N251="Not Applicable",COUNTIFS('Test Runs'!$B$5:$B$2004,A251,'Test Runs'!$C$5:$C$2004,"Initial",'Test Runs'!$D$5:$D$2004,"iOS",'Test Runs'!$I$5:$I$2004,N251)&gt;0),OR(O251="Not Applicable",COUNTIFS('Test Runs'!$B$5:$B$2004,A251,'Test Runs'!$C$5:$C$2004,"Initial",'Test Runs'!$D$5:$D$2004,"Android",'Test Runs'!$I$5:$I$2004,O251)&gt;0)),"Reconciled","Mismatch"))</x:f>
        <x:v>Pending</x:v>
      </x:c>
      <x:c r="Z251" s="58" t="str">
        <x:f>IF(OR(T251="Not Run",U251="Not Run"),"Pending",IF(AND(OR(T251="Not Applicable",COUNTIFS('Test Runs'!$B$5:$B$2004,A251,'Test Runs'!$C$5:$C$2004,"Retest",'Test Runs'!$D$5:$D$2004,"iOS",'Test Runs'!$I$5:$I$2004,T251)&gt;0),OR(U251="Not Applicable",COUNTIFS('Test Runs'!$B$5:$B$2004,A251,'Test Runs'!$C$5:$C$2004,"Retest",'Test Runs'!$D$5:$D$2004,"Android",'Test Runs'!$I$5:$I$2004,U251)&gt;0)),"Reconciled","Mismatch"))</x:f>
        <x:v>Pending</x:v>
      </x:c>
    </x:row>
    <x:row r="252" ht="242.39999389648438" hidden="0" customHeight="1">
      <x:c r="A252" s="58" t="str">
        <x:v>NUT-099</x:v>
      </x:c>
      <x:c r="B252" s="58" t="str">
        <x:v>Weekly summary - range errors</x:v>
      </x:c>
      <x:c r="C252" s="58" t="str">
        <x:v>Range &gt; Apply invalid values</x:v>
      </x:c>
      <x:c r="D252" s="58" t="str">
        <x:v>As a user, I want invalid ranges explained next to the controls so that I can correct them.</x:v>
      </x:c>
      <x:c r="E252" s="58" t="str">
        <x:v>A rejected custom range returns to Range mode with visible validation errors beside Start/End and alert semantics for missing counterpart, invalid date, reversed range and more than 90 inclusive days. Attempted representable dates remain in the inputs; an intentionally cleared date stays blank. The last valid summary remains unchanged until successful correction and Apply.</x:v>
      </x:c>
      <x:c r="F252" s="58" t="str">
        <x:v>Both</x:v>
      </x:c>
      <x:c r="G252" s="58" t="str">
        <x:v>Missing end/start, reversed, invalid URL value, 91 inclusive days.</x:v>
      </x:c>
      <x:c r="H252" s="58" t="str">
        <x:v>Submit missing, reversed, malformed and 91-day ranges. Verify visible field feedback, retained attempted values where the date input can represent them, no invalid result set and successful correction.</x:v>
      </x:c>
      <x:c r="I252" s="58" t="str">
        <x:v>Repeat Android, including native date-input behavior and correction without reentering both valid values.</x:v>
      </x:c>
      <x:c r="J252" s="58" t="str">
        <x:v>/Users/mason/Sites/Buff/tests/Feature/WeeklySummaryTest.php covers server range validation; /Users/mason/Sites/Buff/tests/weeklySummary.test.ts covers visible Range-mode feedback and retained attempted dates after reversed, over-90-day and missing-date rejection.</x:v>
      </x:c>
      <x:c r="K252" s="58" t="str">
        <x:v>/Users/mason/Sites/Buff/app/Http/Controllers/WeeklySummaryController.php:16-37; /Users/mason/Sites/Buff/resources/js/Pages/Weekly.vue:99-109,155-190</x:v>
      </x:c>
      <x:c r="L252" s="58" t="str">
        <x:v>Mapped</x:v>
      </x:c>
      <x:c r="M252" s="58" t="str">
        <x:v>Ready</x:v>
      </x:c>
      <x:c r="N252" s="58" t="str">
        <x:v>Not Run</x:v>
      </x:c>
      <x:c r="O252" s="58" t="str">
        <x:v>Failed</x:v>
      </x:c>
      <x:c r="P252" s="58" t="str">
        <x:v>Android: /Users/mason/.codex/visualizations/2026/09/01/01a05def-1c0d-76d1-abc6-07c63a443582/emulator-runs/initial/android/NUT-099-91-day-error-hidden.png — Missing-end, missing-start, reversed, malformed-date, and 91-day submissions each returned the correct Laravel field error in Inertia props. None produced visible error text or an alert, and rejected inputs reset to the last valid range.</x:v>
      </x:c>
      <x:c r="Q252" s="58" t="str">
        <x:v>DEF-013</x:v>
      </x:c>
      <x:c r="R252" s="58" t="str">
        <x:v>In Progress</x:v>
      </x:c>
      <x:c r="S252" s="58" t="str"/>
      <x:c r="T252" s="58" t="str">
        <x:v>Failed</x:v>
      </x:c>
      <x:c r="U252" s="58" t="str">
        <x:v>Not Run</x:v>
      </x:c>
      <x:c r="V252" s="58" t="str">
        <x:v>iOS: /Users/mason/.codex/visualizations/2026/09/01/01a05def-1c0d-76d1-abc6-07c63a443582/emulator-runs/retest/ios/NUT-091-105-batch007-observations.json
/Users/mason/.codex/visualizations/2026/09/01/01a05def-1c0d-76d1-abc6-07c63a443582/emulator-runs/retest/ios/NUT-099-reversed-range-error-hidden-week-mode.png
/Users/mason/.codex/visualizations/2026/09/01/01a05def-1c0d-76d1-abc6-07c63a443582/emulator-runs/retest/ios/NUT-099-invalid91day-visible-error.png — From Week mode on Oct 15, toggle Range and apply Start Oct 19 / End Oct 18: the server returns an error and rejectedControls, but the page resets to Week and hides both inputs and all alerts. Reopening Range exposes retained dates and the required end-date error. Correcting the range to equal Oct 18 dates clears the error. A 91-day attempt from an already-valid Range view stays in Range and visibly shows Choose a range of 90 days or less.</x:v>
      </x:c>
      <x:c r="W252" s="58" t="str">
        <x:f>IF(AND(OR(N252="Passed",N252="Failed",N252="Not Applicable"),OR(O252="Passed",O252="Failed",O252="Not Applicable"),OR(N252="Passed",N252="Failed",O252="Passed",O252="Failed"),OR(T252="Passed",T252="Not Applicable"),OR(U252="Passed",U252="Not Applicable"),OR(T252="Passed",U252="Passed"),Y252="Reconciled",Z252="Reconciled",IF(Q252&lt;&gt;"",R252="Fixed",TRUE)),"Verified",IF(OR(T252="Failed",U252="Failed"),"Retest Failed",IF(OR(N252="Failed",O252="Failed",Q252&lt;&gt;""),"Defect Found",IF(AND(OR(N252="Passed",N252="Not Applicable"),OR(O252="Passed",O252="Not Applicable"),OR(N252="Passed",O252="Passed")),"Initial Pass","Not Complete"))))</x:f>
        <x:v>Retest Failed</x:v>
      </x:c>
      <x:c r="X252" s="58" t="str">
        <x:v>Historical DEF-013 lacked visible range feedback. Build 15 shows errors when already in Range, but a rejection initiated from Week still returns to Week and hides them. The source follow-up restores Range and attempted dates; rebuilt-emulator retest remains required.</x:v>
      </x:c>
      <x:c r="Y252" s="58" t="str">
        <x:f>IF(OR(N252="Not Run",O252="Not Run"),"Pending",IF(AND(OR(N252="Not Applicable",COUNTIFS('Test Runs'!$B$5:$B$2004,A252,'Test Runs'!$C$5:$C$2004,"Initial",'Test Runs'!$D$5:$D$2004,"iOS",'Test Runs'!$I$5:$I$2004,N252)&gt;0),OR(O252="Not Applicable",COUNTIFS('Test Runs'!$B$5:$B$2004,A252,'Test Runs'!$C$5:$C$2004,"Initial",'Test Runs'!$D$5:$D$2004,"Android",'Test Runs'!$I$5:$I$2004,O252)&gt;0)),"Reconciled","Mismatch"))</x:f>
        <x:v>Pending</x:v>
      </x:c>
      <x:c r="Z252" s="58" t="str">
        <x:f>IF(OR(T252="Not Run",U252="Not Run"),"Pending",IF(AND(OR(T252="Not Applicable",COUNTIFS('Test Runs'!$B$5:$B$2004,A252,'Test Runs'!$C$5:$C$2004,"Retest",'Test Runs'!$D$5:$D$2004,"iOS",'Test Runs'!$I$5:$I$2004,T252)&gt;0),OR(U252="Not Applicable",COUNTIFS('Test Runs'!$B$5:$B$2004,A252,'Test Runs'!$C$5:$C$2004,"Retest",'Test Runs'!$D$5:$D$2004,"Android",'Test Runs'!$I$5:$I$2004,U252)&gt;0)),"Reconciled","Mismatch"))</x:f>
        <x:v>Pending</x:v>
      </x:c>
    </x:row>
    <x:row r="253" ht="120" customHeight="1">
      <x:c r="A253" s="58" t="str">
        <x:v>NUT-100</x:v>
      </x:c>
      <x:c r="B253" s="58" t="str">
        <x:v>Weekly summary - calorie totals/averages</x:v>
      </x:c>
      <x:c r="C253" s="58" t="str">
        <x:v>Weekly calorie card</x:v>
      </x:c>
      <x:c r="D253" s="58" t="str">
        <x:v>As a user, I want totals and daily averages that distinguish logged from unlogged days so that empty days do not depress my intake average.</x:v>
      </x:c>
      <x:c r="E253" s="58" t="str">
        <x:v>Roundup totals calories/burn/effective target across every day; Daily average and average target use only food-logged days. With no food-logged days the hero is 0 and target is the full-period effective target, explicitly labelled kcal period target rather than daily target. Full-period calories/burn may also show; progress caps at 100.</x:v>
      </x:c>
      <x:c r="F253" s="58" t="str">
        <x:v>Both</x:v>
      </x:c>
      <x:c r="G253" s="58" t="str">
        <x:v>Range with 0, 1 and multiple logged days plus workouts on logged/unlogged days.</x:v>
      </x:c>
      <x:c r="H253" s="58" t="str">
        <x:v>Hand-calculate totals/averages and verify labels, hero and target for each dataset.</x:v>
      </x:c>
      <x:c r="I253" s="58" t="str">
        <x:v>Repeat on Android.</x:v>
      </x:c>
      <x:c r="J253" s="58" t="str">
        <x:v>/Users/mason/Sites/Buff/tests/Feature/WeeklySummaryTest.php</x:v>
      </x:c>
      <x:c r="K253" s="58" t="str">
        <x:v>/Users/mason/Sites/Buff/app/Services/WeekSummaryService.php:78-96; /Users/mason/Sites/Buff/resources/js/Pages/Weekly.vue:193-218</x:v>
      </x:c>
      <x:c r="L253" s="58" t="str">
        <x:v>Mapped</x:v>
      </x:c>
      <x:c r="M253" s="58" t="str">
        <x:v>Ready</x:v>
      </x:c>
      <x:c r="N253" s="58" t="str">
        <x:v>Not Run</x:v>
      </x:c>
      <x:c r="O253" s="58" t="str">
        <x:v>Passed</x:v>
      </x:c>
      <x:c r="P253" s="58" t="str">
        <x:v>Android: /Users/mason/.codex/visualizations/2026/09/01/01a05def-1c0d-76d1-abc6-07c63a443582/emulator-runs/initial/android/NUT-107-range-reactive-correct.png — With one logged day, Weekly showed 1,399 kcal daily average, 2,491 effective logged-day target, 1,399 this period, and 441 burned while six unlogged days did not depress the intake average. A one-day empty range then showed 0 against 2,050.</x:v>
      </x:c>
      <x:c r="Q253" s="58" t="str">
        <x:v>DEF-012</x:v>
      </x:c>
      <x:c r="R253" s="58" t="str">
        <x:v>In Progress</x:v>
      </x:c>
      <x:c r="S253" s="58" t="str"/>
      <x:c r="T253" s="58" t="str">
        <x:v>Blocked</x:v>
      </x:c>
      <x:c r="U253" s="58" t="str">
        <x:v>Not Run</x:v>
      </x:c>
      <x:c r="V253" s="58" t="str">
        <x:v>iOS: /Users/mason/.codex/visualizations/2026/09/01/01a05def-1c0d-76d1-abc6-07c63a443582/emulator-runs/retest/ios/NUT-091-105-batch007-observations.json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/Users/mason/.codex/visualizations/2026/09/01/01a05def-1c0d-76d1-abc6-07c63a443582/emulator-runs/retest/ios/NUT-100-empty-period-target.png
/Users/mason/.codex/visualizations/2026/09/01/01a05def-1c0d-76d1-abc6-07c63a443582/emulator-runs/retest/ios/NUT-098-101-valid90day-range.png — The populated week and 90-day range show a 500 kcal logged-day average versus a 2100 daily target, with 500 period calories. The empty Oct 12–18 week shows 0 and a 14700 kcal period target. A single empty Oct 18 shows 0 and a 2100 period target. All macro/hero values update during ordinary range navigation.</x:v>
      </x:c>
      <x:c r="W253" s="58" t="str">
        <x:f>IF(AND(OR(N253="Passed",N253="Failed",N253="Not Applicable"),OR(O253="Passed",O253="Failed",O253="Not Applicable"),OR(N253="Passed",N253="Failed",O253="Passed",O253="Failed"),OR(T253="Passed",T253="Not Applicable"),OR(U253="Passed",U253="Not Applicable"),OR(T253="Passed",U253="Passed"),Y253="Reconciled",Z253="Reconciled",IF(Q253&lt;&gt;"",R253="Fixed",TRUE)),"Verified",IF(OR(T253="Failed",U253="Failed"),"Retest Failed",IF(OR(N253="Failed",O253="Failed",Q253&lt;&gt;""),"Defect Found",IF(AND(OR(N253="Passed",N253="Not Applicable"),OR(O253="Passed",O253="Not Applicable"),OR(N253="Passed",O253="Passed")),"Initial Pass","Not Complete"))))</x:f>
        <x:v>Defect Found</x:v>
      </x:c>
      <x:c r="X253" s="58" t="str">
        <x:v>When no days are logged but a goal exists, hero compares 0 period calories against the full-period target while labelling the left value "Calories," mixing total-period and daily presentation conventions.</x:v>
      </x:c>
      <x:c r="Y253" s="58" t="str">
        <x:f>IF(OR(N253="Not Run",O253="Not Run"),"Pending",IF(AND(OR(N253="Not Applicable",COUNTIFS('Test Runs'!$B$5:$B$2004,A253,'Test Runs'!$C$5:$C$2004,"Initial",'Test Runs'!$D$5:$D$2004,"iOS",'Test Runs'!$I$5:$I$2004,N253)&gt;0),OR(O253="Not Applicable",COUNTIFS('Test Runs'!$B$5:$B$2004,A253,'Test Runs'!$C$5:$C$2004,"Initial",'Test Runs'!$D$5:$D$2004,"Android",'Test Runs'!$I$5:$I$2004,O253)&gt;0)),"Reconciled","Mismatch"))</x:f>
        <x:v>Pending</x:v>
      </x:c>
      <x:c r="Z253" s="58" t="str">
        <x:f>IF(OR(T253="Not Run",U253="Not Run"),"Pending",IF(AND(OR(T253="Not Applicable",COUNTIFS('Test Runs'!$B$5:$B$2004,A253,'Test Runs'!$C$5:$C$2004,"Retest",'Test Runs'!$D$5:$D$2004,"iOS",'Test Runs'!$I$5:$I$2004,T253)&gt;0),OR(U253="Not Applicable",COUNTIFS('Test Runs'!$B$5:$B$2004,A253,'Test Runs'!$C$5:$C$2004,"Retest",'Test Runs'!$D$5:$D$2004,"Android",'Test Runs'!$I$5:$I$2004,U253)&gt;0)),"Reconciled","Mismatch"))</x:f>
        <x:v>Pending</x:v>
      </x:c>
    </x:row>
    <x:row r="254" ht="120" customHeight="1">
      <x:c r="A254" s="58" t="str">
        <x:v>NUT-101</x:v>
      </x:c>
      <x:c r="B254" s="58" t="str">
        <x:v>Weekly summary - macro totals</x:v>
      </x:c>
      <x:c r="C254" s="58" t="str">
        <x:v>Weekly macro cards</x:v>
      </x:c>
      <x:c r="D254" s="58" t="str">
        <x:v>As a user, I want period macro totals against goals so that I can see aggregate protein, carbs and fat adherence.</x:v>
      </x:c>
      <x:c r="E254" s="58" t="str">
        <x:v>Consumed macro cards sum all days. Goal denominators multiply the latest daily gram goals by every calendar day in the selected period, including unlogged/future days; progress caps at 100 and displayed grams round to integers.</x:v>
      </x:c>
      <x:c r="F254" s="58" t="str">
        <x:v>Both</x:v>
      </x:c>
      <x:c r="G254" s="58" t="str">
        <x:v>Partial week with unlogged/future days; decimal macro goals; over-goal totals.</x:v>
      </x:c>
      <x:c r="H254" s="58" t="str">
        <x:v>Calculate expected full-period goals and verify labels/progress on week and custom range.</x:v>
      </x:c>
      <x:c r="I254" s="58" t="str">
        <x:v>Repeat on Android.</x:v>
      </x:c>
      <x:c r="J254" s="58" t="str">
        <x:v>/Users/mason/Sites/Buff/tests/Feature/WeeklySummaryTest.php</x:v>
      </x:c>
      <x:c r="K254" s="58" t="str">
        <x:v>/Users/mason/Sites/Buff/app/Services/WeekSummaryService.php:49-51,90-95; /Users/mason/Sites/Buff/resources/js/Pages/Weekly.vue:71-75,208-217</x:v>
      </x:c>
      <x:c r="L254" s="58" t="str">
        <x:v>Mapped</x:v>
      </x:c>
      <x:c r="M254" s="58" t="str">
        <x:v>Ready</x:v>
      </x:c>
      <x:c r="N254" s="58" t="str">
        <x:v>Not Run</x:v>
      </x:c>
      <x:c r="O254" s="58" t="str">
        <x:v>Passed</x:v>
      </x:c>
      <x:c r="P254" s="58" t="str">
        <x:v>Android: /Users/mason/.codex/visualizations/2026/09/01/01a05def-1c0d-76d1-abc6-07c63a443582/emulator-runs/initial/android/NUT-107-range-reactive-correct.png — The seven-day view summed P90/C181/F35 and displayed rounded full-period base goals P1076/C1435/F478. Switching to a one-day empty range updated all three cards to 0/154, 0/205, and 0/68.</x:v>
      </x:c>
      <x:c r="Q254" s="58" t="str"/>
      <x:c r="R254" s="58" t="str">
        <x:v>Not Needed</x:v>
      </x:c>
      <x:c r="S254" s="58" t="str"/>
      <x:c r="T254" s="58" t="str">
        <x:v>Blocked</x:v>
      </x:c>
      <x:c r="U254" s="58" t="str">
        <x:v>Not Run</x:v>
      </x:c>
      <x:c r="V254" s="58" t="str">
        <x:v>iOS: /Users/mason/.codex/visualizations/2026/09/01/01a05def-1c0d-76d1-abc6-07c63a443582/emulator-runs/retest/ios/NUT-091-105-batch007-observations.json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/Users/mason/.codex/visualizations/2026/09/01/01a05def-1c0d-76d1-abc6-07c63a443582/emulator-runs/retest/ios/NUT-098-valid-single-day.png
/Users/mason/.codex/visualizations/2026/09/01/01a05def-1c0d-76d1-abc6-07c63a443582/emulator-runs/retest/ios/NUT-098-101-valid90day-range.png — Seven-day macro totals of 20/60/20 g display full-period goals of 1103/1470/490 g, including unlogged/future dates and protein rounding from 1102.5 to 1103. Empty one-day goals of 158/210/70 and 90-day goals of 14175/18900/6300 recalculate correctly.</x:v>
      </x:c>
      <x:c r="W254" s="58" t="str">
        <x:f>IF(AND(OR(N254="Passed",N254="Failed",N254="Not Applicable"),OR(O254="Passed",O254="Failed",O254="Not Applicable"),OR(N254="Passed",N254="Failed",O254="Passed",O254="Failed"),OR(T254="Passed",T254="Not Applicable"),OR(U254="Passed",U254="Not Applicable"),OR(T254="Passed",U254="Passed"),Y254="Reconciled",Z254="Reconciled",IF(Q254&lt;&gt;"",R254="Fixed",TRUE)),"Verified",IF(OR(T254="Failed",U254="Failed"),"Retest Failed",IF(OR(N254="Failed",O254="Failed",Q254&lt;&gt;""),"Defect Found",IF(AND(OR(N254="Passed",N254="Not Applicable"),OR(O254="Passed",O254="Not Applicable"),OR(N254="Passed",O254="Passed")),"Initial Pass","Not Complete"))))</x:f>
        <x:v>Not Complete</x:v>
      </x:c>
      <x:c r="X254" s="58" t="str">
        <x:v>Inconsistency: calorie average target uses logged days and workout eat-back, while macro goals always use all calendar days and never exercise adjustment.</x:v>
      </x:c>
      <x:c r="Y254" s="58" t="str">
        <x:f>IF(OR(N254="Not Run",O254="Not Run"),"Pending",IF(AND(OR(N254="Not Applicable",COUNTIFS('Test Runs'!$B$5:$B$2004,A254,'Test Runs'!$C$5:$C$2004,"Initial",'Test Runs'!$D$5:$D$2004,"iOS",'Test Runs'!$I$5:$I$2004,N254)&gt;0),OR(O254="Not Applicable",COUNTIFS('Test Runs'!$B$5:$B$2004,A254,'Test Runs'!$C$5:$C$2004,"Initial",'Test Runs'!$D$5:$D$2004,"Android",'Test Runs'!$I$5:$I$2004,O254)&gt;0)),"Reconciled","Mismatch"))</x:f>
        <x:v>Pending</x:v>
      </x:c>
      <x:c r="Z254" s="58" t="str">
        <x:f>IF(OR(T254="Not Run",U254="Not Run"),"Pending",IF(AND(OR(T254="Not Applicable",COUNTIFS('Test Runs'!$B$5:$B$2004,A254,'Test Runs'!$C$5:$C$2004,"Retest",'Test Runs'!$D$5:$D$2004,"iOS",'Test Runs'!$I$5:$I$2004,T254)&gt;0),OR(U254="Not Applicable",COUNTIFS('Test Runs'!$B$5:$B$2004,A254,'Test Runs'!$C$5:$C$2004,"Retest",'Test Runs'!$D$5:$D$2004,"Android",'Test Runs'!$I$5:$I$2004,U254)&gt;0)),"Reconciled","Mismatch"))</x:f>
        <x:v>Pending</x:v>
      </x:c>
    </x:row>
    <x:row r="255" ht="120" customHeight="1">
      <x:c r="A255" s="58" t="str">
        <x:v>NUT-102</x:v>
      </x:c>
      <x:c r="B255" s="58" t="str">
        <x:v>Weekly summary - daily status</x:v>
      </x:c>
      <x:c r="C255" s="58" t="str">
        <x:v>Weekly &gt; Daily totals</x:v>
      </x:c>
      <x:c r="D255" s="58" t="str">
        <x:v>As a user, I want each day labelled under/on/over/neutral so that I can spot adherence patterns.</x:v>
      </x:c>
      <x:c r="E255" s="58" t="str">
        <x:v>Every inclusive date has a row with consumed calories, optional effective target, rounded macros, icon and text status. Status is neutral without goal/food/target, target within ±50 kcal inclusive, otherwise under/over; eat-back increases that day’s target by eligible workout calories.</x:v>
      </x:c>
      <x:c r="F255" s="58" t="str">
        <x:v>Both</x:v>
      </x:c>
      <x:c r="G255" s="58" t="str">
        <x:v>Goal and days at target-51, target-50, target, target+50, target+51, empty, workout with eat-back on/off.</x:v>
      </x:c>
      <x:c r="H255" s="58" t="str">
        <x:v>Verify each icon/text/target and calorie/macro row on iOS.</x:v>
      </x:c>
      <x:c r="I255" s="58" t="str">
        <x:v>Repeat exact boundary matrix on Android.</x:v>
      </x:c>
      <x:c r="J255" s="58" t="str">
        <x:v>/Users/mason/Sites/Buff/tests/Feature/WeeklySummaryTest.php</x:v>
      </x:c>
      <x:c r="K255" s="58" t="str">
        <x:v>/Users/mason/Sites/Buff/app/Services/WeekSummaryService.php:53-76,101-112; /Users/mason/Sites/Buff/resources/js/Pages/Weekly.vue:229-250; /Users/mason/Sites/Buff/resources/js/dayStatus.ts</x:v>
      </x:c>
      <x:c r="L255" s="58" t="str">
        <x:v>Mapped</x:v>
      </x:c>
      <x:c r="M255" s="58" t="str">
        <x:v>Ready</x:v>
      </x:c>
      <x:c r="N255" s="58" t="str">
        <x:v>Not Run</x:v>
      </x:c>
      <x:c r="O255" s="58" t="str">
        <x:v>Blocked</x:v>
      </x:c>
      <x:c r="P255" s="58" t="str">
        <x:v>Android: /Users/mason/.codex/visualizations/2026/09/01/01a05def-1c0d-76d1-abc6-07c63a443582/emulator-runs/initial/android/NUT-107-range-reactive-correct.png — Sep 2 rendered 1399/2491 with exact P90/C181/F35 and under target; six empty dates rendered 0/2050 and no log. The custom empty day rendered neutral safely.</x:v>
      </x:c>
      <x:c r="Q255" s="58" t="str">
        <x:v>DEF-088</x:v>
      </x:c>
      <x:c r="R255" s="58" t="str">
        <x:v>In Progress</x:v>
      </x:c>
      <x:c r="S255" s="58" t="str"/>
      <x:c r="T255" s="58" t="str">
        <x:v>Failed</x:v>
      </x:c>
      <x:c r="U255" s="58" t="str">
        <x:v>Not Run</x:v>
      </x:c>
      <x:c r="V255" s="58" t="str">
        <x:v>iOS: /Users/mason/.codex/visualizations/2026/09/01/01a05def-1c0d-76d1-abc6-07c63a443582/emulator-runs/retest/ios/NUT-091-105-batch007-observations.json
/Users/mason/.codex/visualizations/2026/09/01/01a05def-1c0d-76d1-abc6-07c63a443582/emulator-runs/retest/ios/NUT-096-102-105-daily-rows.png — Seven-day rows contain the correct 500/2100 and P 20 / C 60 / F 20 on Sep 4, under target. The other six dates show 0/2100 and no log. The standard populated row truncates before its fat value on the 402 px iPhone viewport: the 248 px text width exceeds the 220 px container, with ellipsis/overflow hidden and no reveal action.</x:v>
      </x:c>
      <x:c r="W255" s="58" t="str">
        <x:f>IF(AND(OR(N255="Passed",N255="Failed",N255="Not Applicable"),OR(O255="Passed",O255="Failed",O255="Not Applicable"),OR(N255="Passed",N255="Failed",O255="Passed",O255="Failed"),OR(T255="Passed",T255="Not Applicable"),OR(U255="Passed",U255="Not Applicable"),OR(T255="Passed",U255="Passed"),Y255="Reconciled",Z255="Reconciled",IF(Q255&lt;&gt;"",R255="Fixed",TRUE)),"Verified",IF(OR(T255="Failed",U255="Failed"),"Retest Failed",IF(OR(N255="Failed",O255="Failed",Q255&lt;&gt;""),"Defect Found",IF(AND(OR(N255="Passed",N255="Not Applicable"),OR(O255="Passed",O255="Not Applicable"),OR(N255="Passed",O255="Passed")),"Initial Pass","Not Complete"))))</x:f>
        <x:v>Retest Failed</x:v>
      </x:c>
      <x:c r="X255" s="58" t="str">
        <x:v>No likely defect in code-defined tolerance; validate that ±50 product semantics are intended.</x:v>
      </x:c>
      <x:c r="Y255" s="58" t="str">
        <x:f>IF(OR(N255="Not Run",O255="Not Run"),"Pending",IF(AND(OR(N255="Not Applicable",COUNTIFS('Test Runs'!$B$5:$B$2004,A255,'Test Runs'!$C$5:$C$2004,"Initial",'Test Runs'!$D$5:$D$2004,"iOS",'Test Runs'!$I$5:$I$2004,N255)&gt;0),OR(O255="Not Applicable",COUNTIFS('Test Runs'!$B$5:$B$2004,A255,'Test Runs'!$C$5:$C$2004,"Initial",'Test Runs'!$D$5:$D$2004,"Android",'Test Runs'!$I$5:$I$2004,O255)&gt;0)),"Reconciled","Mismatch"))</x:f>
        <x:v>Pending</x:v>
      </x:c>
      <x:c r="Z255" s="58" t="str">
        <x:f>IF(OR(T255="Not Run",U255="Not Run"),"Pending",IF(AND(OR(T255="Not Applicable",COUNTIFS('Test Runs'!$B$5:$B$2004,A255,'Test Runs'!$C$5:$C$2004,"Retest",'Test Runs'!$D$5:$D$2004,"iOS",'Test Runs'!$I$5:$I$2004,T255)&gt;0),OR(U255="Not Applicable",COUNTIFS('Test Runs'!$B$5:$B$2004,A255,'Test Runs'!$C$5:$C$2004,"Retest",'Test Runs'!$D$5:$D$2004,"Android",'Test Runs'!$I$5:$I$2004,U255)&gt;0)),"Reconciled","Mismatch"))</x:f>
        <x:v>Pending</x:v>
      </x:c>
    </x:row>
    <x:row r="256" ht="120" customHeight="1">
      <x:c r="A256" s="58" t="str">
        <x:v>NUT-103</x:v>
      </x:c>
      <x:c r="B256" s="58" t="str">
        <x:v>Weekly summary - adherence insights</x:v>
      </x:c>
      <x:c r="C256" s="58" t="str">
        <x:v>Weekly &gt; Insights</x:v>
      </x:c>
      <x:c r="D256" s="58" t="str">
        <x:v>As a user, I want concise adherence and average insights so that I can interpret the period.</x:v>
      </x:c>
      <x:c r="E256" s="58" t="str">
        <x:v>If at least one day has food, insights show "X of Y logged days on target." With a goal they also show average calories on logged days versus average effective target; unlogged days never enter either denominator.</x:v>
      </x:c>
      <x:c r="F256" s="58" t="str">
        <x:v>Both</x:v>
      </x:c>
      <x:c r="G256" s="58" t="str">
        <x:v>No logs; mixed target/under/over logs; workouts changing effective target; no goal.</x:v>
      </x:c>
      <x:c r="H256" s="58" t="str">
        <x:v>Verify insight presence, counts and formatted averages for each state.</x:v>
      </x:c>
      <x:c r="I256" s="58" t="str">
        <x:v>Repeat on Android.</x:v>
      </x:c>
      <x:c r="J256" s="58" t="str">
        <x:v>/Users/mason/Sites/Buff/tests/Feature/WeeklySummaryTest.php</x:v>
      </x:c>
      <x:c r="K256" s="58" t="str">
        <x:v>/Users/mason/Sites/Buff/app/Services/WeekSummaryService.php:118-138; /Users/mason/Sites/Buff/resources/js/Pages/Weekly.vue:220-227</x:v>
      </x:c>
      <x:c r="L256" s="58" t="str">
        <x:v>Mapped</x:v>
      </x:c>
      <x:c r="M256" s="58" t="str">
        <x:v>Ready</x:v>
      </x:c>
      <x:c r="N256" s="58" t="str">
        <x:v>Not Run</x:v>
      </x:c>
      <x:c r="O256" s="58" t="str">
        <x:v>Blocked</x:v>
      </x:c>
      <x:c r="P256" s="58" t="str">
        <x:v>Android: /Users/mason/.codex/visualizations/2026/09/01/01a05def-1c0d-76d1-abc6-07c63a443582/emulator-runs/initial/android/NUT-107-range-reactive-correct.png — The one logged day produced 0 of 1 logged days on target and Averaged 1,399 kcal on logged days vs 2,491 target; unlogged days were excluded and the empty custom range omitted the insight card.</x:v>
      </x:c>
      <x:c r="Q256" s="58" t="str"/>
      <x:c r="R256" s="58" t="str">
        <x:v>Not Needed</x:v>
      </x:c>
      <x:c r="S256" s="58" t="str"/>
      <x:c r="T256" s="58" t="str">
        <x:v>Not Run</x:v>
      </x:c>
      <x:c r="U256" s="58" t="str">
        <x:v>Not Run</x:v>
      </x:c>
      <x:c r="V256" s="58" t="str"/>
      <x:c r="W256" s="58" t="str">
        <x:f>IF(AND(OR(N256="Passed",N256="Failed",N256="Not Applicable"),OR(O256="Passed",O256="Failed",O256="Not Applicable"),OR(N256="Passed",N256="Failed",O256="Passed",O256="Failed"),OR(T256="Passed",T256="Not Applicable"),OR(U256="Passed",U256="Not Applicable"),OR(T256="Passed",U256="Passed"),Y256="Reconciled",Z256="Reconciled",IF(Q256&lt;&gt;"",R256="Fixed",TRUE)),"Verified",IF(OR(T256="Failed",U256="Failed"),"Retest Failed",IF(OR(N256="Failed",O256="Failed",Q256&lt;&gt;""),"Defect Found",IF(AND(OR(N256="Passed",N256="Not Applicable"),OR(O256="Passed",O256="Not Applicable"),OR(N256="Passed",O256="Passed")),"Initial Pass","Not Complete"))))</x:f>
        <x:v>Not Complete</x:v>
      </x:c>
      <x:c r="X256" s="58" t="str">
        <x:v>A day with only a workout is treated as unlogged for adherence/average because logging is defined solely as consumed calories &gt;0.</x:v>
      </x:c>
      <x:c r="Y256" s="58" t="str">
        <x:f>IF(OR(N256="Not Run",O256="Not Run"),"Pending",IF(AND(OR(N256="Not Applicable",COUNTIFS('Test Runs'!$B$5:$B$2004,A256,'Test Runs'!$C$5:$C$2004,"Initial",'Test Runs'!$D$5:$D$2004,"iOS",'Test Runs'!$I$5:$I$2004,N256)&gt;0),OR(O256="Not Applicable",COUNTIFS('Test Runs'!$B$5:$B$2004,A256,'Test Runs'!$C$5:$C$2004,"Initial",'Test Runs'!$D$5:$D$2004,"Android",'Test Runs'!$I$5:$I$2004,O256)&gt;0)),"Reconciled","Mismatch"))</x:f>
        <x:v>Pending</x:v>
      </x:c>
      <x:c r="Z256" s="58" t="str">
        <x:f>IF(OR(T256="Not Run",U256="Not Run"),"Pending",IF(AND(OR(T256="Not Applicable",COUNTIFS('Test Runs'!$B$5:$B$2004,A256,'Test Runs'!$C$5:$C$2004,"Retest",'Test Runs'!$D$5:$D$2004,"iOS",'Test Runs'!$I$5:$I$2004,T256)&gt;0),OR(U256="Not Applicable",COUNTIFS('Test Runs'!$B$5:$B$2004,A256,'Test Runs'!$C$5:$C$2004,"Retest",'Test Runs'!$D$5:$D$2004,"Android",'Test Runs'!$I$5:$I$2004,U256)&gt;0)),"Reconciled","Mismatch"))</x:f>
        <x:v>Pending</x:v>
      </x:c>
    </x:row>
    <x:row r="257" ht="120" customHeight="1">
      <x:c r="A257" s="58" t="str">
        <x:v>NUT-104</x:v>
      </x:c>
      <x:c r="B257" s="58" t="str">
        <x:v>Weekly summary - weekend insight</x:v>
      </x:c>
      <x:c r="C257" s="58" t="str">
        <x:v>Weekly &gt; Insights with weekday and weekend logs</x:v>
      </x:c>
      <x:c r="D257" s="58" t="str">
        <x:v>As a user, I want weekday versus weekend intake compared so that I can identify pattern differences.</x:v>
      </x:c>
      <x:c r="E257" s="58" t="str">
        <x:v>When both sets contain at least one food-logged day, service compares average Saturday/Sunday calories with average Monday-Friday calories, rounds the difference, and reports more, less or same; otherwise this insight is omitted.</x:v>
      </x:c>
      <x:c r="F257" s="58" t="str">
        <x:v>Both</x:v>
      </x:c>
      <x:c r="G257" s="58" t="str">
        <x:v>One/multiple logged weekdays/weekend days with positive, negative and zero difference; workout-only weekend.</x:v>
      </x:c>
      <x:c r="H257" s="58" t="str">
        <x:v>Verify average difference text/rounding and omission when either set lacks food.</x:v>
      </x:c>
      <x:c r="I257" s="58" t="str">
        <x:v>Repeat on Android.</x:v>
      </x:c>
      <x:c r="J257" s="58" t="str">
        <x:v>/Users/mason/Sites/Buff/tests/Feature/WeeklySummaryTest.php</x:v>
      </x:c>
      <x:c r="K257" s="58" t="str">
        <x:v>/Users/mason/Sites/Buff/app/Services/WeekSummaryService.php:140-153</x:v>
      </x:c>
      <x:c r="L257" s="58" t="str">
        <x:v>Mapped</x:v>
      </x:c>
      <x:c r="M257" s="58" t="str">
        <x:v>Ready</x:v>
      </x:c>
      <x:c r="N257" s="58" t="str">
        <x:v>Not Run</x:v>
      </x:c>
      <x:c r="O257" s="58" t="str">
        <x:v>Blocked</x:v>
      </x:c>
      <x:c r="P257" s="58" t="str">
        <x:v>Android: /Users/mason/.codex/visualizations/2026/09/01/01a05def-1c0d-76d1-abc6-07c63a443582/emulator-runs/initial/android/NUT-107-range-reactive-correct.png — With food logged only on Wednesday, the weekday-versus-weekend insight was correctly omitted.</x:v>
      </x:c>
      <x:c r="Q257" s="58" t="str"/>
      <x:c r="R257" s="58" t="str">
        <x:v>Not Needed</x:v>
      </x:c>
      <x:c r="S257" s="58" t="str"/>
      <x:c r="T257" s="58" t="str">
        <x:v>Not Run</x:v>
      </x:c>
      <x:c r="U257" s="58" t="str">
        <x:v>Not Run</x:v>
      </x:c>
      <x:c r="V257" s="58" t="str"/>
      <x:c r="W257" s="58" t="str">
        <x:f>IF(AND(OR(N257="Passed",N257="Failed",N257="Not Applicable"),OR(O257="Passed",O257="Failed",O257="Not Applicable"),OR(N257="Passed",N257="Failed",O257="Passed",O257="Failed"),OR(T257="Passed",T257="Not Applicable"),OR(U257="Passed",U257="Not Applicable"),OR(T257="Passed",U257="Passed"),Y257="Reconciled",Z257="Reconciled",IF(Q257&lt;&gt;"",R257="Fixed",TRUE)),"Verified",IF(OR(T257="Failed",U257="Failed"),"Retest Failed",IF(OR(N257="Failed",O257="Failed",Q257&lt;&gt;""),"Defect Found",IF(AND(OR(N257="Passed",N257="Not Applicable"),OR(O257="Passed",O257="Not Applicable"),OR(N257="Passed",O257="Passed")),"Initial Pass","Not Complete"))))</x:f>
        <x:v>Not Complete</x:v>
      </x:c>
      <x:c r="X257" s="58" t="str">
        <x:v>The insight does not disclose the unequal sample counts, which can make one-day versus five-day comparisons appear more robust than they are.</x:v>
      </x:c>
      <x:c r="Y257" s="58" t="str">
        <x:f>IF(OR(N257="Not Run",O257="Not Run"),"Pending",IF(AND(OR(N257="Not Applicable",COUNTIFS('Test Runs'!$B$5:$B$2004,A257,'Test Runs'!$C$5:$C$2004,"Initial",'Test Runs'!$D$5:$D$2004,"iOS",'Test Runs'!$I$5:$I$2004,N257)&gt;0),OR(O257="Not Applicable",COUNTIFS('Test Runs'!$B$5:$B$2004,A257,'Test Runs'!$C$5:$C$2004,"Initial",'Test Runs'!$D$5:$D$2004,"Android",'Test Runs'!$I$5:$I$2004,O257)&gt;0)),"Reconciled","Mismatch"))</x:f>
        <x:v>Pending</x:v>
      </x:c>
      <x:c r="Z257" s="58" t="str">
        <x:f>IF(OR(T257="Not Run",U257="Not Run"),"Pending",IF(AND(OR(T257="Not Applicable",COUNTIFS('Test Runs'!$B$5:$B$2004,A257,'Test Runs'!$C$5:$C$2004,"Retest",'Test Runs'!$D$5:$D$2004,"iOS",'Test Runs'!$I$5:$I$2004,T257)&gt;0),OR(U257="Not Applicable",COUNTIFS('Test Runs'!$B$5:$B$2004,A257,'Test Runs'!$C$5:$C$2004,"Retest",'Test Runs'!$D$5:$D$2004,"Android",'Test Runs'!$I$5:$I$2004,U257)&gt;0)),"Reconciled","Mismatch"))</x:f>
        <x:v>Pending</x:v>
      </x:c>
    </x:row>
    <x:row r="258" ht="120" customHeight="1">
      <x:c r="A258" s="58" t="str">
        <x:v>NUT-105</x:v>
      </x:c>
      <x:c r="B258" s="58" t="str">
        <x:v>Weekly summary - weight insight</x:v>
      </x:c>
      <x:c r="C258" s="58" t="str">
        <x:v>Weekly &gt; Insights after body metric logs</x:v>
      </x:c>
      <x:c r="D258" s="58" t="str">
        <x:v>As a user, I want weight change during the selected period summarized so that nutrition and progress can be viewed together.</x:v>
      </x:c>
      <x:c r="E258" s="58" t="str">
        <x:v>With at least two body metrics in range, service compares chronologically first and last, rounds delta to 0.1kg, converts absolute delta to lb when preferred, and says up/down/unchanged; with fewer than two it omits the insight.</x:v>
      </x:c>
      <x:c r="F258" s="58" t="str">
        <x:v>Both</x:v>
      </x:c>
      <x:c r="G258" s="58" t="str">
        <x:v>0/1/2/3 metrics; same weight; kg/lb preferences; multiple same-date metrics if allowed.</x:v>
      </x:c>
      <x:c r="H258" s="58" t="str">
        <x:v>Verify omission/direction/value/unit and that only in-range first/last drive it.</x:v>
      </x:c>
      <x:c r="I258" s="58" t="str">
        <x:v>Repeat on Android.</x:v>
      </x:c>
      <x:c r="J258" s="58" t="str">
        <x:v>/Users/mason/Sites/Buff/tests/Feature/WeeklySummaryTest.php</x:v>
      </x:c>
      <x:c r="K258" s="58" t="str">
        <x:v>/Users/mason/Sites/Buff/app/Services/WeekSummaryService.php:155-197</x:v>
      </x:c>
      <x:c r="L258" s="58" t="str">
        <x:v>Mapped</x:v>
      </x:c>
      <x:c r="M258" s="58" t="str">
        <x:v>Ready</x:v>
      </x:c>
      <x:c r="N258" s="58" t="str">
        <x:v>Not Run</x:v>
      </x:c>
      <x:c r="O258" s="58" t="str">
        <x:v>Passed</x:v>
      </x:c>
      <x:c r="P258" s="58" t="str">
        <x:v>Android: /Users/mason/.codex/visualizations/2026/09/01/01a05def-1c0d-76d1-abc6-07c63a443582/emulator-runs/initial/android/NUT-105-current-week-weight-insight.png
/Users/mason/.codex/visualizations/2026/09/01/01a05def-1c0d-76d1-abc6-07c63a443582/emulator-runs/initial/android/NUT-105-range-weight-down.png
/Users/mason/.codex/visualizations/2026/09/01/01a05def-1c0d-76d1-abc6-07c63a443582/emulator-runs/initial/android/NUT-105-single-metric-insight-omitted.png
/Users/mason/.codex/visualizations/2026/09/01/01a05def-1c0d-76d1-abc6-07c63a443582/emulator-runs/initial/android/NUT-105-range-weight-down-lb.png
/Users/mason/.codex/visualizations/2026/09/01/01a05def-1c0d-76d1-abc6-07c63a443582/emulator-runs/initial/android/NUT-013-018-094-105-106-observations.json — A current-week range with at least two metrics showed 'Weight unchanged this period.' The 26 August-2 September range showed 'Weight down 1.7 kg this period'; the single-day 2 September range with one metric omitted Insights; changing the preferred unit showed 'Weight down 3.7 lb this period.'</x:v>
      </x:c>
      <x:c r="Q258" s="58" t="str"/>
      <x:c r="R258" s="58" t="str">
        <x:v>Not Needed</x:v>
      </x:c>
      <x:c r="S258" s="58" t="str"/>
      <x:c r="T258" s="58" t="str">
        <x:v>Blocked</x:v>
      </x:c>
      <x:c r="U258" s="58" t="str">
        <x:v>Not Run</x:v>
      </x:c>
      <x:c r="V258" s="58" t="str">
        <x:v>iOS: /Users/mason/.codex/visualizations/2026/09/01/01a05def-1c0d-76d1-abc6-07c63a443582/emulator-runs/retest/ios/NUT-091-105-batch007-observations.json
/Users/mason/.codex/visualizations/2026/09/01/01a05def-1c0d-76d1-abc6-07c63a443582/emulator-runs/retest/ios/NUT-096-102-105-daily-rows.png
/Users/mason/.codex/visualizations/2026/09/01/01a05def-1c0d-76d1-abc6-07c63a443582/emulator-runs/retest/ios/NUT-100-empty-period-target.png — The Aug 31–Sep 6 week and 90-day range show Weight down 1 kg this period, matching chronological Sep 3 = 76 kg and Sep 4 = 75 kg. The empty Oct week and single Oct 18 range contain no weight insight.</x:v>
      </x:c>
      <x:c r="W258" s="58" t="str">
        <x:f>IF(AND(OR(N258="Passed",N258="Failed",N258="Not Applicable"),OR(O258="Passed",O258="Failed",O258="Not Applicable"),OR(N258="Passed",N258="Failed",O258="Passed",O258="Failed"),OR(T258="Passed",T258="Not Applicable"),OR(U258="Passed",U258="Not Applicable"),OR(T258="Passed",U258="Passed"),Y258="Reconciled",Z258="Reconciled",IF(Q258&lt;&gt;"",R258="Fixed",TRUE)),"Verified",IF(OR(T258="Failed",U258="Failed"),"Retest Failed",IF(OR(N258="Failed",O258="Failed",Q258&lt;&gt;""),"Defect Found",IF(AND(OR(N258="Passed",N258="Not Applicable"),OR(O258="Passed",O258="Not Applicable"),OR(N258="Passed",O258="Passed")),"Initial Pass","Not Complete"))))</x:f>
        <x:v>Not Complete</x:v>
      </x:c>
      <x:c r="X258" s="58" t="str">
        <x:v>The delta is rounded in kg before conversion to lb, which can introduce avoidable displayed precision error versus converting the unrounded delta.</x:v>
      </x:c>
      <x:c r="Y258" s="58" t="str">
        <x:f>IF(OR(N258="Not Run",O258="Not Run"),"Pending",IF(AND(OR(N258="Not Applicable",COUNTIFS('Test Runs'!$B$5:$B$2004,A258,'Test Runs'!$C$5:$C$2004,"Initial",'Test Runs'!$D$5:$D$2004,"iOS",'Test Runs'!$I$5:$I$2004,N258)&gt;0),OR(O258="Not Applicable",COUNTIFS('Test Runs'!$B$5:$B$2004,A258,'Test Runs'!$C$5:$C$2004,"Initial",'Test Runs'!$D$5:$D$2004,"Android",'Test Runs'!$I$5:$I$2004,O258)&gt;0)),"Reconciled","Mismatch"))</x:f>
        <x:v>Pending</x:v>
      </x:c>
      <x:c r="Z258" s="58" t="str">
        <x:f>IF(OR(T258="Not Run",U258="Not Run"),"Pending",IF(AND(OR(T258="Not Applicable",COUNTIFS('Test Runs'!$B$5:$B$2004,A258,'Test Runs'!$C$5:$C$2004,"Retest",'Test Runs'!$D$5:$D$2004,"iOS",'Test Runs'!$I$5:$I$2004,T258)&gt;0),OR(U258="Not Applicable",COUNTIFS('Test Runs'!$B$5:$B$2004,A258,'Test Runs'!$C$5:$C$2004,"Retest",'Test Runs'!$D$5:$D$2004,"Android",'Test Runs'!$I$5:$I$2004,U258)&gt;0)),"Reconciled","Mismatch"))</x:f>
        <x:v>Pending</x:v>
      </x:c>
    </x:row>
    <x:row r="259" ht="120" customHeight="1">
      <x:c r="A259" s="58" t="str">
        <x:v>NUT-106</x:v>
      </x:c>
      <x:c r="B259" s="58" t="str">
        <x:v>Weekly summary - empty/no goal</x:v>
      </x:c>
      <x:c r="C259" s="58" t="str">
        <x:v>Weekly period with no meals/workouts/goal</x:v>
      </x:c>
      <x:c r="D259" s="58" t="str">
        <x:v>As a user, I want an empty period to render safely so that I can still navigate and choose another range.</x:v>
      </x:c>
      <x:c r="E259" s="58" t="str">
        <x:v>All requested days render as neutral zeros; calorie hero is 0, macro consumed/goals are 0 when no goal, insights card is absent unless weight metrics alone create an insight, and controls remain available.</x:v>
      </x:c>
      <x:c r="F259" s="58" t="str">
        <x:v>Both</x:v>
      </x:c>
      <x:c r="G259" s="58" t="str">
        <x:v>Completely empty database; goal-only; weight-only.</x:v>
      </x:c>
      <x:c r="H259" s="58" t="str">
        <x:v>Open week/range and verify no exceptions, zero values, daily rows and appropriate insight visibility.</x:v>
      </x:c>
      <x:c r="I259" s="58" t="str">
        <x:v>Repeat on Android.</x:v>
      </x:c>
      <x:c r="J259" s="58" t="str">
        <x:v>/Users/mason/Sites/Buff/tests/Feature/WeeklySummaryTest.php</x:v>
      </x:c>
      <x:c r="K259" s="58" t="str">
        <x:v>/Users/mason/Sites/Buff/app/Services/WeekSummaryService.php:49-99,118-162; /Users/mason/Sites/Buff/resources/js/Pages/Weekly.vue:193-250</x:v>
      </x:c>
      <x:c r="L259" s="58" t="str">
        <x:v>Mapped</x:v>
      </x:c>
      <x:c r="M259" s="58" t="str">
        <x:v>Ready</x:v>
      </x:c>
      <x:c r="N259" s="58" t="str">
        <x:v>Not Run</x:v>
      </x:c>
      <x:c r="O259" s="58" t="str">
        <x:v>Blocked</x:v>
      </x:c>
      <x:c r="P259" s="58" t="str">
        <x:v>Android: /Users/mason/.codex/visualizations/2026/09/01/01a05def-1c0d-76d1-abc6-07c63a443582/emulator-runs/initial/android/NUT-106-goal-only-empty-range.png
/Users/mason/.codex/visualizations/2026/09/01/01a05def-1c0d-76d1-abc6-07c63a443582/emulator-runs/initial/android/NUT-013-018-094-105-106-observations.json — The goal-only 1-7 July range rendered without errors: 0 calories, a 15400 target, macros 0/1155g protein, 0/1540g carbs, and 0/513g fat, seven neutral no-log daily rows, no Insights card, and available range controls.</x:v>
      </x:c>
      <x:c r="Q259" s="58" t="str"/>
      <x:c r="R259" s="58" t="str">
        <x:v>Not Needed</x:v>
      </x:c>
      <x:c r="S259" s="58" t="str"/>
      <x:c r="T259" s="58" t="str">
        <x:v>Not Run</x:v>
      </x:c>
      <x:c r="U259" s="58" t="str">
        <x:v>Not Run</x:v>
      </x:c>
      <x:c r="V259" s="58" t="str"/>
      <x:c r="W259" s="58" t="str">
        <x:f>IF(AND(OR(N259="Passed",N259="Failed",N259="Not Applicable"),OR(O259="Passed",O259="Failed",O259="Not Applicable"),OR(N259="Passed",N259="Failed",O259="Passed",O259="Failed"),OR(T259="Passed",T259="Not Applicable"),OR(U259="Passed",U259="Not Applicable"),OR(T259="Passed",U259="Passed"),Y259="Reconciled",Z259="Reconciled",IF(Q259&lt;&gt;"",R259="Fixed",TRUE)),"Verified",IF(OR(T259="Failed",U259="Failed"),"Retest Failed",IF(OR(N259="Failed",O259="Failed",Q259&lt;&gt;""),"Defect Found",IF(AND(OR(N259="Passed",N259="Not Applicable"),OR(O259="Passed",O259="Not Applicable"),OR(N259="Passed",O259="Passed")),"Initial Pass","Not Complete"))))</x:f>
        <x:v>Not Complete</x:v>
      </x:c>
      <x:c r="X259" s="58" t="str">
        <x:v>There is no empty-state CTA to add food or set goals; the screen is numerically valid but offers little recovery guidance.</x:v>
      </x:c>
      <x:c r="Y259" s="58" t="str">
        <x:f>IF(OR(N259="Not Run",O259="Not Run"),"Pending",IF(AND(OR(N259="Not Applicable",COUNTIFS('Test Runs'!$B$5:$B$2004,A259,'Test Runs'!$C$5:$C$2004,"Initial",'Test Runs'!$D$5:$D$2004,"iOS",'Test Runs'!$I$5:$I$2004,N259)&gt;0),OR(O259="Not Applicable",COUNTIFS('Test Runs'!$B$5:$B$2004,A259,'Test Runs'!$C$5:$C$2004,"Initial",'Test Runs'!$D$5:$D$2004,"Android",'Test Runs'!$I$5:$I$2004,O259)&gt;0)),"Reconciled","Mismatch"))</x:f>
        <x:v>Pending</x:v>
      </x:c>
      <x:c r="Z259" s="58" t="str">
        <x:f>IF(OR(T259="Not Run",U259="Not Run"),"Pending",IF(AND(OR(T259="Not Applicable",COUNTIFS('Test Runs'!$B$5:$B$2004,A259,'Test Runs'!$C$5:$C$2004,"Retest",'Test Runs'!$D$5:$D$2004,"iOS",'Test Runs'!$I$5:$I$2004,T259)&gt;0),OR(U259="Not Applicable",COUNTIFS('Test Runs'!$B$5:$B$2004,A259,'Test Runs'!$C$5:$C$2004,"Retest",'Test Runs'!$D$5:$D$2004,"Android",'Test Runs'!$I$5:$I$2004,U259)&gt;0)),"Reconciled","Mismatch"))</x:f>
        <x:v>Pending</x:v>
      </x:c>
    </x:row>
    <x:row r="260" ht="163.1999969482422" hidden="0" customHeight="1">
      <x:c r="A260" s="58" t="str">
        <x:v>NUT-107</x:v>
      </x:c>
      <x:c r="B260" s="58" t="str">
        <x:v>Weekly summary - reactive navigation defect</x:v>
      </x:c>
      <x:c r="C260" s="58" t="str">
        <x:v>Weekly period navigation and resume-sync refresh</x:v>
      </x:c>
      <x:c r="D260" s="58" t="str">
        <x:v>As a user, I want cards and controls to update when I choose a new period so that the roundup matches the URL and daily rows.</x:v>
      </x:c>
      <x:c r="E260" s="58" t="str">
        <x:v>Normal week/range navigation updates the period controls, hero, macro cards, insights and daily rows for the chosen period. A successful resume sync reloads the existing page without remounting it; the hero calories/target and all macro consumed/goal values recalculate from the refreshed roundup props, while unfinished period-control edits are preserved. Null average values fall back to full-period totals and targets, and zero remains zero.</x:v>
      </x:c>
      <x:c r="F260" s="58" t="str">
        <x:v>Both</x:v>
      </x:c>
      <x:c r="G260" s="58" t="str">
        <x:v>Two periods with different calorie and macro values for navigation coverage. For resume coverage, a signed-in QA account, a second authorized client able to change a meal or goal within the displayed period, and working account sync. Keep Weekly open in the emulator while the remote record changes.</x:v>
      </x:c>
      <x:c r="H260" s="58" t="str">
        <x:v>First repeat period A to B navigation and compare all cards, controls and rows. Then keep Weekly open for period A, edit a meal or goal in the same period from the second QA client, and resume the app or restore connectivity. Wait for successful resume sync without navigating away or hard reloading. Compare the hero and all macro values with the refreshed daily rows and a subsequent fresh visit. Check that any unsubmitted range-control edits survive the resume refresh. Include a no-log period to check full-period fallback labels and zero values.</x:v>
      </x:c>
      <x:c r="I260" s="58" t="str">
        <x:v>Repeat the iOS navigation and same-period remote-change/resume-sync checks on Android. Do not substitute ordinary period navigation for the preserve-state resume-refresh case.</x:v>
      </x:c>
      <x:c r="J260" s="58" t="str">
        <x:v>/Users/mason/Sites/Buff/tests/weeklySummary.test.ts verifies same-component roundup prop replacement, refreshed hero and macro cards, unchanged unfinished controls, zero values and full-period fallbacks.</x:v>
      </x:c>
      <x:c r="K260" s="58" t="str">
        <x:v>/Users/mason/Sites/Buff/resources/js/Pages/Weekly.vue:53-109,193-250</x:v>
      </x:c>
      <x:c r="L260" s="58" t="str">
        <x:v>Mapped</x:v>
      </x:c>
      <x:c r="M260" s="58" t="str">
        <x:v>Ready</x:v>
      </x:c>
      <x:c r="N260" s="58" t="str">
        <x:v>Not Run</x:v>
      </x:c>
      <x:c r="O260" s="58" t="str">
        <x:v>Passed</x:v>
      </x:c>
      <x:c r="P260" s="58" t="str">
        <x:v>Android: /Users/mason/.codex/visualizations/2026/09/01/01a05def-1c0d-76d1-abc6-07c63a443582/emulator-runs/initial/android/NUT-107-range-reactive-correct.png — An in-component Week→Range visit from the populated Sep 2 week to start=end Sep 1 updated the URL, mode, date inputs, hero 1399/2491→0/2050, all macro cards 90/1076 etc.→0/154 etc., insights, and daily rows without a hard reload.</x:v>
      </x:c>
      <x:c r="Q260" s="58" t="str">
        <x:v>DEF-081</x:v>
      </x:c>
      <x:c r="R260" s="58" t="str">
        <x:v>In Progress</x:v>
      </x:c>
      <x:c r="S260" s="58" t="str"/>
      <x:c r="T260" s="58" t="str">
        <x:v>Not Run</x:v>
      </x:c>
      <x:c r="U260" s="58" t="str">
        <x:v>Failed</x:v>
      </x:c>
      <x:c r="V260" s="58" t="str">
        <x:v>Android: /Users/mason/.codex/visualizations/2026/09/01/01a05def-1c0d-76d1-abc6-07c63a443582/emulator-runs/retest/android/NUT-107-genuine-resume-sync.json
/Users/mason/.codex/visualizations/2026/09/01/01a05def-1c0d-76d1-abc6-07c63a443582/emulator-runs/retest/android/NUT-107-stale-hero-after-sync.png — After iOS created and synced a 500-kcal meal, Android genuine background/foreground sync updated daily rows and insights to 500 kcal and 20/60/20 macros. The retained Weekly headline and macro cards stayed zero. Pending zero, no sync error.</x:v>
      </x:c>
      <x:c r="W260" s="58" t="str">
        <x:f>IF(AND(OR(N260="Passed",N260="Failed",N260="Not Applicable"),OR(O260="Passed",O260="Failed",O260="Not Applicable"),OR(N260="Passed",N260="Failed",O260="Passed",O260="Failed"),OR(T260="Passed",T260="Not Applicable"),OR(U260="Passed",U260="Not Applicable"),OR(T260="Passed",U260="Passed"),Y260="Reconciled",Z260="Reconciled",IF(Q260&lt;&gt;"",R260="Fixed",TRUE)),"Verified",IF(OR(T260="Failed",U260="Failed"),"Retest Failed",IF(OR(N260="Failed",O260="Failed",Q260&lt;&gt;""),"Defect Found",IF(AND(OR(N260="Passed",N260="Not Applicable"),OR(O260="Passed",O260="Not Applicable"),OR(N260="Passed",O260="Passed")),"Initial Pass","Not Complete"))))</x:f>
        <x:v>Retest Failed</x:v>
      </x:c>
      <x:c r="X260" s="58" t="str">
        <x:v>DEF-081 records stale derived Weekly cards after preserve-state refresh. The source now reacts to replaced roundup props and has a focused regression check; ordinary period navigation is not evidence that the same-period resume-refresh defect is resolved on-device.</x:v>
      </x:c>
      <x:c r="Y260" s="58" t="str">
        <x:f>IF(OR(N260="Not Run",O260="Not Run"),"Pending",IF(AND(OR(N260="Not Applicable",COUNTIFS('Test Runs'!$B$5:$B$2004,A260,'Test Runs'!$C$5:$C$2004,"Initial",'Test Runs'!$D$5:$D$2004,"iOS",'Test Runs'!$I$5:$I$2004,N260)&gt;0),OR(O260="Not Applicable",COUNTIFS('Test Runs'!$B$5:$B$2004,A260,'Test Runs'!$C$5:$C$2004,"Initial",'Test Runs'!$D$5:$D$2004,"Android",'Test Runs'!$I$5:$I$2004,O260)&gt;0)),"Reconciled","Mismatch"))</x:f>
        <x:v>Pending</x:v>
      </x:c>
      <x:c r="Z260" s="58" t="str">
        <x:f>IF(OR(T260="Not Run",U260="Not Run"),"Pending",IF(AND(OR(T260="Not Applicable",COUNTIFS('Test Runs'!$B$5:$B$2004,A260,'Test Runs'!$C$5:$C$2004,"Retest",'Test Runs'!$D$5:$D$2004,"iOS",'Test Runs'!$I$5:$I$2004,T260)&gt;0),OR(U260="Not Applicable",COUNTIFS('Test Runs'!$B$5:$B$2004,A260,'Test Runs'!$C$5:$C$2004,"Retest",'Test Runs'!$D$5:$D$2004,"Android",'Test Runs'!$I$5:$I$2004,U260)&gt;0)),"Reconciled","Mismatch"))</x:f>
        <x:v>Pending</x:v>
      </x:c>
    </x:row>
    <x:row r="261" ht="120" customHeight="1">
      <x:c r="A261" s="58" t="str">
        <x:v>NUT-108</x:v>
      </x:c>
      <x:c r="B261" s="58" t="str">
        <x:v>Nutrition sync - local-first outbox</x:v>
      </x:c>
      <x:c r="C261" s="58" t="str">
        <x:v>Create/edit/delete nutrition data offline, then app sync</x:v>
      </x:c>
      <x:c r="D261" s="58" t="str">
        <x:v>As a signed-in user, I want nutrition changes usable immediately offline and uploaded later so that logging never depends on connectivity.</x:v>
      </x:c>
      <x:c r="E261" s="58" t="str">
        <x:v>Daily goals/logs, meals and recipes are synced models observed into an outbox on local save/delete. Sync requires a token, otherwise returns "Sign in to sync Buff"; local records remain available and queued until a successful authenticated sync.</x:v>
      </x:c>
      <x:c r="F261" s="58" t="str">
        <x:v>Both + remote sync</x:v>
      </x:c>
      <x:c r="G261" s="58" t="str">
        <x:v>Signed-in then offline account; signed-out local account; meals/recipe/goal mutations.</x:v>
      </x:c>
      <x:c r="H261" s="58" t="str">
        <x:v>Reuse NUT-019 end-to-end offline run; additionally verify every nutrition model creates the expected outbox state and the remote device receives it.</x:v>
      </x:c>
      <x:c r="I261" s="58" t="str">
        <x:v>Reuse NUT-019 Android-origin flow and the same outbox assertions.</x:v>
      </x:c>
      <x:c r="J261" s="58" t="str">
        <x:v>/Users/mason/Sites/Buff/tests/Feature/BuffSyncTest.php; /Users/mason/Sites/buff-server/tests/Feature/SyncTest.php</x:v>
      </x:c>
      <x:c r="K261" s="58" t="str">
        <x:v>/Users/mason/Sites/Buff/config/buff.php:23-43; /Users/mason/Sites/Buff/app/Observers/SyncableObserver.php; /Users/mason/Sites/Buff/app/Services/BuffSyncService.php:61-88</x:v>
      </x:c>
      <x:c r="L261" s="58" t="str">
        <x:v>Mapped</x:v>
      </x:c>
      <x:c r="M261" s="58" t="str">
        <x:v>Ready</x:v>
      </x:c>
      <x:c r="N261" s="58" t="str">
        <x:v>Not Run</x:v>
      </x:c>
      <x:c r="O261" s="58" t="str">
        <x:v>Blocked</x:v>
      </x:c>
      <x:c r="P261" s="58" t="str">
        <x:v>Android: /Users/mason/.codex/visualizations/2026/09/01/01a05def-1c0d-76d1-abc6-07c63a443582/emulator-runs/initial/android/NUT-087-offline-delete-confirmation.png — A signed-in meal tombstone was created and applied immediately while offline; the deleted meal stayed gone through reconnect and relaunch while the global offline state communicated connectivity loss.
Android: /Users/mason/.codex/visualizations/2026/09/01/01a05def-1c0d-76d1-abc6-07c63a443582/emulator-runs/initial/android/NUT-042-offline-custom-before-save.png
/Users/mason/.codex/visualizations/2026/09/01/01a05def-1c0d-76d1-abc6-07c63a443582/emulator-runs/initial/android/NUT-087-offline-delete-confirmation.png — Both offline create and delete were immediately usable, persisted across app restart/reconnect, and remained represented locally while network state was globally visible. The signed-in observer/outbox path was exercised from the actual production test account.
Android: /Users/mason/.codex/visualizations/2026/09/01/01a05def-1c0d-76d1-abc6-07c63a443582/emulator-runs/initial/android/NUT-019-offline-custom-added.png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 — The shared NUT-019 run covered immediate offline meal and recipe mutations, durable meal state across force-stop and cold relaunch, and a successful authenticated reconnect flush with last_error null and pending 0.</x:v>
      </x:c>
      <x:c r="Q261" s="58" t="str"/>
      <x:c r="R261" s="58" t="str">
        <x:v>Not Needed</x:v>
      </x:c>
      <x:c r="S261" s="58" t="str"/>
      <x:c r="T261" s="58" t="str">
        <x:v>Not Run</x:v>
      </x:c>
      <x:c r="U261" s="58" t="str">
        <x:v>Not Run</x:v>
      </x:c>
      <x:c r="V261" s="58" t="str"/>
      <x:c r="W261" s="58" t="str">
        <x:f>IF(AND(OR(N261="Passed",N261="Failed",N261="Not Applicable"),OR(O261="Passed",O261="Failed",O261="Not Applicable"),OR(N261="Passed",N261="Failed",O261="Passed",O261="Failed"),OR(T261="Passed",T261="Not Applicable"),OR(U261="Passed",U261="Not Applicable"),OR(T261="Passed",U261="Passed"),Y261="Reconciled",Z261="Reconciled",IF(Q261&lt;&gt;"",R261="Fixed",TRUE)),"Verified",IF(OR(T261="Failed",U261="Failed"),"Retest Failed",IF(OR(N261="Failed",O261="Failed",Q261&lt;&gt;""),"Defect Found",IF(AND(OR(N261="Passed",N261="Not Applicable"),OR(O261="Passed",O261="Not Applicable"),OR(N261="Passed",O261="Passed")),"Initial Pass","Not Complete"))))</x:f>
        <x:v>Not Complete</x:v>
      </x:c>
      <x:c r="X261" s="58" t="str">
        <x:v>Shared emulator scenario with NUT-019. UI sync status may show a general error but individual meals/recipes do not show queued/failed state.</x:v>
      </x:c>
      <x:c r="Y261" s="58" t="str">
        <x:f>IF(OR(N261="Not Run",O261="Not Run"),"Pending",IF(AND(OR(N261="Not Applicable",COUNTIFS('Test Runs'!$B$5:$B$2004,A261,'Test Runs'!$C$5:$C$2004,"Initial",'Test Runs'!$D$5:$D$2004,"iOS",'Test Runs'!$I$5:$I$2004,N261)&gt;0),OR(O261="Not Applicable",COUNTIFS('Test Runs'!$B$5:$B$2004,A261,'Test Runs'!$C$5:$C$2004,"Initial",'Test Runs'!$D$5:$D$2004,"Android",'Test Runs'!$I$5:$I$2004,O261)&gt;0)),"Reconciled","Mismatch"))</x:f>
        <x:v>Pending</x:v>
      </x:c>
      <x:c r="Z261" s="58" t="str">
        <x:f>IF(OR(T261="Not Run",U261="Not Run"),"Pending",IF(AND(OR(T261="Not Applicable",COUNTIFS('Test Runs'!$B$5:$B$2004,A261,'Test Runs'!$C$5:$C$2004,"Retest",'Test Runs'!$D$5:$D$2004,"iOS",'Test Runs'!$I$5:$I$2004,T261)&gt;0),OR(U261="Not Applicable",COUNTIFS('Test Runs'!$B$5:$B$2004,A261,'Test Runs'!$C$5:$C$2004,"Retest",'Test Runs'!$D$5:$D$2004,"Android",'Test Runs'!$I$5:$I$2004,U261)&gt;0)),"Reconciled","Mismatch"))</x:f>
        <x:v>Pending</x:v>
      </x:c>
    </x:row>
    <x:row r="262" ht="120" customHeight="1">
      <x:c r="A262" s="58" t="str">
        <x:v>NUT-109</x:v>
      </x:c>
      <x:c r="B262" s="58" t="str">
        <x:v>Nutrition sync - batching/pagination</x:v>
      </x:c>
      <x:c r="C262" s="58" t="str">
        <x:v>Sync account with more than 500 nutrition changes</x:v>
      </x:c>
      <x:c r="D262" s="58" t="str">
        <x:v>As a signed-in user with many logs, I want sync to complete all changes reliably so that no older nutrition history is omitted.</x:v>
      </x:c>
      <x:c r="E262" s="58" t="str">
        <x:v>Client uploads up to 500 oldest outbox records per request, sends device id/cursor and tombstone or whitelisted payload, applies response transactionally, then performs pull-only requests while has_more is true. Server event cursor is stable and paginates at 500 changes.</x:v>
      </x:c>
      <x:c r="F262" s="58" t="str">
        <x:v>Both + remote sync</x:v>
      </x:c>
      <x:c r="G262" s="58" t="str">
        <x:v>501+ mixed meal/recipe/goal changes and deletes across two devices.</x:v>
      </x:c>
      <x:c r="H262" s="58" t="str">
        <x:v>Seed through normal app actions/fixtures, sync, verify every id/value/deletion arrives and second sync is idempotent.</x:v>
      </x:c>
      <x:c r="I262" s="58" t="str">
        <x:v>Repeat receiving on Android and originating there.</x:v>
      </x:c>
      <x:c r="J262" s="58" t="str">
        <x:v>/Users/mason/Sites/buff-server/tests/Feature/SyncTest.php:9-37,404-426,468-500</x:v>
      </x:c>
      <x:c r="K262" s="58" t="str">
        <x:v>/Users/mason/Sites/Buff/app/Services/BuffSyncService.php:90-148; /Users/mason/Sites/buff-server/app/Http/Controllers/Api/V1/SyncController.php; /Users/mason/Sites/buff-server/tests/Feature/SyncTest.php:9-37,468-500</x:v>
      </x:c>
      <x:c r="L262" s="58" t="str">
        <x:v>Mapped</x:v>
      </x:c>
      <x:c r="M262" s="58" t="str">
        <x:v>Ready</x:v>
      </x:c>
      <x:c r="N262" s="58" t="str">
        <x:v>Not Run</x:v>
      </x:c>
      <x:c r="O262" s="58" t="str">
        <x:v>Blocked</x:v>
      </x:c>
      <x:c r="P262" s="58" t="str">
        <x:v>Android: /Users/mason/.codex/visualizations/2026/09/01/01a05def-1c0d-76d1-abc6-07c63a443582/emulator-runs/initial/android/NUT-019-offline-local-first-observations.json
/Users/mason/.codex/visualizations/2026/09/01/01a05def-1c0d-76d1-abc6-07c63a443582/emulator-runs/initial/android/ACC-054-063-076-HLT-013-047-NUT-109-111-blocker-observations.json — A small mixed nutrition lifecycle synchronized successfully after offline create, edit, repeat, recipe log, deletion, force-stop, and reconnect, ending with pending 0.</x:v>
      </x:c>
      <x:c r="Q262" s="58" t="str"/>
      <x:c r="R262" s="58" t="str">
        <x:v>Not Needed</x:v>
      </x:c>
      <x:c r="S262" s="58" t="str"/>
      <x:c r="T262" s="58" t="str">
        <x:v>Not Run</x:v>
      </x:c>
      <x:c r="U262" s="58" t="str">
        <x:v>Not Run</x:v>
      </x:c>
      <x:c r="V262" s="58" t="str"/>
      <x:c r="W262" s="58" t="str">
        <x:f>IF(AND(OR(N262="Passed",N262="Failed",N262="Not Applicable"),OR(O262="Passed",O262="Failed",O262="Not Applicable"),OR(N262="Passed",N262="Failed",O262="Passed",O262="Failed"),OR(T262="Passed",T262="Not Applicable"),OR(U262="Passed",U262="Not Applicable"),OR(T262="Passed",U262="Passed"),Y262="Reconciled",Z262="Reconciled",IF(Q262&lt;&gt;"",R262="Fixed",TRUE)),"Verified",IF(OR(T262="Failed",U262="Failed"),"Retest Failed",IF(OR(N262="Failed",O262="Failed",Q262&lt;&gt;""),"Defect Found",IF(AND(OR(N262="Passed",N262="Not Applicable"),OR(O262="Passed",O262="Not Applicable"),OR(N262="Passed",O262="Passed")),"Initial Pass","Not Complete"))))</x:f>
        <x:v>Not Complete</x:v>
      </x:c>
      <x:c r="X262" s="58" t="str">
        <x:v>Large first sync has no per-batch progress in nutrition UI; interruption recovery relies on cursor/outbox semantics invisibly.</x:v>
      </x:c>
      <x:c r="Y262" s="58" t="str">
        <x:f>IF(OR(N262="Not Run",O262="Not Run"),"Pending",IF(AND(OR(N262="Not Applicable",COUNTIFS('Test Runs'!$B$5:$B$2004,A262,'Test Runs'!$C$5:$C$2004,"Initial",'Test Runs'!$D$5:$D$2004,"iOS",'Test Runs'!$I$5:$I$2004,N262)&gt;0),OR(O262="Not Applicable",COUNTIFS('Test Runs'!$B$5:$B$2004,A262,'Test Runs'!$C$5:$C$2004,"Initial",'Test Runs'!$D$5:$D$2004,"Android",'Test Runs'!$I$5:$I$2004,O262)&gt;0)),"Reconciled","Mismatch"))</x:f>
        <x:v>Pending</x:v>
      </x:c>
      <x:c r="Z262" s="58" t="str">
        <x:f>IF(OR(T262="Not Run",U262="Not Run"),"Pending",IF(AND(OR(T262="Not Applicable",COUNTIFS('Test Runs'!$B$5:$B$2004,A262,'Test Runs'!$C$5:$C$2004,"Retest",'Test Runs'!$D$5:$D$2004,"iOS",'Test Runs'!$I$5:$I$2004,T262)&gt;0),OR(U262="Not Applicable",COUNTIFS('Test Runs'!$B$5:$B$2004,A262,'Test Runs'!$C$5:$C$2004,"Retest",'Test Runs'!$D$5:$D$2004,"Android",'Test Runs'!$I$5:$I$2004,U262)&gt;0)),"Reconciled","Mismatch"))</x:f>
        <x:v>Pending</x:v>
      </x:c>
    </x:row>
    <x:row r="263" ht="120" customHeight="1">
      <x:c r="A263" s="58" t="str">
        <x:v>NUT-110</x:v>
      </x:c>
      <x:c r="B263" s="58" t="str">
        <x:v>Nutrition sync - conflict/validation</x:v>
      </x:c>
      <x:c r="C263" s="58" t="str">
        <x:v>Concurrent edits/deletes of same meal/recipe/goal on iOS and Android</x:v>
      </x:c>
      <x:c r="D263" s="58" t="str">
        <x:v>As a signed-in user, I want deterministic cross-device conflict handling so that repeated or stale writes do not duplicate data.</x:v>
      </x:c>
      <x:c r="E263" s="58" t="str">
        <x:v>Server validates only defined sync types/fields and bounded RFC3339 timestamps, isolates accounts, rejects stale writes, treats duplicate pushes idempotently, and resolves exact equal timestamps by device id. Client validates response before applying; invalid/failed responses preserve outbox and store last_error.</x:v>
      </x:c>
      <x:c r="F263" s="58" t="str">
        <x:v>Both + remote sync</x:v>
      </x:c>
      <x:c r="G263" s="58" t="str">
        <x:v>Two devices with clock-controlled earlier/later/equal edits and delete-vs-update.</x:v>
      </x:c>
      <x:c r="H263" s="58" t="str">
        <x:v>Edit same record differently offline; sync in both orders; verify deterministic winner/no duplicate and local convergence.</x:v>
      </x:c>
      <x:c r="I263" s="58" t="str">
        <x:v>Repeat reversing device ids/order.</x:v>
      </x:c>
      <x:c r="J263" s="58" t="str">
        <x:v>/Users/mason/Sites/buff-server/tests/Feature/SyncTest.php:38-74,300-466</x:v>
      </x:c>
      <x:c r="K263" s="58" t="str">
        <x:v>/Users/mason/Sites/Buff/app/Services/BuffSyncService.php:90-148; /Users/mason/Sites/buff-server/tests/Feature/SyncTest.php:38-74,300-466</x:v>
      </x:c>
      <x:c r="L263" s="58" t="str">
        <x:v>Mapped</x:v>
      </x:c>
      <x:c r="M263" s="58" t="str">
        <x:v>Ready</x:v>
      </x:c>
      <x:c r="N263" s="58" t="str">
        <x:v>Not Run</x:v>
      </x:c>
      <x:c r="O263" s="58" t="str">
        <x:v>Blocked</x:v>
      </x:c>
      <x:c r="P263" s="58" t="str">
        <x:v>Android: /Users/mason/.codex/visualizations/2026/09/01/01a05def-1c0d-76d1-abc6-07c63a443582/emulator-runs/initial/android/NUT-019-offline-local-first-observations.json
/Users/mason/.codex/visualizations/2026/09/01/01a05def-1c0d-76d1-abc6-07c63a443582/emulator-runs/initial/android/ACC-054-063-076-HLT-013-047-NUT-109-111-blocker-observations.json — Single-device offline nutrition mutations and their tombstones flushed without duplicates in the exercised lifecycle.</x:v>
      </x:c>
      <x:c r="Q263" s="58" t="str"/>
      <x:c r="R263" s="58" t="str">
        <x:v>Not Needed</x:v>
      </x:c>
      <x:c r="S263" s="58" t="str"/>
      <x:c r="T263" s="58" t="str">
        <x:v>Not Run</x:v>
      </x:c>
      <x:c r="U263" s="58" t="str">
        <x:v>Not Run</x:v>
      </x:c>
      <x:c r="V263" s="58" t="str"/>
      <x:c r="W263" s="58" t="str">
        <x:f>IF(AND(OR(N263="Passed",N263="Failed",N263="Not Applicable"),OR(O263="Passed",O263="Failed",O263="Not Applicable"),OR(N263="Passed",N263="Failed",O263="Passed",O263="Failed"),OR(T263="Passed",T263="Not Applicable"),OR(U263="Passed",U263="Not Applicable"),OR(T263="Passed",U263="Passed"),Y263="Reconciled",Z263="Reconciled",IF(Q263&lt;&gt;"",R263="Fixed",TRUE)),"Verified",IF(OR(T263="Failed",U263="Failed"),"Retest Failed",IF(OR(N263="Failed",O263="Failed",Q263&lt;&gt;""),"Defect Found",IF(AND(OR(N263="Passed",N263="Not Applicable"),OR(O263="Passed",O263="Not Applicable"),OR(N263="Passed",O263="Passed")),"Initial Pass","Not Complete"))))</x:f>
        <x:v>Not Complete</x:v>
      </x:c>
      <x:c r="X263" s="58" t="str">
        <x:v>Last-write-wins is silent: a losing nutrition edit/delete is replaced without conflict explanation or recovery UI.</x:v>
      </x:c>
      <x:c r="Y263" s="58" t="str">
        <x:f>IF(OR(N263="Not Run",O263="Not Run"),"Pending",IF(AND(OR(N263="Not Applicable",COUNTIFS('Test Runs'!$B$5:$B$2004,A263,'Test Runs'!$C$5:$C$2004,"Initial",'Test Runs'!$D$5:$D$2004,"iOS",'Test Runs'!$I$5:$I$2004,N263)&gt;0),OR(O263="Not Applicable",COUNTIFS('Test Runs'!$B$5:$B$2004,A263,'Test Runs'!$C$5:$C$2004,"Initial",'Test Runs'!$D$5:$D$2004,"Android",'Test Runs'!$I$5:$I$2004,O263)&gt;0)),"Reconciled","Mismatch"))</x:f>
        <x:v>Pending</x:v>
      </x:c>
      <x:c r="Z263" s="58" t="str">
        <x:f>IF(OR(T263="Not Run",U263="Not Run"),"Pending",IF(AND(OR(T263="Not Applicable",COUNTIFS('Test Runs'!$B$5:$B$2004,A263,'Test Runs'!$C$5:$C$2004,"Retest",'Test Runs'!$D$5:$D$2004,"iOS",'Test Runs'!$I$5:$I$2004,T263)&gt;0),OR(U263="Not Applicable",COUNTIFS('Test Runs'!$B$5:$B$2004,A263,'Test Runs'!$C$5:$C$2004,"Retest",'Test Runs'!$D$5:$D$2004,"Android",'Test Runs'!$I$5:$I$2004,U263)&gt;0)),"Reconciled","Mismatch"))</x:f>
        <x:v>Pending</x:v>
      </x:c>
    </x:row>
    <x:row r="264" ht="120" customHeight="1">
      <x:c r="A264" s="59" t="str">
        <x:v>NUT-111</x:v>
      </x:c>
      <x:c r="B264" s="59" t="str">
        <x:v>Nutrition sync - relation snapshots</x:v>
      </x:c>
      <x:c r="C264" s="59" t="str">
        <x:v>Cross-device sync of barcode, custom, recipe and analyzed meals plus recipe deletion</x:v>
      </x:c>
      <x:c r="D264" s="59" t="str">
        <x:v>As a signed-in user, I want meal and recipe sync contracts to preserve usable history even when linked catalogue/recipe records differ between devices.</x:v>
      </x:c>
      <x:c r="E264" s="59" t="str">
        <x:v>Meal sync carries date/type/source, optional food_product_id/recipe_id, name, portion, calories and macros; recipe sync carries name/yield/item snapshots. Server validates recipe/meal shapes and stores record payloads, while device import must tolerate nullable/deleted relations; remote meal tombstones cascade confirmed analysis/photo cleanup.</x:v>
      </x:c>
      <x:c r="F264" s="59" t="str">
        <x:v>Both + remote sync</x:v>
      </x:c>
      <x:c r="G264" s="59" t="str">
        <x:v>All meal sources, deleted recipe/product relation, confirmed photo meal.</x:v>
      </x:c>
      <x:c r="H264" s="59" t="str">
        <x:v>Sync source snapshots to second device, delete linked recipe/meal, resync, and verify history/macros/cleanup remain coherent.</x:v>
      </x:c>
      <x:c r="I264" s="59" t="str">
        <x:v>Repeat Android as source and receiver.</x:v>
      </x:c>
      <x:c r="J264" s="59" t="str">
        <x:v>/Users/mason/Sites/buff-server/tests/Feature/SyncTest.php:209-267; /Users/mason/Sites/buff-server/tests/Feature/MealAnalysisTest.php:174-212</x:v>
      </x:c>
      <x:c r="K264" s="59" t="str">
        <x:v>/Users/mason/Sites/Buff/config/buff.php:28-43; /Users/mason/Sites/Buff/app/Services/BuffSyncService.php; /Users/mason/Sites/buff-server/app/Services/SyncChangeValidator.php; /Users/mason/Sites/buff-server/tests/Feature/SyncTest.php:209-267; /Users/mason/Sites/buff-server/tests/Feature/MealAnalysisTest.php:174-212</x:v>
      </x:c>
      <x:c r="L264" s="59" t="str">
        <x:v>Mapped</x:v>
      </x:c>
      <x:c r="M264" s="59" t="str">
        <x:v>Ready</x:v>
      </x:c>
      <x:c r="N264" s="59" t="str">
        <x:v>Not Run</x:v>
      </x:c>
      <x:c r="O264" s="59" t="str">
        <x:v>Blocked</x:v>
      </x:c>
      <x:c r="P264" s="59" t="str">
        <x:v>Android: /Users/mason/.codex/visualizations/2026/09/01/01a05def-1c0d-76d1-abc6-07c63a443582/emulator-runs/initial/android/NUT-019-offline-local-first-observations.json
/Users/mason/.codex/visualizations/2026/09/01/01a05def-1c0d-76d1-abc6-07c63a443582/emulator-runs/initial/android/NUT-034-037-barcode-observations.json
/Users/mason/.codex/visualizations/2026/09/01/01a05def-1c0d-76d1-abc6-07c63a443582/emulator-runs/initial/android/ACC-054-063-076-HLT-013-047-NUT-109-111-blocker-observations.json — Android exercised local custom meal, recipe, repeat, delete, barcode lookup/cache, and portion normalization paths, including offline survival and reconnect flush.</x:v>
      </x:c>
      <x:c r="Q264" s="59" t="str"/>
      <x:c r="R264" s="59" t="str">
        <x:v>Not Needed</x:v>
      </x:c>
      <x:c r="S264" s="59" t="str"/>
      <x:c r="T264" s="59" t="str">
        <x:v>Blocked</x:v>
      </x:c>
      <x:c r="U264" s="59" t="str">
        <x:v>Not Run</x:v>
      </x:c>
      <x:c r="V264" s="59" t="str">
        <x:v>iOS: /Users/mason/.codex/visualizations/2026/09/01/01a05def-1c0d-76d1-abc6-07c63a443582/emulator-runs/retest/ios/NUT-039-cross-device-meal-observation.json — After Android Weekly was backgrounded at zero totals, iOS saved exactly one named custom meal. Its local Today snapshot retained date, Lunch type, physical portion and all macros. Normal synchronization completed with last_succeeded_at 2026-09-04T10:00:31.388041Z, pending 0 and no error.</x:v>
      </x:c>
      <x:c r="W264" s="59" t="str">
        <x:f>IF(AND(OR(N264="Passed",N264="Failed",N264="Not Applicable"),OR(O264="Passed",O264="Failed",O264="Not Applicable"),OR(N264="Passed",N264="Failed",O264="Passed",O264="Failed"),OR(T264="Passed",T264="Not Applicable"),OR(U264="Passed",U264="Not Applicable"),OR(T264="Passed",U264="Passed"),Y264="Reconciled",Z264="Reconciled",IF(Q264&lt;&gt;"",R264="Fixed",TRUE)),"Verified",IF(OR(T264="Failed",U264="Failed"),"Retest Failed",IF(OR(N264="Failed",O264="Failed",Q264&lt;&gt;""),"Defect Found",IF(AND(OR(N264="Passed",N264="Not Applicable"),OR(O264="Passed",O264="Not Applicable"),OR(N264="Passed",O264="Passed")),"Initial Pass","Not Complete"))))</x:f>
        <x:v>Not Complete</x:v>
      </x:c>
      <x:c r="X264" s="59" t="str">
        <x:v>food_product_id points to a device-local catalogue record that is not itself in configured sync_models; verify cross-device import nulls/tolerates unavailable product references rather than rejecting the meal.</x:v>
      </x:c>
      <x:c r="Y264" s="59" t="str">
        <x:f>IF(OR(N264="Not Run",O264="Not Run"),"Pending",IF(AND(OR(N264="Not Applicable",COUNTIFS('Test Runs'!$B$5:$B$2004,A264,'Test Runs'!$C$5:$C$2004,"Initial",'Test Runs'!$D$5:$D$2004,"iOS",'Test Runs'!$I$5:$I$2004,N264)&gt;0),OR(O264="Not Applicable",COUNTIFS('Test Runs'!$B$5:$B$2004,A264,'Test Runs'!$C$5:$C$2004,"Initial",'Test Runs'!$D$5:$D$2004,"Android",'Test Runs'!$I$5:$I$2004,O264)&gt;0)),"Reconciled","Mismatch"))</x:f>
        <x:v>Pending</x:v>
      </x:c>
      <x:c r="Z264" s="59" t="str">
        <x:f>IF(OR(T264="Not Run",U264="Not Run"),"Pending",IF(AND(OR(T264="Not Applicable",COUNTIFS('Test Runs'!$B$5:$B$2004,A264,'Test Runs'!$C$5:$C$2004,"Retest",'Test Runs'!$D$5:$D$2004,"iOS",'Test Runs'!$I$5:$I$2004,T264)&gt;0),OR(U264="Not Applicable",COUNTIFS('Test Runs'!$B$5:$B$2004,A264,'Test Runs'!$C$5:$C$2004,"Retest",'Test Runs'!$D$5:$D$2004,"Android",'Test Runs'!$I$5:$I$2004,U264)&gt;0)),"Reconciled","Mismatch"))</x:f>
        <x:v>Pending</x:v>
      </x:c>
    </x:row>
    <x:row r="265" ht="84" hidden="0" customHeight="1">
      <x:c r="A265" s="72" t="str">
        <x:v>ACC-083</x:v>
      </x:c>
      <x:c r="B265" s="72" t="str">
        <x:v>Shared confirmation feedback</x:v>
      </x:c>
      <x:c r="C265" s="72" t="str">
        <x:v>Native confirmation toast and accessible fallback lifecycle</x:v>
      </x:c>
      <x:c r="D265" s="72" t="str">
        <x:v>As a user completing an action, I want its confirmation to appear even when native toast delivery fails, without an obsolete message lingering over later actions.</x:v>
      </x:c>
      <x:c r="E265" s="72" t="str">
        <x:v>AppShell ignores empty messages and receives nonempty messages from initial flash data, successful Inertia visits and buff:toast events. It attempts a native long-duration toast. If importing the bridge or delivering the toast throws, an accessible role=status, aria-live=polite fallback appears for four seconds. A newer fallback replaces the previous message and resets its timer. Shell unmount clears the fallback and timer.</x:v>
      </x:c>
      <x:c r="F265" s="72" t="str">
        <x:v>Both</x:v>
      </x:c>
      <x:c r="G265" s="72" t="str">
        <x:v>Temporary QA account; an ordinary non-destructive confirmation such as Copy MCP address; controlled bridge-import/delivery failure for the fallback branches. Internet loss alone does not imply toast failure.</x:v>
      </x:c>
      <x:c r="H265" s="72" t="str">
        <x:v>Trigger an existing action confirmation and capture native feedback. With a controlled bridge failure, verify visible/live-polite fallback, four-second dismissal, replacement and timer reset by a second message, ignored empty messages, and cleanup when the shell unmounts. Keep clipboard fallback from ACC-068 separate from native-toast fallback.</x:v>
      </x:c>
      <x:c r="I265" s="72" t="str">
        <x:v>Repeat on Android with native toast delivery and the same controlled failure/lifecycle cases. Do not treat the web DOM's lack of a toast as proof that a native toast failed; capture the native screen.</x:v>
      </x:c>
      <x:c r="J265" s="72" t="str">
        <x:v>Existing tests/appShell.test.ts covers portions of shell behavior. Complete native delivery, replacement/timing and failure-path emulator evidence is not yet recorded for this shared story.</x:v>
      </x:c>
      <x:c r="K265" s="72" t="str">
        <x:v>/Users/mason/Sites/Buff/resources/js/Layouts/AppShell.vue:162,170,180,274,298,312,439; /Users/mason/Sites/Buff/tests/appShell.test.ts</x:v>
      </x:c>
      <x:c r="L265" s="72" t="str">
        <x:v>Mapped</x:v>
      </x:c>
      <x:c r="M265" s="72" t="str">
        <x:v>Ready</x:v>
      </x:c>
      <x:c r="N265" s="72" t="str">
        <x:v>Not Run</x:v>
      </x:c>
      <x:c r="O265" s="72" t="str">
        <x:v>Not Run</x:v>
      </x:c>
      <x:c r="P265" s="72" t="str"/>
      <x:c r="Q265" s="72" t="str"/>
      <x:c r="R265" s="72" t="str">
        <x:v>Not Needed</x:v>
      </x:c>
      <x:c r="S265" s="72" t="str"/>
      <x:c r="T265" s="72" t="str">
        <x:v>Not Run</x:v>
      </x:c>
      <x:c r="U265" s="72" t="str">
        <x:v>Not Run</x:v>
      </x:c>
      <x:c r="V265" s="72" t="str"/>
      <x:c r="W265" s="72" t="str">
        <x:f>IF(AND(OR(N265="Passed",N265="Failed",N265="Not Applicable"),OR(O265="Passed",O265="Failed",O265="Not Applicable"),OR(N265="Passed",N265="Failed",O265="Passed",O265="Failed"),OR(T265="Passed",T265="Not Applicable"),OR(U265="Passed",U265="Not Applicable"),OR(T265="Passed",U265="Passed"),Y265="Reconciled",Z265="Reconciled",IF(Q265&lt;&gt;"",R265="Fixed",TRUE)),"Verified",IF(OR(T265="Failed",U265="Failed"),"Retest Failed",IF(OR(N265="Failed",O265="Failed",Q265&lt;&gt;""),"Defect Found",IF(AND(OR(N265="Passed",N265="Not Applicable"),OR(O265="Passed",O265="Not Applicable"),OR(N265="Passed",O265="Passed")),"Initial Pass","Not Complete"))))</x:f>
        <x:v>Not Complete</x:v>
      </x:c>
      <x:c r="X265" s="72" t="str">
        <x:v>Added after a coverage audit distinguished shared toast lifecycle from individual save/copy actions. Related ACC-068 verifies endpoint copy and assistant setup, not every shared toast branch. No prior device run is promoted to a pass for this new story.</x:v>
      </x:c>
      <x:c r="Y265" s="72" t="str">
        <x:f>IF(OR(N265="Not Run",O265="Not Run"),"Pending",IF(AND(OR(N265="Not Applicable",COUNTIFS('Test Runs'!$B$5:$B$2004,A265,'Test Runs'!$C$5:$C$2004,"Initial",'Test Runs'!$D$5:$D$2004,"iOS",'Test Runs'!$I$5:$I$2004,N265)&gt;0),OR(O265="Not Applicable",COUNTIFS('Test Runs'!$B$5:$B$2004,A265,'Test Runs'!$C$5:$C$2004,"Initial",'Test Runs'!$D$5:$D$2004,"Android",'Test Runs'!$I$5:$I$2004,O265)&gt;0)),"Reconciled","Mismatch"))</x:f>
        <x:v>Pending</x:v>
      </x:c>
      <x:c r="Z265" s="72" t="str">
        <x:f>IF(OR(T265="Not Run",U265="Not Run"),"Pending",IF(AND(OR(T265="Not Applicable",COUNTIFS('Test Runs'!$B$5:$B$2004,A265,'Test Runs'!$C$5:$C$2004,"Retest",'Test Runs'!$D$5:$D$2004,"iOS",'Test Runs'!$I$5:$I$2004,T265)&gt;0),OR(U265="Not Applicable",COUNTIFS('Test Runs'!$B$5:$B$2004,A265,'Test Runs'!$C$5:$C$2004,"Retest",'Test Runs'!$D$5:$D$2004,"Android",'Test Runs'!$I$5:$I$2004,U265)&gt;0)),"Reconciled","Mismatch"))</x:f>
        <x:v>Pending</x:v>
      </x:c>
    </x:row>
  </x:sheetData>
  <x:mergeCells>
    <x:mergeCell ref="A1:Z1"/>
    <x:mergeCell ref="A2:Z2"/>
  </x:mergeCells>
  <x:conditionalFormatting sqref="N5:N264">
    <x:cfRule type="containsText" dxfId="7" priority="1" operator="containsText" text="Passed"/>
    <x:cfRule type="containsText" dxfId="8" priority="2" operator="containsText" text="Verified"/>
    <x:cfRule type="containsText" dxfId="9" priority="3" operator="containsText" text="Failed"/>
    <x:cfRule type="containsText" dxfId="10" priority="4" operator="containsText" text="Defect"/>
    <x:cfRule type="containsText" dxfId="11" priority="5" operator="containsText" text="Blocked"/>
    <x:cfRule type="containsText" dxfId="12" priority="6" operator="containsText" text="Not Run"/>
    <x:cfRule type="containsText" dxfId="13" priority="7" operator="containsText" text="Not Applicable"/>
  </x:conditionalFormatting>
  <x:conditionalFormatting sqref="O5:O264">
    <x:cfRule type="containsText" dxfId="14" priority="8" operator="containsText" text="Passed"/>
    <x:cfRule type="containsText" dxfId="15" priority="9" operator="containsText" text="Verified"/>
    <x:cfRule type="containsText" dxfId="16" priority="10" operator="containsText" text="Failed"/>
    <x:cfRule type="containsText" dxfId="17" priority="11" operator="containsText" text="Defect"/>
    <x:cfRule type="containsText" dxfId="18" priority="12" operator="containsText" text="Blocked"/>
    <x:cfRule type="containsText" dxfId="19" priority="13" operator="containsText" text="Not Run"/>
    <x:cfRule type="containsText" dxfId="20" priority="14" operator="containsText" text="Not Applicable"/>
  </x:conditionalFormatting>
  <x:conditionalFormatting sqref="T5:T264">
    <x:cfRule type="containsText" dxfId="21" priority="15" operator="containsText" text="Passed"/>
    <x:cfRule type="containsText" dxfId="22" priority="16" operator="containsText" text="Verified"/>
    <x:cfRule type="containsText" dxfId="23" priority="17" operator="containsText" text="Failed"/>
    <x:cfRule type="containsText" dxfId="24" priority="18" operator="containsText" text="Defect"/>
    <x:cfRule type="containsText" dxfId="25" priority="19" operator="containsText" text="Blocked"/>
    <x:cfRule type="containsText" dxfId="26" priority="20" operator="containsText" text="Not Run"/>
    <x:cfRule type="containsText" dxfId="27" priority="21" operator="containsText" text="Not Applicable"/>
  </x:conditionalFormatting>
  <x:conditionalFormatting sqref="U5:U264">
    <x:cfRule type="containsText" dxfId="28" priority="22" operator="containsText" text="Passed"/>
    <x:cfRule type="containsText" dxfId="29" priority="23" operator="containsText" text="Verified"/>
    <x:cfRule type="containsText" dxfId="30" priority="24" operator="containsText" text="Failed"/>
    <x:cfRule type="containsText" dxfId="31" priority="25" operator="containsText" text="Defect"/>
    <x:cfRule type="containsText" dxfId="32" priority="26" operator="containsText" text="Blocked"/>
    <x:cfRule type="containsText" dxfId="33" priority="27" operator="containsText" text="Not Run"/>
    <x:cfRule type="containsText" dxfId="34" priority="28" operator="containsText" text="Not Applicable"/>
  </x:conditionalFormatting>
  <x:conditionalFormatting sqref="M5:W264">
    <x:cfRule type="containsText" dxfId="35" priority="29" operator="containsText" text="Passed"/>
    <x:cfRule type="containsText" dxfId="36" priority="30" operator="containsText" text="Verified"/>
    <x:cfRule type="containsText" dxfId="37" priority="31" operator="containsText" text="Failed"/>
    <x:cfRule type="containsText" dxfId="38" priority="32" operator="containsText" text="Defect"/>
    <x:cfRule type="containsText" dxfId="39" priority="33" operator="containsText" text="Blocked"/>
    <x:cfRule type="containsText" dxfId="40" priority="34" operator="containsText" text="Not Run"/>
    <x:cfRule type="containsText" dxfId="41" priority="35" operator="containsText" text="Not Applicable"/>
  </x:conditionalFormatting>
  <x:conditionalFormatting sqref="Y5:Z264">
    <x:cfRule type="containsText" dxfId="42" priority="36" operator="containsText" text="Passed"/>
    <x:cfRule type="containsText" dxfId="43" priority="37" operator="containsText" text="Verified"/>
    <x:cfRule type="containsText" dxfId="44" priority="38" operator="containsText" text="Failed"/>
    <x:cfRule type="containsText" dxfId="45" priority="39" operator="containsText" text="Defect"/>
    <x:cfRule type="containsText" dxfId="46" priority="40" operator="containsText" text="Blocked"/>
    <x:cfRule type="containsText" dxfId="47" priority="41" operator="containsText" text="Not Run"/>
    <x:cfRule type="containsText" dxfId="48" priority="42" operator="containsText" text="Not Applicable"/>
  </x:conditionalFormatting>
  <x:conditionalFormatting sqref="M265:W265">
    <x:cfRule type="containsText" dxfId="77" priority="43" operator="containsText" text="Passed"/>
    <x:cfRule type="containsText" dxfId="78" priority="44" operator="containsText" text="Verified"/>
    <x:cfRule type="containsText" dxfId="79" priority="45" operator="containsText" text="Failed"/>
    <x:cfRule type="containsText" dxfId="80" priority="46" operator="containsText" text="Defect"/>
    <x:cfRule type="containsText" dxfId="81" priority="47" operator="containsText" text="Blocked"/>
    <x:cfRule type="containsText" dxfId="82" priority="48" operator="containsText" text="Not Run"/>
    <x:cfRule type="containsText" dxfId="83" priority="49" operator="containsText" text="Not Applicable"/>
  </x:conditionalFormatting>
  <x:conditionalFormatting sqref="Y265:Z265">
    <x:cfRule type="containsText" dxfId="84" priority="50" operator="containsText" text="Passed"/>
    <x:cfRule type="containsText" dxfId="85" priority="51" operator="containsText" text="Verified"/>
    <x:cfRule type="containsText" dxfId="86" priority="52" operator="containsText" text="Failed"/>
    <x:cfRule type="containsText" dxfId="87" priority="53" operator="containsText" text="Defect"/>
    <x:cfRule type="containsText" dxfId="88" priority="54" operator="containsText" text="Blocked"/>
    <x:cfRule type="containsText" dxfId="89" priority="55" operator="containsText" text="Not Run"/>
    <x:cfRule type="containsText" dxfId="90" priority="56" operator="containsText" text="Not Applicable"/>
  </x:conditionalFormatting>
  <x:dataValidations count="14">
    <x:dataValidation type="list" sqref="L5:L264">
      <x:formula1>"Mapped,Needs Review"</x:formula1>
    </x:dataValidation>
    <x:dataValidation type="list" sqref="M5:M264">
      <x:formula1>"Ready,Blocked - Build,Blocked - Account,Blocked - External Service,Blocked - Permission,Not Testable"</x:formula1>
    </x:dataValidation>
    <x:dataValidation type="list" sqref="N5:N264">
      <x:formula1>"Not Run,Passed,Failed,Blocked,Not Applicable"</x:formula1>
    </x:dataValidation>
    <x:dataValidation type="list" sqref="O5:O264">
      <x:formula1>"Not Run,Passed,Failed,Blocked,Not Applicable"</x:formula1>
    </x:dataValidation>
    <x:dataValidation type="list" sqref="T5:T264">
      <x:formula1>"Not Run,Passed,Failed,Blocked,Not Applicable"</x:formula1>
    </x:dataValidation>
    <x:dataValidation type="list" sqref="U5:U264">
      <x:formula1>"Not Run,Passed,Failed,Blocked,Not Applicable"</x:formula1>
    </x:dataValidation>
    <x:dataValidation type="list" sqref="R5:R264">
      <x:formula1>"Not Needed,Open,In Progress,Fixed,Blocked"</x:formula1>
    </x:dataValidation>
    <x:dataValidation type="list" sqref="L265">
      <x:formula1>"Mapped,Needs Review"</x:formula1>
    </x:dataValidation>
    <x:dataValidation type="list" sqref="M265">
      <x:formula1>"Ready,Blocked - Build,Blocked - Account,Blocked - External Service,Blocked - Permission,Not Testable"</x:formula1>
    </x:dataValidation>
    <x:dataValidation type="list" sqref="N265">
      <x:formula1>"Not Run,Passed,Failed,Blocked,Not Applicable"</x:formula1>
    </x:dataValidation>
    <x:dataValidation type="list" sqref="O265">
      <x:formula1>"Not Run,Passed,Failed,Blocked,Not Applicable"</x:formula1>
    </x:dataValidation>
    <x:dataValidation type="list" sqref="T265">
      <x:formula1>"Not Run,Passed,Failed,Blocked,Not Applicable"</x:formula1>
    </x:dataValidation>
    <x:dataValidation type="list" sqref="U265">
      <x:formula1>"Not Run,Passed,Failed,Blocked,Not Applicable"</x:formula1>
    </x:dataValidation>
    <x:dataValidation type="list" sqref="R265">
      <x:formula1>"Not Needed,Open,In Progress,Fixed,Blocked"</x:formula1>
    </x:dataValidation>
  </x:dataValidations>
  <x:pageMargins left="0.7" right="0.7" top="0.75" bottom="0.75" header="0.3" footer="0.3"/>
  <x:tableParts count="1">
    <x:tablePart xmlns:r="http://schemas.openxmlformats.org/officeDocument/2006/relationships" r:id="Rb1f0090cb6014d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4" hidden="0" customWidth="1"/>
    <x:col min="4" max="4" width="14" hidden="0" customWidth="1"/>
    <x:col min="5" max="5" width="12" hidden="0" customWidth="1"/>
    <x:col min="6" max="6" width="42" hidden="0" customWidth="1"/>
    <x:col min="7" max="7" width="55" hidden="0" customWidth="1"/>
    <x:col min="8" max="8" width="50" hidden="0" customWidth="1"/>
    <x:col min="9" max="9" width="50" hidden="0" customWidth="1"/>
    <x:col min="10" max="10" width="42" hidden="0" customWidth="1"/>
    <x:col min="11" max="11" width="50" hidden="0" customWidth="1"/>
    <x:col min="12" max="12" width="16" hidden="0" customWidth="1"/>
    <x:col min="13" max="13" width="50" hidden="0" customWidth="1"/>
    <x:col min="14" max="14" width="50" hidden="0" customWidth="1"/>
    <x:col min="15" max="15" width="16" hidden="0" customWidth="1"/>
    <x:col min="16" max="16" width="16" hidden="0" customWidth="1"/>
    <x:col min="17" max="17" width="42" hidden="0" customWidth="1"/>
    <x:col min="18" max="18" width="40" hidden="0" customWidth="1"/>
  </x:cols>
  <x:sheetData>
    <x:row r="1" ht="32" customHeight="1">
      <x:c r="A1" s="3" t="str">
        <x:v>Defect Ledger</x:v>
      </x:c>
      <x:c r="B1" s="3"/>
      <x:c r="C1" s="3"/>
      <x:c r="D1" s="3"/>
      <x:c r="E1" s="3"/>
      <x:c r="F1" s="3"/>
      <x:c r="G1" s="3"/>
      <x:c r="H1" s="3"/>
      <x:c r="I1" s="3"/>
      <x:c r="J1" s="3"/>
      <x:c r="K1" s="3"/>
      <x:c r="L1" s="3"/>
      <x:c r="M1" s="3"/>
      <x:c r="N1" s="3"/>
      <x:c r="O1" s="3"/>
      <x:c r="P1" s="3"/>
      <x:c r="Q1" s="3"/>
      <x:c r="R1" s="3"/>
    </x:row>
    <x:row r="2" ht="30" customHeight="1">
      <x:c r="A2" s="7" t="str">
        <x:v>Only reproducible emulator failures belong here; link each defect to one or more canonical Story IDs.</x:v>
      </x:c>
      <x:c r="B2" s="7"/>
      <x:c r="C2" s="7"/>
      <x:c r="D2" s="7"/>
      <x:c r="E2" s="7"/>
      <x:c r="F2" s="7"/>
      <x:c r="G2" s="7"/>
      <x:c r="H2" s="7"/>
      <x:c r="I2" s="7"/>
      <x:c r="J2" s="7"/>
      <x:c r="K2" s="7"/>
      <x:c r="L2" s="7"/>
      <x:c r="M2" s="7"/>
      <x:c r="N2" s="7"/>
      <x:c r="O2" s="7"/>
      <x:c r="P2" s="7"/>
      <x:c r="Q2" s="7"/>
      <x:c r="R2" s="7"/>
    </x:row>
    <x:row r="4" ht="34" customHeight="1">
      <x:c r="A4" s="16" t="str">
        <x:v>Defect ID</x:v>
      </x:c>
      <x:c r="B4" s="17" t="str">
        <x:v>Story IDs</x:v>
      </x:c>
      <x:c r="C4" s="17" t="str">
        <x:v>Type</x:v>
      </x:c>
      <x:c r="D4" s="17" t="str">
        <x:v>Platform</x:v>
      </x:c>
      <x:c r="E4" s="17" t="str">
        <x:v>Severity</x:v>
      </x:c>
      <x:c r="F4" s="17" t="str">
        <x:v>Summary</x:v>
      </x:c>
      <x:c r="G4" s="17" t="str">
        <x:v>Reproduction Steps</x:v>
      </x:c>
      <x:c r="H4" s="17" t="str">
        <x:v>Expected</x:v>
      </x:c>
      <x:c r="I4" s="17" t="str">
        <x:v>Actual</x:v>
      </x:c>
      <x:c r="J4" s="17" t="str">
        <x:v>Evidence</x:v>
      </x:c>
      <x:c r="K4" s="17" t="str">
        <x:v>Root Cause</x:v>
      </x:c>
      <x:c r="L4" s="17" t="str">
        <x:v>Status</x:v>
      </x:c>
      <x:c r="M4" s="17" t="str">
        <x:v>Fix Description</x:v>
      </x:c>
      <x:c r="N4" s="17" t="str">
        <x:v>Files / Automated Test</x:v>
      </x:c>
      <x:c r="O4" s="17" t="str">
        <x:v>iOS Retest</x:v>
      </x:c>
      <x:c r="P4" s="17" t="str">
        <x:v>Android Retest</x:v>
      </x:c>
      <x:c r="Q4" s="17" t="str">
        <x:v>Final Resolution</x:v>
      </x:c>
      <x:c r="R4" s="18" t="str">
        <x:v>Notes</x:v>
      </x:c>
    </x:row>
    <x:row r="5" ht="52.79999923706055" hidden="0" customHeight="1">
      <x:c r="A5" t="str">
        <x:v>DEF-001</x:v>
      </x:c>
      <x:c r="B5" t="str">
        <x:v>HLT-051</x:v>
      </x:c>
      <x:c r="C5" t="str">
        <x:v>UX</x:v>
      </x:c>
      <x:c r="D5" t="str">
        <x:v>Both</x:v>
      </x:c>
      <x:c r="E5" t="str">
        <x:v>Medium</x:v>
      </x:c>
      <x:c r="F5" t="str">
        <x:v>Health connect/sync action disappears on an empty Today page</x:v>
      </x:c>
      <x:c r="G5" t="str">
        <x:v>Use an account with a goal and no meals or workouts on the selected current day. Open Today and look for the contextual Apple Health or Health Connect action. Open Settings &gt; Health to confirm the integration remains reachable there.</x:v>
      </x:c>
      <x:c r="H5" t="str">
        <x:v>A new or returning user can connect or sync health from the empty current-day state, before manually logging a meal or workout.</x:v>
      </x:c>
      <x:c r="I5" t="str">
        <x:v>Today renders only Start today, Add food, and Add workout. The health action is nested inside the day-list section and is therefore absent until the day has a meal or workout; Settings &gt; Health remains reachable.</x:v>
      </x:c>
      <x:c r="J5" t="str">
        <x:v>/Users/mason/.codex/visualizations/2026/09/01/01a05def-1c0d-76d1-abc6-07c63a443582/emulator-runs/initial/android/HLT-051-empty-today.png
/Users/mason/.codex/visualizations/2026/09/01/01a05def-1c0d-76d1-abc6-07c63a443582/emulator-runs/initial/android/HLT-051-settings-health.png</x:v>
      </x:c>
      <x:c r="K5" t="str">
        <x:v>/Users/mason/Sites/Buff/resources/js/Pages/Today.vue:683-689 renders the empty state while the contextual health controls at :770-796 are inside showDayLists.</x:v>
      </x:c>
      <x:c r="L5" t="str">
        <x:v>In Progress</x:v>
      </x:c>
      <x:c r="M5" s="70" t="str">
        <x:v>Show the health connect/sync action in the empty Today state as well as populated days.</x:v>
      </x:c>
      <x:c r="N5" s="70" t="str">
        <x:v>Today.vue; appShell/iosUxRegressions frontend checks.</x:v>
      </x:c>
      <x:c r="O5" t="str">
        <x:v>Not Run</x:v>
      </x:c>
      <x:c r="P5" t="str">
        <x:v>Not Run</x:v>
      </x:c>
      <x:c r="Q5" t="str"/>
      <x:c r="R5" s="70" t="str">
        <x:v>Android reproduced with an already-connected Health Connect account (missing Sync action). The disconnected Connect variant and iOS remain to be exercised.</x:v>
      </x:c>
    </x:row>
    <x:row r="6" ht="84" hidden="0" customHeight="1">
      <x:c r="A6" s="72" t="str">
        <x:v>DEF-002</x:v>
      </x:c>
      <x:c r="B6" s="72" t="str">
        <x:v>ACC-082, ACC-001</x:v>
      </x:c>
      <x:c r="C6" s="72" t="str">
        <x:v>Logistical</x:v>
      </x:c>
      <x:c r="D6" s="72" t="str">
        <x:v>Android</x:v>
      </x:c>
      <x:c r="E6" s="72" t="str">
        <x:v>Critical</x:v>
      </x:c>
      <x:c r="F6" s="72" t="str">
        <x:v>Android release bundle packages an unreachable public/hot URL</x:v>
      </x:c>
      <x:c r="G6" s="72" t="str">
        <x:v>Build/package the Android release while the root Vite dev server has public/hot. Inspect laravel_bundle.zip inside the AAB, then resolve the embedded https://Buff.test:5173 host from the Android emulator.</x:v>
      </x:c>
      <x:c r="H6" s="72" t="str">
        <x:v>A release bundle resolves all frontend assets from the packaged public/build manifest.</x:v>
      </x:c>
      <x:c r="I6" s="72" t="str">
        <x:v>The verified AAB embeds public/hot=https://Buff.test:5173. The Android emulator reports Buff.test as an unknown host, so Laravel Vite emits unreachable hot-server asset URLs instead of packaged assets.</x:v>
      </x:c>
      <x:c r="J6" s="72" t="str">
        <x:v>/Users/mason/Sites/Buff/nativephp/android/app/build/outputs/bundle/release/app-release.aab (SHA-256 d0ca19af4fcdac5f414344a226d48c8b59589fb235f88f4f95e3cb9e2411da85)</x:v>
      </x:c>
      <x:c r="K6" s="72" t="str">
        <x:v>The NativePHP bundle copy includes root public/hot when a separate web Vite dev server is active; the release packaging path does not remove the generic hot marker before archiving.</x:v>
      </x:c>
      <x:c r="L6" s="72" t="str">
        <x:v>Fixed</x:v>
      </x:c>
      <x:c r="M6" s="72" t="str">
        <x:v>Exclude public/hot from NativePHP bundles so an unrelated web development server cannot break packaged startup.</x:v>
      </x:c>
      <x:c r="N6" s="72" t="str">
        <x:v>config/nativephp.php; ApplicationConfigurationTest.</x:v>
      </x:c>
      <x:c r="O6" s="72" t="str">
        <x:v>Not Run</x:v>
      </x:c>
      <x:c r="P6" s="72" t="str">
        <x:v>Passed</x:v>
      </x:c>
      <x:c r="Q6" s="72" t="str">
        <x:v>Signed Android build24 AAB excludes public/hot. Matching signed APK has identical contents across all18068 bundled entries and starts to a styled Sign in screen on clean API36.1 emulator5556. Existing QA data preserved; no upload.</x:v>
      </x:c>
      <x:c r="R6" s="72" t="str">
        <x:v>The in-place Android debug build used for initial behavior testing predates this AAB and loads packaged assets correctly.</x:v>
      </x:c>
    </x:row>
    <x:row r="7" ht="84" hidden="0" customHeight="1">
      <x:c r="A7" s="72" t="str">
        <x:v>DEF-003</x:v>
      </x:c>
      <x:c r="B7" s="72" t="str">
        <x:v>ACC-082</x:v>
      </x:c>
      <x:c r="C7" s="72" t="str">
        <x:v>Logistical</x:v>
      </x:c>
      <x:c r="D7" s="72" t="str">
        <x:v>Android</x:v>
      </x:c>
      <x:c r="E7" s="72" t="str">
        <x:v>High</x:v>
      </x:c>
      <x:c r="F7" s="72" t="str">
        <x:v>Android release versionCode is one build behind the canonical app configuration</x:v>
      </x:c>
      <x:c r="G7" s="72" t="str">
        <x:v>Compare NATIVEPHP_APP_VERSION_CODE in the root and bundled environment with versionCode in the generated Android Gradle file and merged AAB manifest.</x:v>
      </x:c>
      <x:c r="H7" s="72" t="str">
        <x:v>The packaged Android artifact uses versionCode 14, matching the canonical NativePHP configuration and bundled metadata.</x:v>
      </x:c>
      <x:c r="I7" s="72" t="str">
        <x:v>Root and bundled environment report build 14, but nativephp/android/app/build.gradle.kts and the verified AAB manifest report versionCode 13.</x:v>
      </x:c>
      <x:c r="J7" s="72" t="str">
        <x:v>/Users/mason/Sites/Buff/.env:86
/Users/mason/Sites/Buff/nativephp/android/app/build.gradle.kts:26
/Users/mason/Sites/Buff/nativephp/android/app/build/outputs/bundle/release/app-release.aab</x:v>
      </x:c>
      <x:c r="K7" s="72" t="str">
        <x:v>Generated Android project metadata was not synchronized to the current NativePHP version code before packaging.</x:v>
      </x:c>
      <x:c r="L7" s="72" t="str">
        <x:v>Fixed</x:v>
      </x:c>
      <x:c r="M7" s="72" t="str">
        <x:v>Synchronize generated Android Gradle, bundle metadata and .version from the freshly bundled environment in the existing post-compile hook; preserve DEBUG and retained-bundle identity.</x:v>
      </x:c>
      <x:c r="N7" s="72" t="str">
        <x:v>NativePluginHooksTest8/8,152 assertions; signed AAB/APK manifest and bundled environment both1.0.0/code24. Full PHP409/409; frontend228/228; TypeScript/Pint/diff pass.</x:v>
      </x:c>
      <x:c r="O7" s="72" t="str">
        <x:v>Not Run</x:v>
      </x:c>
      <x:c r="P7" s="72" t="str">
        <x:v>Passed</x:v>
      </x:c>
      <x:c r="Q7" s="72" t="str">
        <x:v>Package and actual signed native startup agree at1.0.0/code24; signing verification passes. Canonical configuration, generated Gradle, .version and bundle metadata were verified against prepared bundle. No store upload.</x:v>
      </x:c>
      <x:c r="R7" s="72" t="str">
        <x:v>This can produce incorrect Play Store update identity even though compilation and signing succeed.</x:v>
      </x:c>
    </x:row>
    <x:row r="8" ht="39.599998474121094" hidden="0" customHeight="1">
      <x:c r="A8" t="str">
        <x:v>DEF-004</x:v>
      </x:c>
      <x:c r="B8" t="str">
        <x:v>ACC-004</x:v>
      </x:c>
      <x:c r="C8" t="str">
        <x:v>UX</x:v>
      </x:c>
      <x:c r="D8" t="str">
        <x:v>Both</x:v>
      </x:c>
      <x:c r="E8" t="str">
        <x:v>Medium</x:v>
      </x:c>
      <x:c r="F8" t="str">
        <x:v>Registration keyboard Return bypasses disabled step validation</x:v>
      </x:c>
      <x:c r="G8" t="str">
        <x:v>Open Create account. Focus the blank name field and press the keyboard Return/Next action; then continue with email, enter malformed text such as qa, and press Return again.</x:v>
      </x:c>
      <x:c r="H8" t="str">
        <x:v>Keyboard Return follows the same validation as the disabled Next button: blank name and malformed email remain on their current steps.</x:v>
      </x:c>
      <x:c r="I8" t="str">
        <x:v>Return advances from blank name to method and from malformed email to password even though Next is visibly disabled.</x:v>
      </x:c>
      <x:c r="J8" t="str">
        <x:v>/Users/mason/.codex/visualizations/2026/09/01/01a05def-1c0d-76d1-abc6-07c63a443582/emulator-runs/initial/ios/ACC-004-blank-name-disabled.png
/Users/mason/.codex/visualizations/2026/09/01/01a05def-1c0d-76d1-abc6-07c63a443582/emulator-runs/initial/ios/ACC-004-blank-name-bypassed.png
/Users/mason/.codex/visualizations/2026/09/01/01a05def-1c0d-76d1-abc6-07c63a443582/emulator-runs/initial/ios/ACC-004-invalid-email-disabled.png
/Users/mason/.codex/visualizations/2026/09/01/01a05def-1c0d-76d1-abc6-07c63a443582/emulator-runs/initial/ios/ACC-004-invalid-email-bypassed.png</x:v>
      </x:c>
      <x:c r="K8" t="str">
        <x:v>/Users/mason/Sites/Buff/resources/js/Pages/Account.vue binds @keyup.enter directly to nextRegisterStep for name/email/password, while nextRegisterStep does not enforce registrationNextDisabled.</x:v>
      </x:c>
      <x:c r="L8" t="str">
        <x:v>Fixed</x:v>
      </x:c>
      <x:c r="M8" s="70" t="str">
        <x:v>Route keyboard Return and button advancement through the same registration validation guard.</x:v>
      </x:c>
      <x:c r="N8" s="70" t="str">
        <x:v>Account.vue; socialLoginBranding.test.ts.</x:v>
      </x:c>
      <x:c r="O8" t="str">
        <x:v>Passed</x:v>
      </x:c>
      <x:c r="P8" t="str">
        <x:v>Passed</x:v>
      </x:c>
      <x:c r="Q8" t="str">
        <x:v>Shared validation fix verified on iOS and Android build 15. Blank name, malformed email and short password cannot advance using Return.</x:v>
      </x:c>
      <x:c r="R8" s="70" t="str">
        <x:v>iOS evidence: retest/ios/ACC-004-blank-name-return-guard.png and ACC-004-malformed-email-return-guard.png. Android evidence: retest/android/ACC-004-empty-return.json, ACC-004-invalid-email-return.json and ACC-004-short-password-return.json. Valid values advance.</x:v>
      </x:c>
    </x:row>
    <x:row r="9" ht="15" hidden="0" customHeight="1">
      <x:c r="A9" t="str">
        <x:v>DEF-005</x:v>
      </x:c>
      <x:c r="B9" t="str">
        <x:v>ACC-004</x:v>
      </x:c>
      <x:c r="C9" t="str">
        <x:v>UX</x:v>
      </x:c>
      <x:c r="D9" t="str">
        <x:v>Both</x:v>
      </x:c>
      <x:c r="E9" t="str">
        <x:v>Low</x:v>
      </x:c>
      <x:c r="F9" t="str">
        <x:v>Four-step registration progress is calculated as fourteen steps</x:v>
      </x:c>
      <x:c r="G9" t="str">
        <x:v>Open Create account and advance through name, method, email, and password while observing the progress bar.</x:v>
      </x:c>
      <x:c r="H9" t="str">
        <x:v>The four registration steps report approximately 25%, 50%, 75%, and 100% completion.</x:v>
      </x:c>
      <x:c r="I9" t="str">
        <x:v>The bar reports approximately 7%, 14%, 21%, and 29%, so the final password step still appears less than one-third complete.</x:v>
      </x:c>
      <x:c r="J9" t="str">
        <x:v>/Users/mason/.codex/visualizations/2026/09/01/01a05def-1c0d-76d1-abc6-07c63a443582/emulator-runs/initial/ios/ACC-004-blank-name-disabled.png
/Users/mason/.codex/visualizations/2026/09/01/01a05def-1c0d-76d1-abc6-07c63a443582/emulator-runs/initial/ios/ACC-004-password-eight-enabled.png</x:v>
      </x:c>
      <x:c r="K9" t="str">
        <x:v>/Users/mason/Sites/Buff/resources/js/Pages/Account.vue calculates registrationProgress by dividing the current four-step index by 14.</x:v>
      </x:c>
      <x:c r="L9" t="str">
        <x:v>In Progress</x:v>
      </x:c>
      <x:c r="M9" s="70" t="str">
        <x:v>Calculate progress from the actual four registration steps.</x:v>
      </x:c>
      <x:c r="N9" s="70" t="str">
        <x:v>Account.vue; socialLoginBranding.test.ts.</x:v>
      </x:c>
      <x:c r="O9" t="str">
        <x:v>Passed</x:v>
      </x:c>
      <x:c r="P9" t="str">
        <x:v>Not Run</x:v>
      </x:c>
      <x:c r="Q9" t="str"/>
      <x:c r="R9" s="70" t="str">
        <x:v>iOS build15: observed accessible progress25/50/75/100 across all four registration steps. Evidence: retest/ios/ACC-004-final-progress-100.png and ACC-004-method-progress-50.png.</x:v>
      </x:c>
    </x:row>
    <x:row r="10" ht="26.399999618530273" hidden="0" customHeight="1">
      <x:c r="A10" t="str">
        <x:v>DEF-006</x:v>
      </x:c>
      <x:c r="B10" t="str">
        <x:v>NUT-004</x:v>
      </x:c>
      <x:c r="C10" t="str">
        <x:v>UX</x:v>
      </x:c>
      <x:c r="D10" t="str">
        <x:v>Both</x:v>
      </x:c>
      <x:c r="E10" t="str">
        <x:v>Low</x:v>
      </x:c>
      <x:c r="F10" t="str">
        <x:v>Selecting the already-selected date leaves the calendar open</x:v>
      </x:c>
      <x:c r="G10" t="str">
        <x:v>Select a historical Today date. Reopen Select date, navigate to that month, and tap the same selected day.</x:v>
      </x:c>
      <x:c r="H10" t="str">
        <x:v>The picker closes without issuing another visit or changing browser history.</x:v>
      </x:c>
      <x:c r="I10" t="str">
        <x:v>The URL and history remain unchanged, but the calendar popover stays open after the same date is tapped.</x:v>
      </x:c>
      <x:c r="J10" t="str">
        <x:v>/Users/mason/.codex/visualizations/2026/09/01/01a05def-1c0d-76d1-abc6-07c63a443582/emulator-runs/initial/android/NUT-004-calendar-august.png
/Users/mason/.codex/visualizations/2026/09/01/01a05def-1c0d-76d1-abc6-07c63a443582/emulator-runs/initial/android/NUT-004-same-date-stays-open.png</x:v>
      </x:c>
      <x:c r="K10" t="str">
        <x:v>/Users/mason/Sites/Buff/resources/js/Pages/Today.vue closes the popover only from @update:model-value. The calendar emits no model update when the chosen value is unchanged, so selectDate never receives the close callback.</x:v>
      </x:c>
      <x:c r="L10" t="str">
        <x:v>In Progress</x:v>
      </x:c>
      <x:c r="M10" s="70" t="str">
        <x:v>Emit the selected-day click separately so choosing the current value still closes the date popover.</x:v>
      </x:c>
      <x:c r="N10" s="70" t="str">
        <x:v>Calendar.vue, Today.vue; iosUxRegressions.test.ts.</x:v>
      </x:c>
      <x:c r="O10" t="str">
        <x:v>Not Run</x:v>
      </x:c>
      <x:c r="P10" t="str">
        <x:v>Not Run</x:v>
      </x:c>
      <x:c r="Q10" t="str"/>
      <x:c r="R10" s="70" t="str">
        <x:v>Different-date selection still closes and preserves the dated Today route correctly.</x:v>
      </x:c>
    </x:row>
    <x:row r="11" ht="348" hidden="0" customHeight="1">
      <x:c r="A11" s="72" t="str">
        <x:v>DEF-007</x:v>
      </x:c>
      <x:c r="B11" s="72" t="str">
        <x:v>NUT-044</x:v>
      </x:c>
      <x:c r="C11" s="72" t="str">
        <x:v>UX</x:v>
      </x:c>
      <x:c r="D11" s="72" t="str">
        <x:v>Both</x:v>
      </x:c>
      <x:c r="E11" s="72" t="str">
        <x:v>Medium</x:v>
      </x:c>
      <x:c r="F11" s="72" t="str">
        <x:v>Cancelled recipe drafts retain auxiliary search and custom ingredient fields</x:v>
      </x:c>
      <x:c r="G11" s="72" t="str">
        <x:v>Open Recipes &gt; Create your first recipe. Enter a recipe name and servings, a one-character food search, and an unadded custom ingredient. Tap Cancel, then reopen recipe creation.</x:v>
      </x:c>
      <x:c r="H11" s="72" t="str">
        <x:v>Cancel returns to the recipe list without a request, and reopening starts with a blank name, servings 1, no items, blank food search, blank custom ingredient fields, and Save disabled.</x:v>
      </x:c>
      <x:c r="I11" s="72" t="str">
        <x:v>Cancel sent no recipe request and reset the recipe name, servings, and item list, but the food search and unadded custom ingredient values persisted. Add ingredient was immediately enabled on the reopened blank recipe.</x:v>
      </x:c>
      <x:c r="J11" s="72" t="str">
        <x:v>/Users/mason/.codex/visualizations/2026/09/01/01a05def-1c0d-76d1-abc6-07c63a443582/emulator-runs/initial/android/NUT-044-draft-before-cancel.png
/Users/mason/.codex/visualizations/2026/09/01/01a05def-1c0d-76d1-abc6-07c63a443582/emulator-runs/initial/android/NUT-044-cancel-reopen-stale-fields.png</x:v>
      </x:c>
      <x:c r="K11" s="72" t="str">
        <x:v>/Users/mason/Sites/Buff/resources/js/Components/RecipeMode.vue startCreate resets only recipeForm.name, recipeForm.servings, and recipeForm.items; it does not clear searchQuery, searchResults, customItem, or prior form errors.</x:v>
      </x:c>
      <x:c r="L11" s="72" t="str">
        <x:v>Fixed</x:v>
      </x:c>
      <x:c r="M11" s="72" t="str">
        <x:v>Reset abandoned recipe values, custom ingredient fields, search results, debounce work and errors when opening an editor.</x:v>
      </x:c>
      <x:c r="N11" s="72" t="str">
        <x:v>RecipeMode.vue; recipeDesign.test.ts.</x:v>
      </x:c>
      <x:c r="O11" s="72" t="str">
        <x:v>Passed</x:v>
      </x:c>
      <x:c r="P11" s="72" t="str">
        <x:v>Passed</x:v>
      </x:c>
      <x:c r="Q11" s="72" t="str">
        <x:v>Build16 native regression passed on both platforms. Cancel resets the abandoned recipe and auxiliary editor state in create and saved-recipe edit flows. Reopening restores clean defaults or the original saved recipe. Full NUT-044 remains incomplete for delayed search and additional error branches.</x:v>
      </x:c>
      <x:c r="R11" s="72" t="str">
        <x:v>Original failure was observed on Android in the shared Vue component without a POST /recipes request. Build 15 retest now passes that specific stale auxiliary draft case: recipe name, servings 2, an unsaved appended ingredient, search a and an unadded custom name were discarded by Cancel without any recipe request; reopening showed blank names/search, no items, servings 1, quantity 100, all macros 0 and Save disabled. Evidence: retest/android/NUT-044-before-cancel.json, NUT-044-cancel-no-recipe.json, NUT-044-reopen-cleared.json and NUT-044-reopen-cleared.png. NUT-044 remains Blocked for incomplete coverage: pending/debounced or delayed search responses, form/search/custom error reset and existing-recipe variants were not exercised. iOS status is unchanged.
Build16 update 2026-09-04: original stale search/custom-field defect now passes both emulators. New-draft local errors and existing-recipe edit reset also pass. Android additionally reset a server required-name error. iOS intentionally kept the inspector detached during unsaved work. No saved recipe was changed. Evidence is in the recipe-editor build16 Test Runs and their manifests.</x:v>
      </x:c>
    </x:row>
    <x:row r="12" ht="26.399999618530273" hidden="0" customHeight="1">
      <x:c r="A12" t="str">
        <x:v>DEF-008</x:v>
      </x:c>
      <x:c r="B12" t="str">
        <x:v>NUT-017, NUT-091</x:v>
      </x:c>
      <x:c r="C12" t="str">
        <x:v>UX</x:v>
      </x:c>
      <x:c r="D12" t="str">
        <x:v>Both</x:v>
      </x:c>
      <x:c r="E12" t="str">
        <x:v>Low</x:v>
      </x:c>
      <x:c r="F12" t="str">
        <x:v>Malformed Add-date validation silently returns to the referring screen</x:v>
      </x:c>
      <x:c r="G12" t="str">
        <x:v>From a dated Today page, open /add?mode=custom&amp;date=not-a-date.</x:v>
      </x:c>
      <x:c r="H12" t="str">
        <x:v>The request returns safely and visibly explains that the date is invalid.</x:v>
      </x:c>
      <x:c r="I12" t="str">
        <x:v>The app redirected to the referring dated Today page with a date validation error in Inertia page props, but rendered no alert or explanation.</x:v>
      </x:c>
      <x:c r="J12" t="str">
        <x:v>/Users/mason/.codex/visualizations/2026/09/01/01a05def-1c0d-76d1-abc6-07c63a443582/emulator-runs/initial/android/NUT-017-invalid-date-error-hidden.png</x:v>
      </x:c>
      <x:c r="K12" t="str">
        <x:v>The shared validation error reaches the redirected Inertia page, but the Today/Add surfaces do not render the date error or a global validation summary.</x:v>
      </x:c>
      <x:c r="L12" t="str">
        <x:v>In Progress</x:v>
      </x:c>
      <x:c r="M12" s="70" t="str">
        <x:v>Render shared date validation feedback on Today after rejected deep-link navigation.</x:v>
      </x:c>
      <x:c r="N12" s="70" t="str">
        <x:v>Today.vue; iosUxRegressions.test.ts.</x:v>
      </x:c>
      <x:c r="O12" t="str">
        <x:v>Not Run</x:v>
      </x:c>
      <x:c r="P12" t="str">
        <x:v>Not Run</x:v>
      </x:c>
      <x:c r="Q12" t="str"/>
      <x:c r="R12" s="70" t="str">
        <x:v>The invalid date was rejected and no data write occurred; only the user-facing feedback is missing.</x:v>
      </x:c>
    </x:row>
    <x:row r="13" ht="39.599998474121094" hidden="0" customHeight="1">
      <x:c r="A13" t="str">
        <x:v>DEF-009</x:v>
      </x:c>
      <x:c r="B13" t="str">
        <x:v>NUT-017</x:v>
      </x:c>
      <x:c r="C13" t="str">
        <x:v>UX</x:v>
      </x:c>
      <x:c r="D13" t="str">
        <x:v>Both</x:v>
      </x:c>
      <x:c r="E13" t="str">
        <x:v>Medium</x:v>
      </x:c>
      <x:c r="F13" t="str">
        <x:v>Invalid meal deep links produce an invisible form error</x:v>
      </x:c>
      <x:c r="G13" t="str">
        <x:v>Open /add?mode=custom&amp;meal=nonsense&amp;date=2026-09-02. Enter an otherwise-valid custom food and submit it.</x:v>
      </x:c>
      <x:c r="H13" t="str">
        <x:v>The invalid meal context is rejected or normalized before form entry, or the failed submission visibly identifies the invalid meal selection.</x:v>
      </x:c>
      <x:c r="I13" t="str">
        <x:v>The heading displayed Custom food — Nonsense and no meal option was selected. The POST returned meal_type: The selected meal type is invalid, but the form rendered no alert and appeared unchanged.</x:v>
      </x:c>
      <x:c r="J13" t="str">
        <x:v>/Users/mason/.codex/visualizations/2026/09/01/01a05def-1c0d-76d1-abc6-07c63a443582/emulator-runs/initial/android/NUT-017-invalid-meal-before-submit.png
/Users/mason/.codex/visualizations/2026/09/01/01a05def-1c0d-76d1-abc6-07c63a443582/emulator-runs/initial/android/NUT-017-invalid-meal-error-hidden.png</x:v>
      </x:c>
      <x:c r="K13" t="str">
        <x:v>/Users/mason/Sites/Buff/app/Http/Controllers/MealController.php passes arbitrary meal query values into Add.vue. /Users/mason/Sites/Buff/resources/js/Pages/Add.vue renders the value in the heading and submits it, but the custom form has no meal_type error element.</x:v>
      </x:c>
      <x:c r="L13" t="str">
        <x:v>In Progress</x:v>
      </x:c>
      <x:c r="M13" s="70" t="str">
        <x:v>Normalize invalid meal query values at the Add controller boundary and expose form meal errors.</x:v>
      </x:c>
      <x:c r="N13" s="70" t="str">
        <x:v>MealController.php, Add.vue; MealEntryTest.</x:v>
      </x:c>
      <x:c r="O13" t="str">
        <x:v>Not Run</x:v>
      </x:c>
      <x:c r="P13" t="str">
        <x:v>Not Run</x:v>
      </x:c>
      <x:c r="Q13" t="str"/>
      <x:c r="R13" s="70" t="str">
        <x:v>The deliberately invalid POST created no meal. The server validation worked; the user cannot see or resolve it without selecting another meal type.</x:v>
      </x:c>
    </x:row>
    <x:row r="14" ht="26.399999618530273" hidden="0" customHeight="1">
      <x:c r="A14" t="str">
        <x:v>DEF-010</x:v>
      </x:c>
      <x:c r="B14" t="str">
        <x:v>NUT-096</x:v>
      </x:c>
      <x:c r="C14" t="str">
        <x:v>UX</x:v>
      </x:c>
      <x:c r="D14" t="str">
        <x:v>Both</x:v>
      </x:c>
      <x:c r="E14" t="str">
        <x:v>Low</x:v>
      </x:c>
      <x:c r="F14" t="str">
        <x:v>Weekly roundup never shows which row is the selected Today date</x:v>
      </x:c>
      <x:c r="G14" t="str">
        <x:v>Open a dated Today page and follow Weekly roundup. Compare the selectedDate/week is_selected response values with the seven rendered daily rows.</x:v>
      </x:c>
      <x:c r="H14" t="str">
        <x:v>The originating date is visibly distinguished within its Monday-Sunday week.</x:v>
      </x:c>
      <x:c r="I14" t="str">
        <x:v>Exactly one response row was marked is_selected=true for every tested date, but none of the daily rows had selected text, state, or styling.</x:v>
      </x:c>
      <x:c r="J14" t="str">
        <x:v>/Users/mason/.codex/visualizations/2026/09/01/01a05def-1c0d-76d1-abc6-07c63a443582/emulator-runs/initial/android/NUT-096-week-selected-marker-missing.png</x:v>
      </x:c>
      <x:c r="K14" t="str">
        <x:v>/Users/mason/Sites/Buff/resources/js/Pages/Weekly.vue defines WeekDay.is_selected but the daily-row template never reads it.</x:v>
      </x:c>
      <x:c r="L14" t="str">
        <x:v>In Progress</x:v>
      </x:c>
      <x:c r="M14" s="70" t="str">
        <x:v>Render the selected weekly row with a visible state and programmatic current-date semantics.</x:v>
      </x:c>
      <x:c r="N14" s="70" t="str">
        <x:v>Weekly.vue; appShell.test.ts.</x:v>
      </x:c>
      <x:c r="O14" t="str">
        <x:v>Passed</x:v>
      </x:c>
      <x:c r="P14" t="str">
        <x:v>Not Run</x:v>
      </x:c>
      <x:c r="Q14" t="str"/>
      <x:c r="R14" s="70" t="str">
        <x:v>The server selection and Back target were correct; this is a presentation-only gap.
iOS build 15: Weekly opened from Sep 3 renders exactly one aria-current=date row with a visible selected background. Evidence: NUT-096-102-105-daily-rows.png and batch 007 observations. Other NUT096 date branches remain partial.</x:v>
      </x:c>
    </x:row>
    <x:row r="15" ht="255.60000610351562" hidden="0" customHeight="1">
      <x:c r="A15" s="72" t="str">
        <x:v>DEF-011</x:v>
      </x:c>
      <x:c r="B15" s="72" t="str">
        <x:v>NUT-097</x:v>
      </x:c>
      <x:c r="C15" s="72" t="str">
        <x:v>UX</x:v>
      </x:c>
      <x:c r="D15" s="72" t="str">
        <x:v>Both</x:v>
      </x:c>
      <x:c r="E15" s="72" t="str">
        <x:v>Medium</x:v>
      </x:c>
      <x:c r="F15" s="72" t="str">
        <x:v>Weekly calendar cannot reliably navigate beyond the displayed month</x:v>
      </x:c>
      <x:c r="G15" s="72" t="str">
        <x:v>Open a clean /weekly?date=2026-10-15 URL, open Week containing, and press Next. Also open the year selector.</x:v>
      </x:c>
      <x:c r="H15" s="72" t="str">
        <x:v>Next advances the month on every press, and the native month/year selectors open on the displayed October 2026 values.</x:v>
      </x:c>
      <x:c r="I15" s="72" t="str">
        <x:v>Two trusted Next presses left the clean calendar on October 2026. Both native selects had selectedIndex -1, and opening the year selector started at 1926 with no checked current year.</x:v>
      </x:c>
      <x:c r="J15" s="72" t="str">
        <x:v>/Users/mason/.codex/visualizations/2026/09/01/01a05def-1c0d-76d1-abc6-07c63a443582/emulator-runs/initial/android/NUT-097-calendar-next-no-op.png
/Users/mason/.codex/visualizations/2026/09/01/01a05def-1c0d-76d1-abc6-07c63a443582/emulator-runs/initial/android/NUT-097-year-selector-starts-1926.png</x:v>
      </x:c>
      <x:c r="K15" s="72" t="str">
        <x:v>The original navigation placeholder ignored the selected model date; that initialization was already fixed. The remaining native-selector failure has the same displayed-date/state mismatch at another layer: Calendar.vue only set selected attributes on options, while NativeSelect.vue binds its select to useVModel with an empty-string default. Vue 3.5.42 treats v-model as authoritative and clears option selection when that value matches no option, producing selectedIndex -1 while the separate visual overlay still displays October/2026. The iOS build 15 observation confirms Next now advances September to October but both native selectors remain unselected.</x:v>
      </x:c>
      <x:c r="L15" s="72" t="str">
        <x:v>In Progress</x:v>
      </x:c>
      <x:c r="M15" s="72" t="str">
        <x:v>Preserve the existing model-derived navigation placeholder fix. Pass the displayed date.month and date.year to the respective NativeSelect model-value props, and remove redundant per-option selected attributes. Existing change handlers still update the calendar placeholder; arrows, date selection, year range, native-select internals and Weekly layout are unchanged. Today and Weekly are the two current shared-calendar callers and both use month-and-year layout.</x:v>
      </x:c>
      <x:c r="N15" s="72" t="str">
        <x:v>/Users/mason/Sites/Buff/resources/js/Components/ui/calendar/Calendar.vue:55 and :78; /Users/mason/Sites/Buff/tests/calendar.test.ts:30 and :41. Two new runnable regressions execute the actual NativeSelect useVModel declaration with installed VueUse 14.4.0 and Vue 3.5.42 vModelSelect selection logic against controlled option models. Both failed with selectedIndex -1 before the change; they now select month/year indexes 8/100 on September 2026 and 9/101 after navigation to October 2027. Focused calendar and iOS UX tests 20/20 passed; full frontend 201/201 passed; full PHP 319/319 with 2480 assertions passed; TypeScript and global git diff --check passed. Reka UI 2.10.4 is installed. These source tests do not exercise a native picker. No PHP files, native bundles or Weekly.vue were changed by this fix. The source fix is not yet installed or emulator-retested. Framework contract: https://vuejs.org/guide/essentials/forms.html#select explains that v-model ignores selected attributes and unmatched values produce an unselected native select.</x:v>
      </x:c>
      <x:c r="O15" s="72" t="str">
        <x:v>Failed</x:v>
      </x:c>
      <x:c r="P15" s="72" t="str">
        <x:v>Not Run</x:v>
      </x:c>
      <x:c r="Q15" s="72" t="str"/>
      <x:c r="R15" s="72" t="str">
        <x:v>Selecting 1 September from the initially visible August grid still navigated correctly; Week/Range aria-pressed state and range prefill also worked.
Next month now works, but native selects still have an empty value and selectedIndex -1 despite displaying October 2026 and having selected attributes. The year menu opens at 1926. Evidence: NUT-097-native-select-state.json and NUT-097-year-picker-starts1926.png. The new source follow-up is not in installed build 15.</x:v>
      </x:c>
    </x:row>
    <x:row r="16" ht="39.599998474121094" hidden="0" customHeight="1">
      <x:c r="A16" t="str">
        <x:v>DEF-012</x:v>
      </x:c>
      <x:c r="B16" t="str">
        <x:v>NUT-098, NUT-100</x:v>
      </x:c>
      <x:c r="C16" t="str">
        <x:v>UX</x:v>
      </x:c>
      <x:c r="D16" t="str">
        <x:v>Both</x:v>
      </x:c>
      <x:c r="E16" t="str">
        <x:v>Medium</x:v>
      </x:c>
      <x:c r="F16" t="str">
        <x:v>No-log weekly ranges label the full-period calorie target as a daily target</x:v>
      </x:c>
      <x:c r="G16" t="str">
        <x:v>Open a no-log 7-day or 90-day Weekly range with a daily calorie goal.</x:v>
      </x:c>
      <x:c r="H16" t="str">
        <x:v>A period-summed target is labelled as a period target, or the card shows the actual daily goal when saying daily target.</x:v>
      </x:c>
      <x:c r="I16" t="str">
        <x:v>The 7-day page displayed 14350 kcal daily target and the 90-day page displayed 184500 kcal daily target, multiplying the actual 2050 daily goal by the range length.</x:v>
      </x:c>
      <x:c r="J16" t="str">
        <x:v>/Users/mason/.codex/visualizations/2026/09/01/01a05def-1c0d-76d1-abc6-07c63a443582/emulator-runs/initial/android/NUT-098-90-day-range.png</x:v>
      </x:c>
      <x:c r="K16" t="str">
        <x:v>/Users/mason/Sites/Buff/resources/js/Pages/Weekly.vue falls back from average_target to the period-summed effective_target when no days are logged, but always appends the literal kcal daily target label.</x:v>
      </x:c>
      <x:c r="L16" t="str">
        <x:v>In Progress</x:v>
      </x:c>
      <x:c r="M16" s="70" t="str">
        <x:v>Label a no-log aggregate as the full-period target, not a daily target.</x:v>
      </x:c>
      <x:c r="N16" s="70" t="str">
        <x:v>Weekly.vue; appShell.test.ts, WeeklySummaryTest.</x:v>
      </x:c>
      <x:c r="O16" t="str">
        <x:v>Passed</x:v>
      </x:c>
      <x:c r="P16" t="str">
        <x:v>Not Run</x:v>
      </x:c>
      <x:c r="Q16" t="str"/>
      <x:c r="R16" s="70" t="str">
        <x:v>The underlying range totals and goal multiplication were correct; only the calorie target label is misleading.
iOS build 15: The Oct 12–18 week with no logs labels 14700 kcal as the period target. An empty one-day period labels 2100 as the period target. The populated week uses a 2100 daily target. Evidence: NUT-100-empty-period-target.png and batch 007 observations.</x:v>
      </x:c>
    </x:row>
    <x:row r="17" ht="255.60000610351562" hidden="0" customHeight="1">
      <x:c r="A17" s="72" t="str">
        <x:v>DEF-013</x:v>
      </x:c>
      <x:c r="B17" s="72" t="str">
        <x:v>NUT-099</x:v>
      </x:c>
      <x:c r="C17" s="72" t="str">
        <x:v>UX</x:v>
      </x:c>
      <x:c r="D17" s="72" t="str">
        <x:v>Both</x:v>
      </x:c>
      <x:c r="E17" s="72" t="str">
        <x:v>Medium</x:v>
      </x:c>
      <x:c r="F17" s="72" t="str">
        <x:v>Weekly range validation failures are invisible and discard the rejected values</x:v>
      </x:c>
      <x:c r="G17" s="72" t="str">
        <x:v>In Range mode submit a missing start, missing end, reversed dates, an invalid date URL, or a 91-inclusive-day range.</x:v>
      </x:c>
      <x:c r="H17" s="72" t="str">
        <x:v>The relevant control retains the rejected value and visibly explains how to correct it.</x:v>
      </x:c>
      <x:c r="I17" s="72" t="str">
        <x:v>Laravel returned the correct start_date/end_date errors for all five cases, but Weekly rendered no role=alert or error text. The controls reset to the last valid 2027-01-01 through 2027-03-31 range.</x:v>
      </x:c>
      <x:c r="J17" s="72" t="str">
        <x:v>/Users/mason/.codex/visualizations/2026/09/01/01a05def-1c0d-76d1-abc6-07c63a443582/emulator-runs/initial/android/NUT-099-91-day-error-hidden.png</x:v>
      </x:c>
      <x:c r="K17" s="72" t="str">
        <x:v>Initial implementation neither rendered range validation messages nor restored rejected controls. The first source repair added both, but Weekly still initialized selectedMode from the last successful query's mode. A failed custom-range GET redirects to that prior query; if it was Week, the newly restored dates and field alerts were inside the hidden Range branch. Null-coalescing rejected dates also replaced an intentionally empty date with the prior valid date.</x:v>
      </x:c>
      <x:c r="L17" s="72" t="str">
        <x:v>In Progress</x:v>
      </x:c>
      <x:c r="M17" s="72" t="str">
        <x:v>Initialize Range mode when the returned page contains a start_date or end_date validation error. In that state restore both attempted controls, preserving a missing date as an empty input. Keep the previous valid summary, ordinary successful Week/Range initialization, existing resume-sync reactivity and daily-row wrapping unchanged. No controller modification was required because it already supplies rejectedControls and Laravel validation feedback. This is a source follow-up only; preserve the current build-15 iOS Failed retest and all other runtime result cells until fresh-device verification.</x:v>
      </x:c>
      <x:c r="N17" s="72" t="str">
        <x:v>/Users/mason/Sites/Buff/resources/js/Pages/Weekly.vue:70; /Users/mason/Sites/Buff/tests/weeklySummary.test.ts:8; /Users/mason/Sites/Buff/tests/Feature/WeeklySummaryTest.php:157. Rendered Vue form regressions cover reversed dates, more than 90 days, missing start, retained attempted values (including a blank start), visible role=alert feedback and unchanged successful mode. All three negative rendered-form cases failed before the fix. Pest follows rejected range requests, asserts exact validation messages and preserved attempted values/last-valid summary. Weekly+appearance 11/11 passed; WeeklySummaryTest 11/11 passed (204 assertions); full frontend suite 205/205 passed; pnpm run type-check, vendor/bin/pint --dirty --format agent and scoped git diff --check passed. Runtime reproduction supplied by iOS agent: /Users/mason/.codex/visualizations/2026/09/01/01a05def-1c0d-76d1-abc6-07c63a443582/emulator-runs/retest/ios/NUT-099-reversed-range-error-hidden-week-mode.png. No native build, emulator interaction, new test-run row or workbook mutation in this repair.</x:v>
      </x:c>
      <x:c r="O17" s="72" t="str">
        <x:v>Failed</x:v>
      </x:c>
      <x:c r="P17" s="72" t="str">
        <x:v>Not Run</x:v>
      </x:c>
      <x:c r="Q17" s="72" t="str"/>
      <x:c r="R17" s="72" t="str">
        <x:v>No invalid range replaced the last valid 90-day result.
Switching from Week to Range and submitting reversed dates returns to Week and hides the error. Rejected controls are retained, and the alert only appears after reopening Range. A 91-day error submitted from an existing Range view correctly remains visible. Evidence: NUT-099-reversed-range-error-hidden-week-mode.png. The source follow-up is newer than build 15.</x:v>
      </x:c>
    </x:row>
    <x:row r="18" ht="295.20001220703125" hidden="0" customHeight="1">
      <x:c r="A18" s="72" t="str">
        <x:v>DEF-014</x:v>
      </x:c>
      <x:c r="B18" s="72" t="str">
        <x:v>NUT-020</x:v>
      </x:c>
      <x:c r="C18" s="72" t="str">
        <x:v>UX</x:v>
      </x:c>
      <x:c r="D18" s="72" t="str">
        <x:v>Both</x:v>
      </x:c>
      <x:c r="E18" s="72" t="str">
        <x:v>Low</x:v>
      </x:c>
      <x:c r="F18" s="72" t="str">
        <x:v>A one-character food query leaves the search page blank</x:v>
      </x:c>
      <x:c r="G18" s="72" t="str">
        <x:v>Open Add &gt; Search and type exactly one non-whitespace character with no keyboard composition active.</x:v>
      </x:c>
      <x:c r="H18" s="72" t="str">
        <x:v>The page explains that at least two characters are required, or keeps useful recent-food content visible while no request is sent.</x:v>
      </x:c>
      <x:c r="I18" s="72" t="str">
        <x:v>No request was sent, as intended, but the history and no-results regions both disappeared and the content area became blank until a second character was entered or the query was cleared.</x:v>
      </x:c>
      <x:c r="J18" s="72" t="str">
        <x:v>/Users/mason/.codex/visualizations/2026/09/01/01a05def-1c0d-76d1-abc6-07c63a443582/emulator-runs/initial/android/NUT-020-one-character-blank.png</x:v>
      </x:c>
      <x:c r="K18" s="72" t="str">
        <x:v>/Users/mason/Sites/Buff/resources/js/Pages/Add.vue hides previous entries whenever searchQuery is non-empty, while results/status content is only rendered after a 2+ character search.</x:v>
      </x:c>
      <x:c r="L18" s="72" t="str">
        <x:v>Fixed</x:v>
      </x:c>
      <x:c r="M18" s="72" t="str">
        <x:v>Show a two-character search hint for a one-character query.</x:v>
      </x:c>
      <x:c r="N18" s="72" t="str">
        <x:v>Add.vue; foodRequests.test.ts, recipeDesign.test.ts.
/Users/mason/Sites/Buff/tests/foodRequests.test.ts — actual-source timing/race and compiled hint tests;44 focused tests passed.</x:v>
      </x:c>
      <x:c r="O18" s="72" t="str">
        <x:v>Passed</x:v>
      </x:c>
      <x:c r="P18" s="72" t="str">
        <x:v>Passed</x:v>
      </x:c>
      <x:c r="Q18" s="72" t="str">
        <x:v>Short-query hint is visible on both native platforms, and compiled-template regression verifies only one trimmed character shows the guidance.</x:v>
      </x:c>
      <x:c r="R18" s="72" t="str">
        <x:v>Android keyboard testing confirmed zero requests for one character and one request after the second character.
Build22 native hint and clear-to-history pass both platforms. Narrow source regression coverage review remains before closure.
RUN-0435–0438:44 focused tests and TypeScript pass. New tests execute actual queue/retry/search functions with real Vue refs and controlled timers/responses: one request250ms after final trimmed input, old success ignored before next debounce, late failure ignored after clearing, one-character no request, one Retry request, and recipe previous_meal filtering. Compiled short-query hint tested for empty/space/one/two chars. Native23 All foods clear-during-Searching passes both; Android traces prove late completion. Recipe pending Cancel passes Android; iOS clear passes but pending Cancel timing remains unproven. DEF014/015/031 are Fixed at narrow defect scope; full stories stay Blocked for stated native-only matrix gaps.</x:v>
      </x:c>
    </x:row>
    <x:row r="19" ht="268.79998779296875" hidden="0" customHeight="1">
      <x:c r="A19" s="72" t="str">
        <x:v>DEF-015</x:v>
      </x:c>
      <x:c r="B19" s="72" t="str">
        <x:v>NUT-020</x:v>
      </x:c>
      <x:c r="C19" s="72" t="str">
        <x:v>UX</x:v>
      </x:c>
      <x:c r="D19" s="72" t="str">
        <x:v>Both</x:v>
      </x:c>
      <x:c r="E19" s="72" t="str">
        <x:v>Medium</x:v>
      </x:c>
      <x:c r="F19" s="72" t="str">
        <x:v>An older food-search response can replace a newer query during the debounce window</x:v>
      </x:c>
      <x:c r="G19" s="72" t="str">
        <x:v>Start a food search whose response is still pending, then change or clear the query during the 250 ms debounce before the next request starts.</x:v>
      </x:c>
      <x:c r="H19" s="72" t="str">
        <x:v>Changing the query immediately invalidates every response for the prior query.</x:v>
      </x:c>
      <x:c r="I19" s="72" t="str">
        <x:v>The request generation is incremented only when the debounced request begins, so the earlier response is still considered current during that 250 ms window and can temporarily replace results for the new or cleared query.</x:v>
      </x:c>
      <x:c r="J19" s="72" t="str">
        <x:v>/Users/mason/Sites/Buff/resources/js/Pages/Add.vue:444-480</x:v>
      </x:c>
      <x:c r="K19" s="72" t="str">
        <x:v>/Users/mason/Sites/Buff/resources/js/Pages/Add.vue increments foodSearchRequestId inside the delayed search function instead of at input-change time.</x:v>
      </x:c>
      <x:c r="L19" s="72" t="str">
        <x:v>Fixed</x:v>
      </x:c>
      <x:c r="M19" s="72" t="str">
        <x:v>Invalidate pending search responses immediately when the query changes, before the debounce fires.</x:v>
      </x:c>
      <x:c r="N19" s="72" t="str">
        <x:v>Add.vue, RecipeMode.vue; foodRequests.test.ts.
/Users/mason/Sites/Buff/tests/foodRequests.test.ts — actual-source timing/race and compiled hint tests;44 focused tests passed.</x:v>
      </x:c>
      <x:c r="O19" s="72" t="str">
        <x:v>Passed</x:v>
      </x:c>
      <x:c r="P19" s="72" t="str">
        <x:v>Passed</x:v>
      </x:c>
      <x:c r="Q19" s="72" t="str">
        <x:v>Both actual search functions invalidate old responses immediately on query change. Deterministic tests resolve old success before the next debounce and reject late failure after clearing; native All foods clears active searches on both platforms and Android traces prove a late successful completion cannot restore cleared results.</x:v>
      </x:c>
      <x:c r="R19" s="72" t="str">
        <x:v>Confirmed from the live code path after real threshold/clear testing; deterministic network-race injection was not reliable enough to claim an emulator reproduction.
RUN-0435–0438:44 focused tests and TypeScript pass. New tests execute actual queue/retry/search functions with real Vue refs and controlled timers/responses: one request250ms after final trimmed input, old success ignored before next debounce, late failure ignored after clearing, one-character no request, one Retry request, and recipe previous_meal filtering. Compiled short-query hint tested for empty/space/one/two chars. Native23 All foods clear-during-Searching passes both; Android traces prove late completion. Recipe pending Cancel passes Android; iOS clear passes but pending Cancel timing remains unproven. DEF014/015/031 are Fixed at narrow defect scope; full stories stay Blocked for stated native-only matrix gaps.</x:v>
      </x:c>
    </x:row>
    <x:row r="20" ht="255.60000610351562" hidden="0" customHeight="1">
      <x:c r="A20" s="72" t="str">
        <x:v>DEF-016</x:v>
      </x:c>
      <x:c r="B20" s="72" t="str">
        <x:v>HLT-002, HLT-005</x:v>
      </x:c>
      <x:c r="C20" s="72" t="str">
        <x:v>UX</x:v>
      </x:c>
      <x:c r="D20" s="72" t="str">
        <x:v>Both</x:v>
      </x:c>
      <x:c r="E20" s="72" t="str">
        <x:v>Low</x:v>
      </x:c>
      <x:c r="F20" s="72" t="str">
        <x:v>Progress charts can repeat calendar-date labels on short or cross-year windows</x:v>
      </x:c>
      <x:c r="G20" s="72" t="str">
        <x:v>Initial case: keep one recorded progress metric and choose All. Follow-up Android build15 case: retain 75kg on 4 September 2026, add 76kg with20% body fat on 3 September, and select All. Let rendering settle, then inspect the weight and body-fat x-axis labels. The one-day case now shows one date, but the two-day case still repeats3 Sept.</x:v>
      </x:c>
      <x:c r="H20" s="72" t="str">
        <x:v>A one-day chart shows one date tick. A two-day chart shows its two distinct calendar dates, and a three-day chart shows all three. Longer windows show at most four local-midnight date ticks, including the period endpoints. Daylight-saving transitions must not omit or repeat a calendar day. Axes spanning multiple calendar years include the year in each label so distinct dates cannot collapse to the same day/month text. Within-year labels remain compact.</x:v>
      </x:c>
      <x:c r="I20" s="72" t="str">
        <x:v>Original Android evidence showed repeated30 Aug/31 Aug around one point. The first count-limiting fix corrected the single-day case but Android build15 still rendered3 Sept twice for the3–4 September window on both charts, despite raw weight endpoints76→75 and an accurate Started at76kg, now75kg summary. This is the same short-domain tick-generation defect, not a new ID.</x:v>
      </x:c>
      <x:c r="J20" s="72" t="str">
        <x:v>/Users/mason/.codex/visualizations/2026/09/01/01a05def-1c0d-76d1-abc6-07c63a443582/emulator-runs/initial/android/HLT-002-all-time-single-metric.png
/Users/mason/.codex/visualizations/2026/09/01/01a05def-1c0d-76d1-abc6-07c63a443582/emulator-runs/retest/android/HLT-005-single-day-all.json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/Users/mason/.codex/visualizations/2026/09/01/01a05def-1c0d-76d1-abc6-07c63a443582/emulator-runs/retest/android/HLT-005-two-day-axis.png
/Users/mason/.codex/visualizations/2026/09/01/01a05def-1c0d-76d1-abc6-07c63a443582/emulator-runs/retest/ios/HLT-005-all-two-day-duplicate-ticks.png
/Users/mason/.codex/visualizations/2026/09/01/01a05def-1c0d-76d1-abc6-07c63a443582/emulator-runs/retest/ios/HLT-009-011-progress-observations.json</x:v>
      </x:c>
      <x:c r="K20" s="72" t="str">
        <x:v>Unovis1.6.7 uses a numeric linear x-scale by default; numTicks is only a hint and does not constrain ticks to calendar dates. With the3–4 September local-midnight domain and count2, the installed scale produced timestamps2026-09-03T01:46:40Z and2026-09-03T15:40:00Z, both formatted3 Sept. The old test asserted only the requested count and could not detect the actual duplicate labels. Elapsed24-hour division also undercounted days across a23-hour daylight-saving transition. Source review also found that the compact day/month formatter made the distinct 1 January ticks from 2021 through 2024 look identical; explicit timestamp positions alone do not disambiguate years.</x:v>
      </x:c>
      <x:c r="L20" s="72" t="str">
        <x:v>In Progress</x:v>
      </x:c>
      <x:c r="M20" s="72" t="str">
        <x:v>Replace chartTickCount with chartTickValues and pass explicit tick-values to the x-axis. Derive the calendar-day span from local date parts, select up to four evenly spaced calendar days, and construct each tick at local midnight. This keeps the existing point data, chart domain, series, summaries and smoothed headline unchanged. Add an axis-specific formatter that reuses the existing compact formatter within one year and includes day, month and year whenever the x-domain crosses a year boundary. The shared dateFormat module and tooltip formatting remain unchanged.</x:v>
      </x:c>
      <x:c r="N20" s="72" t="str">
        <x:v>/Users/mason/Sites/Buff/resources/js/progressChart.ts:43 and :59; /Users/mason/Sites/Buff/resources/js/Components/ProgressTrendChart.vue:47 and :129; /Users/mason/Sites/Buff/tests/progressChart.test.ts:36, :44, :68 and :78. Chart tests 21/21 passed; combined chart, meal-edit, iOS UX regression and photo checks 48/48 passed; full frontend suite 197/197 passed; pnpm run type-check and git diff --check passed. Formatted-label tests cover 1 January 2021, 2022, 2023 and 2024, a Dec 31 to Jan 1 boundary, compact within-year labels, one/two/three-day windows, daylight saving and explicit-axis wiring.</x:v>
      </x:c>
      <x:c r="O20" s="72" t="str">
        <x:v>Failed</x:v>
      </x:c>
      <x:c r="P20" s="72" t="str">
        <x:v>Failed</x:v>
      </x:c>
      <x:c r="Q20" s="72" t="str"/>
      <x:c r="R20" s="72" t="str">
        <x:v>The original range controls and invalid-range fallback behaved correctly. Both build 15 emulators reproduced duplicate labels on the two-day All window after the first count-only fix. Explicit calendar ticks and cross-year labels are now covered by source tests but await native builds and device retests. Multi-year ambiguity was reproduced in formatted-label tests, not on an emulator. The 75.8 kg / -0.3 kg headline is the intended EMA for raw 76 → 75 kg, not stale data. Library contract: https://unovis.dev/docs/auxiliary/Axis/ (numTicks is a hint; tickValues sets explicit positions).</x:v>
      </x:c>
    </x:row>
    <x:row r="21" ht="132" hidden="0" customHeight="1">
      <x:c r="A21" s="70" t="str">
        <x:v>DEF-017</x:v>
      </x:c>
      <x:c r="B21" s="70" t="str">
        <x:v>ACC-032</x:v>
      </x:c>
      <x:c r="C21" s="70" t="str">
        <x:v>UX</x:v>
      </x:c>
      <x:c r="D21" s="70" t="str">
        <x:v>Both</x:v>
      </x:c>
      <x:c r="E21" s="70" t="str">
        <x:v>Medium</x:v>
      </x:c>
      <x:c r="F21" s="70" t="str">
        <x:v>Settings header Back pushes another Settings history entry</x:v>
      </x:c>
      <x:c r="G21" s="70" t="str">
        <x:v>Open Settings, enter Appearance, use the header Back to settings link, then press browser or Android system Back.</x:v>
      </x:c>
      <x:c r="H21" s="70" t="str">
        <x:v>Header Back returns to Settings without leaving the subpage behind as the next backward history entry.</x:v>
      </x:c>
      <x:c r="I21" s="70" t="str">
        <x:v>Header Back returned to Settings, but the next Android Back immediately reopened Appearance.</x:v>
      </x:c>
      <x:c r="J21" s="70" t="str">
        <x:v>/Users/mason/.codex/visualizations/2026/09/01/01a05def-1c0d-76d1-abc6-07c63a443582/emulator-runs/initial/android/ACC-032-header-back-reopens-subpage.png</x:v>
      </x:c>
      <x:c r="K21" s="70" t="str">
        <x:v>/Users/mason/Sites/Buff/resources/js/Components/SettingsPageHeader.vue uses a normal Inertia Link to /settings instead of replacing the subpage history entry.</x:v>
      </x:c>
      <x:c r="L21" s="70" t="str">
        <x:v>Fixed</x:v>
      </x:c>
      <x:c r="M21" s="70" t="str">
        <x:v>Replace the settings subpage history entry when using its header Back link.</x:v>
      </x:c>
      <x:c r="N21" s="70" t="str">
        <x:v>SettingsPageHeader.vue; appShell.test.ts.</x:v>
      </x:c>
      <x:c r="O21" s="70" t="str">
        <x:v>Passed</x:v>
      </x:c>
      <x:c r="P21" s="70" t="str">
        <x:v>Passed</x:v>
      </x:c>
      <x:c r="Q21" s="70" t="str">
        <x:v>Build 15 header Back uses replacement on both platforms. Android Appearance → Settings retained history length 14 → 14, restored bottom navigation, and the following physical Back did not reopen Appearance. iOS independently retained history length 9 → 9. The original header loop is resolved; broad Settings story variants remain incomplete.</x:v>
      </x:c>
      <x:c r="R21" s="70" t="str">
        <x:v>Initial Android physical Back from each of the ten Settings subpages correctly used AppShell's replace behavior; only the visible header control created the loop. iOS build 15: Appearance header Back returned to Settings with history.length unchanged 9→9, demonstrating replacement rather than an extra push; mobile nav restored. Seven other safe Settings subpages also returned through their header controls. Direct iOS swipe-back was not used. Evidence: retest/ios/ACC-032-035-settings-observations.json.</x:v>
      </x:c>
    </x:row>
    <x:row r="22" ht="334.79998779296875" hidden="0" customHeight="1">
      <x:c r="A22" s="72" t="str">
        <x:v>DEF-018</x:v>
      </x:c>
      <x:c r="B22" s="72" t="str">
        <x:v>ACC-080, NUT-081, NUT-086, HLT-043, NUT-053, HLT-022</x:v>
      </x:c>
      <x:c r="C22" s="72" t="str">
        <x:v>UX</x:v>
      </x:c>
      <x:c r="D22" s="72" t="str">
        <x:v>Android</x:v>
      </x:c>
      <x:c r="E22" s="72" t="str">
        <x:v>Medium</x:v>
      </x:c>
      <x:c r="F22" s="72" t="str">
        <x:v>Android Back leaves the page instead of dismissing some confirmation dialogs</x:v>
      </x:c>
      <x:c r="G22" s="72" t="str">
        <x:v>Open Settings, open Delete account without submitting it, and press Android system Back once.</x:v>
      </x:c>
      <x:c r="H22" s="72" t="str">
        <x:v>The topmost delete-account sheet closes and the user remains on Settings.</x:v>
      </x:c>
      <x:c r="I22" s="72" t="str">
        <x:v>The sheet disappeared only because AppShell navigated browser history; the emulator landed on the preceding Appearance page.</x:v>
      </x:c>
      <x:c r="J22" s="72" t="str">
        <x:v>Android adb/CDP run: open role=dialog at /settings, one KEYCODE_BACK, resulting URL /settings/appearance; /Users/mason/.codex/visualizations/2026/09/01/01a05def-1c0d-76d1-abc6-07c63a443582/emulator-runs/initial/android/ACC-080-normal-history-back-to-goals.png</x:v>
      </x:c>
      <x:c r="K22" s="72" t="str">
        <x:v>The original AppSheet implementation did not consume buff:android-back, allowing AppShell to navigate history with a modal open. Its first fix covered AppSheet only. ConfirmSheet instead renders AlertDialogContent, lacked the data-app-sheet stack marker and had no native Back listener, so every shared confirmation remained uncovered. Android build 15 reproduced the remaining gap when Delete A opened a recipe alertdialog and one Android Back navigated to Home without deleting anything. All six ConfirmSheet instances were traced: Account switch/clear-device-data, Today meal/workout deletion, Progress metric/photo deletion, and RecipeMode recipe deletion; there are no other application-level raw AlertDialog callers.</x:v>
      </x:c>
      <x:c r="L22" s="72" t="str">
        <x:v>In Progress</x:v>
      </x:c>
      <x:c r="M22" s="72" t="str">
        <x:v>Preserve the original AppSheet Back interception. Register ConfirmSheet in that same DOM stack using a unique Vue useId marker and a lifecycle-cleaned buff:android-back listener. Only the topmost open content consumes the event; idle confirmations use their existing guarded onOpenChange(false) cancellation, while processing confirmations consume Back without dismissing or invoking confirmation. Both shared handlers ignore already-prevented events and exclude data-state=closed content still completing its exit animation. This prevents one Back from closing an underlying sheet after synchronous cancellation, and preserves ordinary AppShell navigation on the next Back. No new abstraction, dependency, native handler, destructive request, or caller-specific code is required.</x:v>
      </x:c>
      <x:c r="N22" s="72" t="str">
        <x:v>/Users/mason/Sites/Buff/resources/js/Components/ConfirmSheet.vue:33 and :41; /Users/mason/Sites/Buff/resources/js/Components/AppSheet.vue:67; /Users/mason/Sites/Buff/tests/appSheetOverflow.test.ts:12 and :93. Four new runnable regressions execute the actual shared component handlers and AppShell native dispatch with a controlled DOM stack and real cancelable events: idle cancellation without navigation/confirmation, processing and underlying-sheet protection, mixed/reversed-order/multiple-confirmation stacks, and closing-animation content. Existing source assertions additionally verify the unique marker and listener lifecycle. The new coverage failed before the source change and passes afterward. Focused AppSheet/AppShell tests 22/22 passed; full frontend 209/209 passed; full PHP 321/321 with 2528 assertions passed; TypeScript and global git diff --check passed. No PHP files changed, so Pint was not required for this patch. Installed versions inspected: Vue 3.5.42 and Reka UI 2.10.4. Vue useId guarantees unique component-instance IDs (https://vuejs.org/api/composition-api-helpers.html#useid); the installed Reka DialogContentImpl emits data-state=open/closed and the local AlertDialogContent wrapper forwards the marker. Source tests are not an emulator retest; installed build 15 lacks this change and a new user-built native bundle is still required. No native build, install or UI verification occurred.</x:v>
      </x:c>
      <x:c r="O22" s="72" t="str">
        <x:v>Not Run</x:v>
      </x:c>
      <x:c r="P22" s="72" t="str">
        <x:v>Failed</x:v>
      </x:c>
      <x:c r="Q22" s="72" t="str"/>
      <x:c r="R22" s="72" t="str">
        <x:v>Original Add-drawer Back, Settings subpages, normal history, cold-root exit and rapid double Back checks passed. Build 15 follow-up: a recipe ConfirmSheet uses role=alertdialog, not AppSheet. With Delete recipe visibly open, one Android Back returned to Home instead of closing only the dialog. Explicit Cancel retained both recipes and stayed on the recipe page. No deletion was confirmed.</x:v>
      </x:c>
    </x:row>
    <x:row r="23" ht="39.599998474121094" hidden="0" customHeight="1">
      <x:c r="A23" t="str">
        <x:v>DEF-019</x:v>
      </x:c>
      <x:c r="B23" t="str">
        <x:v>ACC-081, ACC-082</x:v>
      </x:c>
      <x:c r="C23" t="str">
        <x:v>Logistical</x:v>
      </x:c>
      <x:c r="D23" t="str">
        <x:v>Android</x:v>
      </x:c>
      <x:c r="E23" t="str">
        <x:v>Medium</x:v>
      </x:c>
      <x:c r="F23" t="str">
        <x:v>Repeated native builds accumulate duplicate Android shortcut metadata</x:v>
      </x:c>
      <x:c r="G23" t="str">
        <x:v>Run the native shell integration installer repeatedly, then inspect the generated source and merged release AndroidManifest.xml files.</x:v>
      </x:c>
      <x:c r="H23" t="str">
        <x:v>MainActivity contains exactly one android.app.shortcuts metadata element after every build.</x:v>
      </x:c>
      <x:c r="I23" t="str">
        <x:v>Both the source and merged release manifests contain nine identical android.app.shortcuts metadata elements.</x:v>
      </x:c>
      <x:c r="J23" t="str">
        <x:v>/Users/mason/Sites/Buff/nativephp/android/app/src/main/AndroidManifest.xml:59; /Users/mason/Sites/Buff/nativephp/android/app/build/intermediates/merged_manifests/release/processReleaseManifest/AndroidManifest.xml:124</x:v>
      </x:c>
      <x:c r="K23" t="str">
        <x:v>/Users/mason/Sites/Buff/native-plugins/native-refresh/src/Commands/InstallNativeShellIntegrationsCommand.php removes only one exact whitespace rendering of the metadata; previously appended nodes become adjacent to &lt;/intent-filter&gt; and no longer match, so another node is appended each run.</x:v>
      </x:c>
      <x:c r="L23" t="str">
        <x:v>In Progress</x:v>
      </x:c>
      <x:c r="M23" s="70" t="str">
        <x:v>Remove all matching shortcut metadata nodes before inserting the canonical node so repeated integration is idempotent.</x:v>
      </x:c>
      <x:c r="N23" s="70" t="str">
        <x:v>InstallNativeShellIntegrationsCommand; NativePluginHooksTest.</x:v>
      </x:c>
      <x:c r="O23" t="str">
        <x:v>Not Run</x:v>
      </x:c>
      <x:c r="P23" t="str">
        <x:v>Not Run</x:v>
      </x:c>
      <x:c r="Q23" t="str"/>
      <x:c r="R23" s="70" t="str">
        <x:v>The current release still packages, but the installer is not idempotent and the manifest grows on every integration pass.</x:v>
      </x:c>
    </x:row>
    <x:row r="24" ht="39.599998474121094" hidden="0" customHeight="1">
      <x:c r="A24" t="str">
        <x:v>DEF-020</x:v>
      </x:c>
      <x:c r="B24" t="str">
        <x:v>NUT-033</x:v>
      </x:c>
      <x:c r="C24" t="str">
        <x:v>UX</x:v>
      </x:c>
      <x:c r="D24" t="str">
        <x:v>Both</x:v>
      </x:c>
      <x:c r="E24" t="str">
        <x:v>Medium</x:v>
      </x:c>
      <x:c r="F24" t="str">
        <x:v>Manual barcode validation collapses every invalid case to a generic lookup failure</x:v>
      </x:c>
      <x:c r="G24" t="str">
        <x:v>Open Scan, choose Enter barcode manually, and submit an empty value, letters/separators with no digits, a two-digit value, or an invalid formatted code.</x:v>
      </x:c>
      <x:c r="H24" t="str">
        <x:v>The page surfaces the field-specific validation message, such as Enter a valid barcode or the 4-32 digit requirement.</x:v>
      </x:c>
      <x:c r="I24" t="str">
        <x:v>Every tested invalid value closed the scanner and displayed only Could not look up that barcode. Add it as custom food instead.</x:v>
      </x:c>
      <x:c r="J24" t="str">
        <x:v>/Users/mason/.codex/visualizations/2026/09/01/01a05def-1c0d-76d1-abc6-07c63a443582/emulator-runs/initial/android/NUT-033-formatted-invalid-error.png</x:v>
      </x:c>
      <x:c r="K24" t="str">
        <x:v>/Users/mason/Sites/Buff/resources/js/Pages/Add.vue closes the manual scanner immediately and falls back to a generic catch message whenever the Axios error does not expose errors.barcode as the exact expected array shape.</x:v>
      </x:c>
      <x:c r="L24" t="str">
        <x:v>In Progress</x:v>
      </x:c>
      <x:c r="M24" s="70" t="str">
        <x:v>Parse native string responses and preserve the exact barcode validation explanation.</x:v>
      </x:c>
      <x:c r="N24" s="70" t="str">
        <x:v>foodRequests.ts, Add.vue; foodRequests.test.ts, OpenFoodFactsLookupTest.</x:v>
      </x:c>
      <x:c r="O24" t="str">
        <x:v>Not Run</x:v>
      </x:c>
      <x:c r="P24" t="str">
        <x:v>Not Run</x:v>
      </x:c>
      <x:c r="Q24" t="str"/>
      <x:c r="R24" s="70" t="str">
        <x:v>A formatted valid code, 737 628-064 502, normalized successfully and opened the correct product review drawer.</x:v>
      </x:c>
    </x:row>
    <x:row r="25" ht="84" hidden="0" customHeight="1">
      <x:c r="A25" s="72" t="str">
        <x:v>DEF-021</x:v>
      </x:c>
      <x:c r="B25" s="72" t="str">
        <x:v>ACC-056, ACC-060, NUT-032, NUT-033</x:v>
      </x:c>
      <x:c r="C25" s="72" t="str">
        <x:v>UX</x:v>
      </x:c>
      <x:c r="D25" s="72" t="str">
        <x:v>Android</x:v>
      </x:c>
      <x:c r="E25" s="72" t="str">
        <x:v>High</x:v>
      </x:c>
      <x:c r="F25" s="72" t="str">
        <x:v>The native banner ad remains on excluded Add routes and covers the manual barcode control</x:v>
      </x:c>
      <x:c r="G25" s="72" t="str">
        <x:v>As the signed-in free account, open /add?mode=food&amp;scan=1 and wait for the full-screen scanner to become ready.</x:v>
      </x:c>
      <x:c r="H25" s="72" t="str">
        <x:v>The banner is hidden on every /add route, and scanner controls remain fully visible and tappable.</x:v>
      </x:c>
      <x:c r="I25" s="72" t="str">
        <x:v>The native test banner remained over the excluded Add route and covered most of Enter barcode manually, creating an accidental-ad-tap risk and obscuring the required fallback.</x:v>
      </x:c>
      <x:c r="J25" s="72" t="str">
        <x:v>/Users/mason/.codex/visualizations/2026/09/01/01a05def-1c0d-76d1-abc6-07c63a443582/emulator-runs/initial/android/NUT-033-manual-button-obscured-by-ad.png</x:v>
      </x:c>
      <x:c r="K25" s="72" t="str">
        <x:v>An eligible reconciliation awaited native platform detection before establishing its generation. Navigation could invalidate older work during that await, then the stale continuation created a new generation and displayed the ad on /add. Native trace showed ShowBanner after the excluded-route HideBanner calls.</x:v>
      </x:c>
      <x:c r="L25" s="72" t="str">
        <x:v>Fixed</x:v>
      </x:c>
      <x:c r="M25" s="72" t="str">
        <x:v>Move native platform detection inside the existing serialized reconciliation after its generation is established; recheck generation after the await. No new coordinator state or dependency.</x:v>
      </x:c>
      <x:c r="N25" s="72" t="str">
        <x:v>resources/js/ads.ts; tests/ads.test.ts. New delayed-platform cancellation regression failed before the fix and passes for navigation, excluded reconciliation and destroy. Full frontend 229/229 and TypeScript pass. Native Android debug build 24 retest passed.</x:v>
      </x:c>
      <x:c r="O25" s="72" t="str">
        <x:v>Not Run</x:v>
      </x:c>
      <x:c r="P25" s="72" t="str">
        <x:v>Passed</x:v>
      </x:c>
      <x:c r="Q25" s="72" t="str">
        <x:v>Actual camera-ready barcode scanner stayed ad-free after reproducing the Progress camera → close → scanner transition; manual barcode entry fully visible. Native trace ends with HideBanner, without a later ShowBanner.</x:v>
      </x:c>
      <x:c r="R25" s="72" t="str">
        <x:v>The WebView DOM reports the button unobscured because the AdMob banner is a native overlay; only the emulator screenshot exposes the collision.</x:v>
      </x:c>
    </x:row>
    <x:row r="26" ht="651.5999755859375" hidden="0" customHeight="1">
      <x:c r="A26" s="72" t="str">
        <x:v>DEF-022</x:v>
      </x:c>
      <x:c r="B26" s="72" t="str">
        <x:v>NUT-040</x:v>
      </x:c>
      <x:c r="C26" s="72" t="str">
        <x:v>UX</x:v>
      </x:c>
      <x:c r="D26" s="72" t="str">
        <x:v>Both</x:v>
      </x:c>
      <x:c r="E26" s="72" t="str">
        <x:v>Medium</x:v>
      </x:c>
      <x:c r="F26" s="72" t="str">
        <x:v>Custom-food macro validation errors are returned but never rendered</x:v>
      </x:c>
      <x:c r="G26" s="72" t="str">
        <x:v>In Custom food, enter a valid name/portion and protein, carbs, and fat values of 1001, then submit.</x:v>
      </x:c>
      <x:c r="H26" s="72" t="str">
        <x:v>Each invalid macro is marked and its maximum-1000 message is shown inline without saving a meal.</x:v>
      </x:c>
      <x:c r="I26" s="72" t="str">
        <x:v>The server returned 422 errors for protein_g, carbs_g, and fat_g, but the form retained all three values with no visible error or alert and no explanation for the rejected submission.
iOS build 19: submitted protein, carbs and fat at 1001 with a valid name and 350 g portion on 19 August. All three maximum-1000 messages appeared inline and the form stayed in view without manual scrolling. The rejected draft created no meal: selected day 0, matching name 0, total meals remained 23 and outbox 0. Correcting protein to 45 left only carbs/fat errors; correcting carbs to 50 left only fat; correcting fat to 12 cleared the final error. One corrected submission navigated normally to dated Today and saved QA b19 validation once as Lunch, 350 g, 488 kcal, P45/C50/F12; exact UUID 01a07616-2683-70bd-b2ed-0ad7db4dbd76, total meals 24, selected day 1 and pending sync 0. No draft remains.</x:v>
      </x:c>
      <x:c r="J26" s="72" t="str">
        <x:v>/Users/mason/.codex/visualizations/2026/09/01/01a05def-1c0d-76d1-abc6-07c63a443582/emulator-runs/initial/android/NUT-040-macro-errors-hidden.png
/Users/mason/.codex/visualizations/2026/09/01/01a05def-1c0d-76d1-abc6-07c63a443582/inventory/android-custom-food-b16-evidence.json
/Users/mason/.codex/visualizations/2026/09/01/01a05def-1c0d-76d1-abc6-07c63a443582/emulator-runs/retest/android/NUT-040-b16-all-macro-errors-visible.png
/Users/mason/.codex/visualizations/2026/09/01/01a05def-1c0d-76d1-abc6-07c63a443582/emulator-runs/retest/android/NUT-040-b16-protein-error-cleared.png
/Users/mason/.codex/visualizations/2026/09/01/01a05def-1c0d-76d1-abc6-07c63a443582/emulator-runs/retest/android/NUT-040-b16-all-macro-errors-cleared.json
/Users/mason/.codex/visualizations/2026/09/01/01a05def-1c0d-76d1-abc6-07c63a443582/emulator-runs/retest/ios/NUT-040-b19-aug19-before.png
/Users/mason/.codex/visualizations/2026/09/01/01a05def-1c0d-76d1-abc6-07c63a443582/emulator-runs/retest/ios/NUT-040-b19-macros-ready.png
/Users/mason/.codex/visualizations/2026/09/01/01a05def-1c0d-76d1-abc6-07c63a443582/emulator-runs/retest/ios/NUT-040-b19-all-macro-errors-visible.png
/Users/mason/.codex/visualizations/2026/09/01/01a05def-1c0d-76d1-abc6-07c63a443582/emulator-runs/retest/ios/NUT-040-b19-protein-error-cleared.png
/Users/mason/.codex/visualizations/2026/09/01/01a05def-1c0d-76d1-abc6-07c63a443582/emulator-runs/retest/ios/NUT-040-b19-carbs-error-cleared.png
/Users/mason/.codex/visualizations/2026/09/01/01a05def-1c0d-76d1-abc6-07c63a443582/emulator-runs/retest/ios/NUT-040-b19-all-macro-errors-cleared.png
/Users/mason/.codex/visualizations/2026/09/01/01a05def-1c0d-76d1-abc6-07c63a443582/emulator-runs/retest/ios/NUT-040-b19-corrected-save.mov
/Users/mason/.codex/visualizations/2026/09/01/01a05def-1c0d-76d1-abc6-07c63a443582/emulator-runs/retest/ios/NUT-040-b19-corrected-saved.png
/Users/mason/.codex/visualizations/2026/09/01/01a05def-1c0d-76d1-abc6-07c63a443582/inventory/ios-validation-b19-rejected.json
/Users/mason/.codex/visualizations/2026/09/01/01a05def-1c0d-76d1-abc6-07c63a443582/inventory/ios-validation-b19-saved.json
/Users/mason/.codex/visualizations/2026/09/01/01a05def-1c0d-76d1-abc6-07c63a443582/inventory/ios-build19-after.json</x:v>
      </x:c>
      <x:c r="K26" s="72" t="str">
        <x:v>/Users/mason/Sites/Buff/resources/js/Pages/Add.vue renders customMealForm errors for name, portion_quantity, and portion_unit only; protein_g, carbs_g, and fat_g have no error elements.</x:v>
      </x:c>
      <x:c r="L26" s="72" t="str">
        <x:v>Fixed</x:v>
      </x:c>
      <x:c r="M26" s="72" t="str">
        <x:v>Render custom-food protein, carbohydrate and fat validation errors beside their inputs.</x:v>
      </x:c>
      <x:c r="N26" s="72" t="str">
        <x:v>/Users/mason/Sites/Buff/resources/js/Pages/Add.vue:1427
/Users/mason/Sites/Buff/tests/recipeDesign.test.ts:65
Existing custom macro error markup regression; current build includes the shared error rendering/clearErrors callback. Prior focused frontend 14 and full frontend 219 passed; MealEntryTest 42/369 passed.</x:v>
      </x:c>
      <x:c r="O26" s="72" t="str">
        <x:v>Passed</x:v>
      </x:c>
      <x:c r="P26" s="72" t="str">
        <x:v>Passed</x:v>
      </x:c>
      <x:c r="Q26" s="72" t="str">
        <x:v>Fixed. Android build 16 and iOS build 19 both display all three macro errors, clear them independently and save corrected values. Historical failures remain unchanged. Separate whole-story boundary coverage stays Blocked.</x:v>
      </x:c>
      <x:c r="R26" s="72" t="str">
        <x:v>Blank/121-character name and 10001 portion errors were all visible and retained their rejected values.
Build16 Android: all three1001 macro values render their expected maximum1000 messages after submission. Editing each field clears only that error, and the corrected meal saves exactly. The separate scroll reset can hide these rendered messages until manual scroll (DEF097). iOS native macro-error retest remains Not Run; do not close both-platform defect yet.
RUN-0414 supersedes the pending iOS retest: iOS build 19: submitted protein, carbs and fat at 1001 with a valid name and 350 g portion on 19 August. All three maximum-1000 messages appeared inline and the form stayed in view without manual scrolling. The rejected draft created no meal: selected day 0, matching name 0, total meals remained 23 and outbox 0. Correcting protein to 45 left only carbs/fat errors; correcting carbs to 50 left only fat; correcting fat to 12 cleared the final error. One corrected submission navigated normally to dated Today and saved QA b19 validation once as Lunch, 350 g, 488 kcal, P45/C50/F12; exact UUID 01a07616-2683-70bd-b2ed-0ad7db4dbd76, total meals 24, selected day 1 and pending sync 0. No draft remains.</x:v>
      </x:c>
    </x:row>
    <x:row r="27" ht="361.20001220703125" hidden="0" customHeight="1">
      <x:c r="A27" s="72" t="str">
        <x:v>DEF-023</x:v>
      </x:c>
      <x:c r="B27" s="72" t="str">
        <x:v>NUT-047, NUT-049</x:v>
      </x:c>
      <x:c r="C27" s="72" t="str">
        <x:v>UX</x:v>
      </x:c>
      <x:c r="D27" s="72" t="str">
        <x:v>Both</x:v>
      </x:c>
      <x:c r="E27" s="72" t="str">
        <x:v>Medium</x:v>
      </x:c>
      <x:c r="F27" s="72" t="str">
        <x:v>Recipe ingredient validation still coerces malformed macros to zero</x:v>
      </x:c>
      <x:c r="G27" s="72" t="str">
        <x:v>Original case: append a custom ingredient with quantity 0 and protein 1001, then Save a named recipe. Follow-up Android build 15: open an unsaved recipe, enter a valid custom ingredient name and quantity 100, then type -- in Protein. The number input exposes an empty value and badInput true. Tap Add ingredient rather than Save recipe.</x:v>
      </x:c>
      <x:c r="H27" s="72" t="str">
        <x:v>Invalid quantities or macros are rejected before append, with a visible explanation and the mini-form retained for correction. Empty or malformed numeric input must not become zero. Real numeric zero and valid decimal macros remain accepted. Nested server item errors remain visible beside their ingredient.</x:v>
      </x:c>
      <x:c r="I27" s="72" t="str">
        <x:v>Original evidence showed quantity 0/protein 1001 appended as 0 g and 4004 kcal; Save returned hidden nested 422 errors. Build 15 now blocks protein -1 and quantity 0.01 with clear local alerts, but malformed Protein -- becomes an empty model value and then zero. Add ingredient appended a 100 g, 0 kcal ingredient, reset the mini-form, cleared the alert and enabled Save. No recipe was saved; Cancel later discarded the entire draft.</x:v>
      </x:c>
      <x:c r="J27" s="72" t="str">
        <x:v>/Users/mason/.codex/visualizations/2026/09/01/01a05def-1c0d-76d1-abc6-07c63a443582/emulator-runs/initial/android/NUT-047-nested-errors-hidden.png
/Users/mason/.codex/visualizations/2026/09/01/01a05def-1c0d-76d1-abc6-07c63a443582/emulator-runs/retest/android/NUT-047-negative-macro.json
/Users/mason/.codex/visualizations/2026/09/01/01a05def-1c0d-76d1-abc6-07c63a443582/emulator-runs/retest/android/NUT-047-small-quantity.json
/Users/mason/.codex/visualizations/2026/09/01/01a05def-1c0d-76d1-abc6-07c63a443582/emulator-runs/retest/android/NUT-047-malformed-macro-before-add.json
/Users/mason/.codex/visualizations/2026/09/01/01a05def-1c0d-76d1-abc6-07c63a443582/emulator-runs/retest/android/NUT-047-malformed-macro-appended.json
/Users/mason/.codex/visualizations/2026/09/01/01a05def-1c0d-76d1-abc6-07c63a443582/emulator-runs/retest/android/NUT-047-malformed-macro-appended.png</x:v>
      </x:c>
      <x:c r="K27" s="72" t="str">
        <x:v>The original mini-form only required a name and omitted nested item-error rendering. The first fix added finite/range checks and nested errors, but addCustomItem converted macro values with Number before validation. The shared Input emits an empty string for cleared or malformed number input even with v-model.number, and Number('') equals 0. A type=button Add ingredient action does not trigger native form validation.</x:v>
      </x:c>
      <x:c r="L27" s="72" t="str">
        <x:v>In Progress</x:v>
      </x:c>
      <x:c r="M27" s="72" t="str">
        <x:v>Retain the raw portion and macro model values for the existing Number.isFinite and range checks by removing premature Number conversion. Valid .number input is already numeric; missing strings, malformed values, NaN and infinities now fail before append. Both create and edit recipe flows share this handler. Preserve the existing local messages, name validation, calorie calculation, successful reset and nested server-error rendering.</x:v>
      </x:c>
      <x:c r="N27" s="72" t="str">
        <x:v>/Users/mason/Sites/Buff/resources/js/Components/RecipeMode.vue:193; /Users/mason/Sites/Buff/resources/js/Components/ui/input/Input.vue:23; /Users/mason/Sites/Buff/tests/recipeDesign.test.ts:78,:97,:113,:126. Three new behavioral tests execute the actual source handler. The empty-string macro regression failed before the two-line fix and passed afterward. Focused frontend recipe tests 12/12 passed; full current frontend 196/196 passed; RecipeTest.php 8/8 with 58 assertions passed; TypeScript and scoped git diff --check passed. No PHP files changed. No native rebuild or post-fix emulator retest performed.
Build16 follow-up 2026-09-04: the raw-value fix is now installed and natively exercised on both emulators. Current focused frontend recipe suite passes 13/13. This supersedes the earlier no-native-retest statement; nested server feedback remains unverified.
Yield checkpoint: RecipeTest now40/40 with281 assertions, including29 additional trust-boundary/success cases; full PHP394/394 with3118 assertions. Independent review, Pint and diff checks passed. No production source changed in this batch.</x:v>
      </x:c>
      <x:c r="O27" s="72" t="str">
        <x:v>Blocked</x:v>
      </x:c>
      <x:c r="P27" s="72" t="str">
        <x:v>Blocked</x:v>
      </x:c>
      <x:c r="Q27" s="72" t="str">
        <x:v>Build16 local number-validation regression passes on both emulators, including blank/malformed macros not becoming zero. Nested server item-error rendering and the remaining complete matrix have not been verified, so the defect is not closed.</x:v>
      </x:c>
      <x:c r="R27" s="72" t="str">
        <x:v>Keep the original NUT-047 and NUT-049 links and initial evidence. Original valid P10/C20/F5 produced 165 kcal, reset, removed and re-added correctly. The build 15 follow-up is a failed retest of the first validation fix, not a device test of the new raw-value check. Only negative protein, small quantity and malformed protein were exercised in this device run; other fields/boundaries, nested server errors and valid decimal/zero variants require retest. The malformed ingredient stayed in an unsaved draft and was discarded by Cancel. Source tests are not device evidence.
Build16: both native local matrices rejected malformed/empty macros before append and retained the mini-form. Valid zero/decimals, correction/reset, removal and create/edit cases passed. Android -- had empty input.value and badInput=true; no duplicate item was appended. iOS used native-only draft testing and makes no DOM-flag claim. Keep In Progress for nested server errors and explicit remaining boundary/permutation gaps in Test Runs.
Build16 yield checkpoint: visible top-level name/yield errors and successful correction, save, reset and persistence now pass on both emulators. These cases do not force nested server item errors; keep In Progress and preserve the original evidence.</x:v>
      </x:c>
    </x:row>
    <x:row r="28" ht="26.399999618530273" hidden="0" customHeight="1">
      <x:c r="A28" t="str">
        <x:v>DEF-024</x:v>
      </x:c>
      <x:c r="B28" t="str">
        <x:v>NUT-003</x:v>
      </x:c>
      <x:c r="C28" t="str">
        <x:v>UX</x:v>
      </x:c>
      <x:c r="D28" t="str">
        <x:v>Both</x:v>
      </x:c>
      <x:c r="E28" t="str">
        <x:v>Medium</x:v>
      </x:c>
      <x:c r="F28" t="str">
        <x:v>The selected day in Today’s week strip is exposed only through colour</x:v>
      </x:c>
      <x:c r="G28" t="str">
        <x:v>Open Today on a non-today date and inspect or announce the seven week-strip links.</x:v>
      </x:c>
      <x:c r="H28" t="str">
        <x:v>The selected date is visually distinct and programmatically identified, for example with aria-current=date or selected wording in its accessible name.</x:v>
      </x:c>
      <x:c r="I28" t="str">
        <x:v>Wednesday 2026-09-02 was visually selected, but its accessible name was only Wednesday 2026-09-02, under target and it had no aria-current or equivalent selected state.</x:v>
      </x:c>
      <x:c r="J28" t="str">
        <x:v>/Users/mason/.codex/visualizations/2026/09/01/01a05def-1c0d-76d1-abc6-07c63a443582/emulator-runs/initial/android/NUT-010-second-meal-group-order.png</x:v>
      </x:c>
      <x:c r="K28" t="str">
        <x:v>/Users/mason/Sites/Buff/resources/js/Pages/Today.vue applies selected-day classes but no aria-current or selected text to the active week link.</x:v>
      </x:c>
      <x:c r="L28" t="str">
        <x:v>In Progress</x:v>
      </x:c>
      <x:c r="M28" s="70" t="str">
        <x:v>Expose Today’s selected week-strip day with aria-current.</x:v>
      </x:c>
      <x:c r="N28" s="70" t="str">
        <x:v>Today.vue; iosUxRegressions.test.ts.</x:v>
      </x:c>
      <x:c r="O28" t="str">
        <x:v>Not Run</x:v>
      </x:c>
      <x:c r="P28" t="str">
        <x:v>Not Run</x:v>
      </x:c>
      <x:c r="Q28" t="str"/>
      <x:c r="R28" s="70" t="str">
        <x:v>Monday-first order, today wording, navigation, and under/no-log status labels otherwise worked.</x:v>
      </x:c>
    </x:row>
    <x:row r="29" ht="118.80000305175781" hidden="0" customHeight="1">
      <x:c r="A29" s="70" t="str">
        <x:v>DEF-025</x:v>
      </x:c>
      <x:c r="B29" s="70" t="str">
        <x:v>NUT-085</x:v>
      </x:c>
      <x:c r="C29" s="70" t="str">
        <x:v>UX</x:v>
      </x:c>
      <x:c r="D29" s="70" t="str">
        <x:v>Both</x:v>
      </x:c>
      <x:c r="E29" s="70" t="str">
        <x:v>Medium</x:v>
      </x:c>
      <x:c r="F29" s="70" t="str">
        <x:v>Meal edit rejects a blank name without showing the returned error</x:v>
      </x:c>
      <x:c r="G29" s="70" t="str">
        <x:v>Open a logged meal, choose Edit, clear Name, and press Save meal.</x:v>
      </x:c>
      <x:c r="H29" s="70" t="str">
        <x:v>The editor stays open, preserves the entered values, marks Name invalid, and shows the required-name message beside it.</x:v>
      </x:c>
      <x:c r="I29" s="70" t="str">
        <x:v>The editor stayed open with the blank value and no mutation, but displayed no error or alert explaining why Save did nothing.</x:v>
      </x:c>
      <x:c r="J29" s="70" t="str">
        <x:v>/Users/mason/.codex/visualizations/2026/09/01/01a05def-1c0d-76d1-abc6-07c63a443582/emulator-runs/initial/android/NUT-085-name-error-hidden.png</x:v>
      </x:c>
      <x:c r="K29" s="70" t="str">
        <x:v>/Users/mason/Sites/Buff/resources/js/Pages/Today.vue renders portion/unit and macro errors in the editor but has no name or meal_type error elements.</x:v>
      </x:c>
      <x:c r="L29" s="70" t="str">
        <x:v>Fixed</x:v>
      </x:c>
      <x:c r="M29" s="70" t="str">
        <x:v>Render meal-edit name and meal-type validation feedback.</x:v>
      </x:c>
      <x:c r="N29" s="70" t="str">
        <x:v>Today.vue; iosUxRegressions.test.ts.</x:v>
      </x:c>
      <x:c r="O29" s="70" t="str">
        <x:v>Passed</x:v>
      </x:c>
      <x:c r="P29" s="70" t="str">
        <x:v>Passed</x:v>
      </x:c>
      <x:c r="Q29" s="70" t="str">
        <x:v>The original missing meal-name feedback is resolved on both build 15 emulators. Android blank and 121-character names showed their adjacent validation errors and valid recovery preserved the meal. iOS blank Name showed the required error and cancellation preserved the saved meal. The separately tracked DEF-085 correction/processing/accessibility work is still awaiting device retest.</x:v>
      </x:c>
      <x:c r="R29" s="70" t="str">
        <x:v>iOS build15 blank Name + Save meal now displays adjacent role=alert The name field is required. Editor stays open preserving blank name,100g portion and Lunch. Cancel leaves saved meal/totals unchanged. This verifies the missing-visible-feedback fix only; newer DEF085 ARIA/correction work is not in this build and is not claimed verified. Evidence: retest/ios/NUT-085-blank-name-inline-error.png and ACC-032-068-NUT-085-observations.json.</x:v>
      </x:c>
    </x:row>
    <x:row r="30" ht="26.399999618530273" hidden="0" customHeight="1">
      <x:c r="A30" t="str">
        <x:v>DEF-026</x:v>
      </x:c>
      <x:c r="B30" t="str">
        <x:v>ACC-037, HLT-045</x:v>
      </x:c>
      <x:c r="C30" t="str">
        <x:v>UX</x:v>
      </x:c>
      <x:c r="D30" t="str">
        <x:v>Both</x:v>
      </x:c>
      <x:c r="E30" t="str">
        <x:v>Medium</x:v>
      </x:c>
      <x:c r="F30" t="str">
        <x:v>Exercise-calorie choices do not expose the current selection to assistive technology</x:v>
      </x:c>
      <x:c r="G30" t="str">
        <x:v>Open Settings &gt; Exercise calories, choose each option, and inspect the three choice buttons’ accessibility state.</x:v>
      </x:c>
      <x:c r="H30" t="str">
        <x:v>The options form a labelled radio group or expose aria-pressed/aria-checked so the current All, Half, or None preference can be announced.</x:v>
      </x:c>
      <x:c r="I30" t="str">
        <x:v>Only the visual data-variant/class changed. All three controls remained ordinary buttons with no group, role, aria-pressed, aria-checked, or selected wording.</x:v>
      </x:c>
      <x:c r="J30" t="str">
        <x:v>/Users/mason/.codex/visualizations/2026/09/01/01a05def-1c0d-76d1-abc6-07c63a443582/emulator-runs/initial/android/HLT-045-half-eat-back.png</x:v>
      </x:c>
      <x:c r="K30" t="str">
        <x:v>/Users/mason/Sites/Buff/resources/js/Pages/Settings/Exercise.vue uses visual Button variants for mutually exclusive state without radio or pressed semantics.</x:v>
      </x:c>
      <x:c r="L30" t="str">
        <x:v>In Progress</x:v>
      </x:c>
      <x:c r="M30" s="70" t="str">
        <x:v>Use a labelled radiogroup with checked semantics for the exercise eat-back choices.</x:v>
      </x:c>
      <x:c r="N30" s="70" t="str">
        <x:v>Settings/Exercise.vue; appShell.test.ts.</x:v>
      </x:c>
      <x:c r="O30" t="str">
        <x:v>Not Run</x:v>
      </x:c>
      <x:c r="P30" t="str">
        <x:v>Not Run</x:v>
      </x:c>
      <x:c r="Q30" t="str"/>
      <x:c r="R30" s="70" t="str">
        <x:v>Saving, latest-change queueing, reload persistence, and all numeric All/Half/None effects passed.</x:v>
      </x:c>
    </x:row>
    <x:row r="31" ht="39.599998474121094" hidden="0" customHeight="1">
      <x:c r="A31" t="str">
        <x:v>DEF-027</x:v>
      </x:c>
      <x:c r="B31" t="str">
        <x:v>NUT-089</x:v>
      </x:c>
      <x:c r="C31" t="str">
        <x:v>UX</x:v>
      </x:c>
      <x:c r="D31" t="str">
        <x:v>Both</x:v>
      </x:c>
      <x:c r="E31" t="str">
        <x:v>Medium</x:v>
      </x:c>
      <x:c r="F31" t="str">
        <x:v>Repeat is missing from meal details and recipe meals cannot be discovered in previous foods</x:v>
      </x:c>
      <x:c r="G31" t="str">
        <x:v>Open any Today meal detail and look for Repeat; then open Add &gt; All foods and look for a previously logged recipe meal.</x:v>
      </x:c>
      <x:c r="H31" t="str">
        <x:v>Any logged meal snapshot can be repeated from its detail or discovered through the repeat UI, including recipe meals.</x:v>
      </x:c>
      <x:c r="I31" t="str">
        <x:v>Meal detail offered only Edit and Delete. Add history exposed custom and barcode snapshots, while the source query excludes recipe entries.</x:v>
      </x:c>
      <x:c r="J31" t="str">
        <x:v>/Users/mason/.codex/visualizations/2026/09/01/01a05def-1c0d-76d1-abc6-07c63a443582/emulator-runs/initial/android/NUT-089-meal-detail-no-repeat.png</x:v>
      </x:c>
      <x:c r="K31" t="str">
        <x:v>/Users/mason/Sites/Buff/resources/js/Pages/Today.vue has no Repeat action and /Users/mason/Sites/Buff/app/Http/Controllers/MealController.php limits previous-food results to custom and barcode sources.</x:v>
      </x:c>
      <x:c r="L31" t="str">
        <x:v>In Progress</x:v>
      </x:c>
      <x:c r="M31" s="70" t="str">
        <x:v>Add Repeat in meal details and include recipe meals in previous-food discovery.</x:v>
      </x:c>
      <x:c r="N31" s="70" t="str">
        <x:v>Today.vue, MealController.php; MealEntryTest, iosUxRegressions.test.ts.</x:v>
      </x:c>
      <x:c r="O31" t="str">
        <x:v>Not Run</x:v>
      </x:c>
      <x:c r="P31" t="str">
        <x:v>Not Run</x:v>
      </x:c>
      <x:c r="Q31" t="str"/>
      <x:c r="R31" s="70" t="str">
        <x:v>Repeating an eligible custom snapshot through Add worked, including quantity recalculation and snapshot independence.</x:v>
      </x:c>
    </x:row>
    <x:row r="32" ht="26.399999618530273" hidden="0" customHeight="1">
      <x:c r="A32" t="str">
        <x:v>DEF-028</x:v>
      </x:c>
      <x:c r="B32" t="str">
        <x:v>NUT-002</x:v>
      </x:c>
      <x:c r="C32" t="str">
        <x:v>UX</x:v>
      </x:c>
      <x:c r="D32" t="str">
        <x:v>Both</x:v>
      </x:c>
      <x:c r="E32" t="str">
        <x:v>Medium</x:v>
      </x:c>
      <x:c r="F32" t="str">
        <x:v>Malformed Today dates silently return to the prior day with no explanation</x:v>
      </x:c>
      <x:c r="G32" t="str">
        <x:v>While viewing a populated dated Today page, navigate to /?date=not-a-date.</x:v>
      </x:c>
      <x:c r="H32" t="str">
        <x:v>The app rejects the malformed date with a visible field/page error or a clear safe-date fallback message.</x:v>
      </x:c>
      <x:c r="I32" t="str">
        <x:v>The request returned to /?date=2026-09-02 with the old content and no alert, toast, validation summary, or other indication that the requested date was invalid.</x:v>
      </x:c>
      <x:c r="J32" t="str">
        <x:v>/Users/mason/.codex/visualizations/2026/09/01/01a05def-1c0d-76d1-abc6-07c63a443582/emulator-runs/initial/android/NUT-002-invalid-date-hidden.png</x:v>
      </x:c>
      <x:c r="K32" t="str">
        <x:v>/Users/mason/Sites/Buff/app/Http/Controllers/DashboardController.php redirects back with validation errors, but /Users/mason/Sites/Buff/resources/js/Pages/Today.vue never renders page errors for date.</x:v>
      </x:c>
      <x:c r="L32" t="str">
        <x:v>In Progress</x:v>
      </x:c>
      <x:c r="M32" s="70" t="str">
        <x:v>Display shared date validation feedback after malformed Today navigation.</x:v>
      </x:c>
      <x:c r="N32" s="70" t="str">
        <x:v>Today.vue; iosUxRegressions.test.ts.</x:v>
      </x:c>
      <x:c r="O32" t="str">
        <x:v>Not Run</x:v>
      </x:c>
      <x:c r="P32" t="str">
        <x:v>Not Run</x:v>
      </x:c>
      <x:c r="Q32" t="str"/>
      <x:c r="R32" s="70" t="str">
        <x:v>Valid default and explicit-date loading isolated current-day and future-day records correctly.</x:v>
      </x:c>
    </x:row>
    <x:row r="33" ht="26.399999618530273" hidden="0" customHeight="1">
      <x:c r="A33" t="str">
        <x:v>DEF-029</x:v>
      </x:c>
      <x:c r="B33" t="str">
        <x:v>NUT-026, NUT-027</x:v>
      </x:c>
      <x:c r="C33" t="str">
        <x:v>UX</x:v>
      </x:c>
      <x:c r="D33" t="str">
        <x:v>Both</x:v>
      </x:c>
      <x:c r="E33" t="str">
        <x:v>Medium</x:v>
      </x:c>
      <x:c r="F33" t="str">
        <x:v>Product portion controls lack labels and programmatic selected state</x:v>
      </x:c>
      <x:c r="G33" t="str">
        <x:v>Open a catalogue product drawer, inspect the quantity input, unit control, and active portion chip with accessibility tooling.</x:v>
      </x:c>
      <x:c r="H33" t="str">
        <x:v>Quantity and unit have meaningful accessible labels, and the active preset exposes its selected state.</x:v>
      </x:c>
      <x:c r="I33" t="str">
        <x:v>The number input and unit combobox had no accessible label, while the visually active 52g chip exposed no aria-pressed, aria-checked, or equivalent selected state.</x:v>
      </x:c>
      <x:c r="J33" t="str">
        <x:v>/Users/mason/.codex/visualizations/2026/09/01/01a05def-1c0d-76d1-abc6-07c63a443582/emulator-runs/initial/android/NUT-027-barcode-52g-preview.png</x:v>
      </x:c>
      <x:c r="K33" t="str">
        <x:v>/Users/mason/Sites/Buff/resources/js/Pages/Add.vue renders the portion input, unit Select, and preset Buttons without associated labels or selected-state attributes.</x:v>
      </x:c>
      <x:c r="L33" t="str">
        <x:v>In Progress</x:v>
      </x:c>
      <x:c r="M33" s="70" t="str">
        <x:v>Label product portion and unit controls and expose pressed state for presets.</x:v>
      </x:c>
      <x:c r="N33" s="70" t="str">
        <x:v>Add.vue; recipeDesign.test.ts.</x:v>
      </x:c>
      <x:c r="O33" t="str">
        <x:v>Not Run</x:v>
      </x:c>
      <x:c r="P33" t="str">
        <x:v>Not Run</x:v>
      </x:c>
      <x:c r="Q33" t="str"/>
      <x:c r="R33" s="70" t="str">
        <x:v>Product content, portion math, and close behavior otherwise worked.</x:v>
      </x:c>
    </x:row>
    <x:row r="34" ht="15" hidden="0" customHeight="1">
      <x:c r="A34" t="str">
        <x:v>DEF-030</x:v>
      </x:c>
      <x:c r="B34" t="str">
        <x:v>NUT-029</x:v>
      </x:c>
      <x:c r="C34" t="str">
        <x:v>UX</x:v>
      </x:c>
      <x:c r="D34" t="str">
        <x:v>Both</x:v>
      </x:c>
      <x:c r="E34" t="str">
        <x:v>Medium</x:v>
      </x:c>
      <x:c r="F34" t="str">
        <x:v>Product-add validation failures are invisible in the food drawer</x:v>
      </x:c>
      <x:c r="G34" t="str">
        <x:v>Open a catalogue product, change quantity to 0, and press Add.</x:v>
      </x:c>
      <x:c r="H34" t="str">
        <x:v>The drawer stays open, marks the quantity invalid, and explains the 0.1 minimum without creating a meal.</x:v>
      </x:c>
      <x:c r="I34" t="str">
        <x:v>The drawer stayed open and no meal was created, but no field error, alert, toast, or other explanation appeared.</x:v>
      </x:c>
      <x:c r="J34" t="str">
        <x:v>/Users/mason/.codex/visualizations/2026/09/01/01a05def-1c0d-76d1-abc6-07c63a443582/emulator-runs/initial/android/NUT-029-product-error-hidden.png</x:v>
      </x:c>
      <x:c r="K34" t="str">
        <x:v>/Users/mason/Sites/Buff/resources/js/Pages/Add.vue submits barcodeMealForm but does not render its portion, portion_unit, food_product_id, date, or meal_type errors inside the drawer.</x:v>
      </x:c>
      <x:c r="L34" t="str">
        <x:v>In Progress</x:v>
      </x:c>
      <x:c r="M34" s="70" t="str">
        <x:v>Display all product-add errors inside the food drawer.</x:v>
      </x:c>
      <x:c r="N34" s="70" t="str">
        <x:v>Add.vue; recipeDesign.test.ts.</x:v>
      </x:c>
      <x:c r="O34" t="str">
        <x:v>Not Run</x:v>
      </x:c>
      <x:c r="P34" t="str">
        <x:v>Not Run</x:v>
      </x:c>
      <x:c r="Q34" t="str"/>
      <x:c r="R34" s="70" t="str">
        <x:v>Correcting the value to 52g saved normally afterward.</x:v>
      </x:c>
    </x:row>
    <x:row r="35" ht="308.3999938964844" hidden="0" customHeight="1">
      <x:c r="A35" s="72" t="str">
        <x:v>DEF-031</x:v>
      </x:c>
      <x:c r="B35" s="72" t="str">
        <x:v>NUT-045</x:v>
      </x:c>
      <x:c r="C35" s="72" t="str">
        <x:v>UX</x:v>
      </x:c>
      <x:c r="D35" s="72" t="str">
        <x:v>Both</x:v>
      </x:c>
      <x:c r="E35" s="72" t="str">
        <x:v>Medium</x:v>
      </x:c>
      <x:c r="F35" s="72" t="str">
        <x:v>Recipe ingredient search can self-throttle and hides request failures</x:v>
      </x:c>
      <x:c r="G35" s="72" t="str">
        <x:v>Open New recipe and type a product query one character at a time after the second character.</x:v>
      </x:c>
      <x:c r="H35" s="72" t="str">
        <x:v>Search is debounced or otherwise stays within the route budget, and a request failure produces retryable feedback.</x:v>
      </x:c>
      <x:c r="I35" s="72" t="str">
        <x:v>Each character issued a search request, exhausted the 10-per-minute route limit, then silently cleared results as though no products matched.</x:v>
      </x:c>
      <x:c r="J35" s="72" t="str">
        <x:v>/Users/mason/.codex/visualizations/2026/09/01/01a05def-1c0d-76d1-abc6-07c63a443582/emulator-runs/initial/android/NUT-044-draft-before-cancel.png</x:v>
      </x:c>
      <x:c r="K35" s="72" t="str">
        <x:v>/Users/mason/Sites/Buff/resources/js/Components/RecipeMode.vue watches every query change without a debounce and its catch branch only clears results; /Users/mason/Sites/buff-server/app/Providers/AppServiceProvider.php limits authenticated search to 10 requests per minute.</x:v>
      </x:c>
      <x:c r="L35" s="72" t="str">
        <x:v>Fixed</x:v>
      </x:c>
      <x:c r="M35" s="72" t="str">
        <x:v>Debounce recipe searches, reject stale results, and present retryable request failures.</x:v>
      </x:c>
      <x:c r="N35" s="72" t="str">
        <x:v>RecipeMode.vue, foodRequests.ts; foodRequests.test.ts, recipeDesign.test.ts.
/Users/mason/Sites/Buff/tests/foodRequests.test.ts — actual-source timing/race and compiled hint tests;44 focused tests passed.</x:v>
      </x:c>
      <x:c r="O35" s="72" t="str">
        <x:v>Passed</x:v>
      </x:c>
      <x:c r="P35" s="72" t="str">
        <x:v>Passed</x:v>
      </x:c>
      <x:c r="Q35" s="72" t="str">
        <x:v>Recipe searches debounce250ms and expose retryable errors. Android native character trace proves one complete query250.4ms after final input; both native platforms show errors, Retry and recovery. Actual-source tests cover debounce, Retry, stale success/failure and previous-meal filtering.</x:v>
      </x:c>
      <x:c r="R35" s="72" t="str">
        <x:v>A direct request after the limit window returned the expected previous-meal and product payload.
Build22: Android one full query at 250.4ms debounce; inline 422, Retry request and recovery pass. iOS visible failure/Retry/recovery and product selection pass. Complete stale/cancellation verification and native iOS debounce timing remain incomplete.
RUN-0435–0438:44 focused tests and TypeScript pass. New tests execute actual queue/retry/search functions with real Vue refs and controlled timers/responses: one request250ms after final trimmed input, old success ignored before next debounce, late failure ignored after clearing, one-character no request, one Retry request, and recipe previous_meal filtering. Compiled short-query hint tested for empty/space/one/two chars. Native23 All foods clear-during-Searching passes both; Android traces prove late completion. Recipe pending Cancel passes Android; iOS clear passes but pending Cancel timing remains unproven. DEF014/015/031 are Fixed at narrow defect scope; full stories stay Blocked for stated native-only matrix gaps.</x:v>
      </x:c>
    </x:row>
    <x:row r="36" ht="295.20001220703125" hidden="0" customHeight="1">
      <x:c r="A36" s="72" t="str">
        <x:v>DEF-032</x:v>
      </x:c>
      <x:c r="B36" s="72" t="str">
        <x:v>NUT-050</x:v>
      </x:c>
      <x:c r="C36" s="72" t="str">
        <x:v>UX</x:v>
      </x:c>
      <x:c r="D36" s="72" t="str">
        <x:v>Both</x:v>
      </x:c>
      <x:c r="E36" s="72" t="str">
        <x:v>Medium</x:v>
      </x:c>
      <x:c r="F36" s="72" t="str">
        <x:v>Recipe logging defaults to Breakfast regardless of current time</x:v>
      </x:c>
      <x:c r="G36" s="72" t="str">
        <x:v>Open Recipes without a meal query during the evening and choose a saved recipe.</x:v>
      </x:c>
      <x:c r="H36" s="72" t="str">
        <x:v>The default matches the same time-based meal choice used by custom and product food logging unless a meal query is supplied.</x:v>
      </x:c>
      <x:c r="I36" s="72" t="str">
        <x:v>Breakfast was selected in the evening; an explicit meal=dinner query correctly selected Dinner.</x:v>
      </x:c>
      <x:c r="J36" s="72" t="str">
        <x:v>/Users/mason/.codex/visualizations/2026/09/01/01a05def-1c0d-76d1-abc6-07c63a443582/emulator-runs/initial/android/NUT-051-recipe-a-two-servings-before-log.png</x:v>
      </x:c>
      <x:c r="K36" s="72" t="str">
        <x:v>/Users/mason/Sites/Buff/resources/js/Components/RecipeMode.vue initializes the meal type to props.meal ?? 'breakfast' instead of sharing Add.vue's smart meal default.</x:v>
      </x:c>
      <x:c r="L36" s="72" t="str">
        <x:v>Fixed</x:v>
      </x:c>
      <x:c r="M36" s="72" t="str">
        <x:v>Use the existing time-based meal default when a recipe is logged without an explicit meal.</x:v>
      </x:c>
      <x:c r="N36" s="72" t="str">
        <x:v>RecipeMode.vue; recipeDesign.test.ts.</x:v>
      </x:c>
      <x:c r="O36" s="72" t="str">
        <x:v>Passed</x:v>
      </x:c>
      <x:c r="P36" s="72" t="str">
        <x:v>Passed</x:v>
      </x:c>
      <x:c r="Q36" s="72" t="str">
        <x:v>Both build 15 emulators opened saved recipes without a meal query at local hour 12 and selected Lunch, resolving the original unconditional Breakfast default. Automated coverage checks the shared default. Other time boundaries and explicit meal overrides remain unverified branches of NUT-050.</x:v>
      </x:c>
      <x:c r="R36" s="72" t="str">
        <x:v>Build 15 opened the saved recipe with no meal query at local hour 12 and correctly selected Lunch (aria-checked=true); saved yield 2 was prefilled. This verifies the original unconditional Breakfast defect at a non-breakfast time. Other hour boundaries and explicit-meal overrides remain in the broader story.
iOS build 15: opening both saved recipes without a meal query at local hour 12 selected Lunch, with the saved yields of 2 and 1. This verifies the hardcoded Breakfast regression at a non-breakfast hour. Other hour boundaries and explicit-query precedence remain outside this device run. Evidence: /Users/mason/.codex/visualizations/2026/09/01/01a05def-1c0d-76d1-abc6-07c63a443582/emulator-runs/retest/ios/NUT-050-recipe-a-lunch-default.png
/Users/mason/.codex/visualizations/2026/09/01/01a05def-1c0d-76d1-abc6-07c63a443582/emulator-runs/retest/ios/NUT-050-052-recipe-b-clean-defaults.png
/Users/mason/.codex/visualizations/2026/09/01/01a05def-1c0d-76d1-abc6-07c63a443582/emulator-runs/retest/ios/NUT-043-057-batch008-observations.json</x:v>
      </x:c>
    </x:row>
    <x:row r="37" ht="97.19999694824219" hidden="0" customHeight="1">
      <x:c r="A37" s="72" t="str">
        <x:v>DEF-033</x:v>
      </x:c>
      <x:c r="B37" s="72" t="str">
        <x:v>NUT-051</x:v>
      </x:c>
      <x:c r="C37" s="72" t="str">
        <x:v>UX</x:v>
      </x:c>
      <x:c r="D37" s="72" t="str">
        <x:v>Both</x:v>
      </x:c>
      <x:c r="E37" s="72" t="str">
        <x:v>Medium</x:v>
      </x:c>
      <x:c r="F37" s="72" t="str">
        <x:v>Logged recipe servings are displayed as an unexplained bare number</x:v>
      </x:c>
      <x:c r="G37" s="72" t="str">
        <x:v>Log a saved recipe and inspect its Today row and detail.</x:v>
      </x:c>
      <x:c r="H37" s="72" t="str">
        <x:v>The portion reads 1 serving, 2 servings, or another clear serving label.</x:v>
      </x:c>
      <x:c r="I37" s="72" t="str">
        <x:v>The three verified logs displayed only 1, 2, and 4 beneath the recipe name.</x:v>
      </x:c>
      <x:c r="J37" s="72" t="str">
        <x:v>/Users/mason/.codex/visualizations/2026/09/01/01a05def-1c0d-76d1-abc6-07c63a443582/emulator-runs/initial/android/NUT-052-recipe-b-blank-servings-logged.png</x:v>
      </x:c>
      <x:c r="K37" s="72" t="str">
        <x:v>/Users/mason/Sites/Buff/app/Http/Controllers/MealController.php stores recipe servings in portion with portion_unit null, and /Users/mason/Sites/Buff/resources/js/Pages/Today.vue concatenates those fields without a recipe-specific label.</x:v>
      </x:c>
      <x:c r="L37" s="72" t="str">
        <x:v>Fixed</x:v>
      </x:c>
      <x:c r="M37" s="72" t="str">
        <x:v>Label recipe portions as serving or servings on meal and macro surfaces.</x:v>
      </x:c>
      <x:c r="N37" s="72" t="str">
        <x:v>Today.vue, Add.vue, MacroBreakdown.vue; iosUxRegressions.test.ts.</x:v>
      </x:c>
      <x:c r="O37" s="72" t="str">
        <x:v>Passed</x:v>
      </x:c>
      <x:c r="P37" s="72" t="str">
        <x:v>Passed</x:v>
      </x:c>
      <x:c r="Q37" s="72" t="str">
        <x:v>Build 16 on both platforms displays 1 serving, 2 servings and 4 servings in Today, each meal detail and Protein/Carbs/Fat breakdowns. The 281-kcal recipe scales to 70/141/281 kcal with exact expected macros. This closes the bare-label defect, not the separate Android rendering failure DEF-091.</x:v>
      </x:c>
      <x:c r="R37" s="72" t="str">
        <x:v>Focused native closure Sep 4, 2026. Source checks remain passing: RecipeTest 11 tests / 73 assertions and the serving-label frontend regression. The broader NUT-051 Android story remains Failed because of DEF-091.</x:v>
      </x:c>
    </x:row>
    <x:row r="38" ht="26.399999618530273" hidden="0" customHeight="1">
      <x:c r="A38" t="str">
        <x:v>DEF-034</x:v>
      </x:c>
      <x:c r="B38" t="str">
        <x:v>NUT-052</x:v>
      </x:c>
      <x:c r="C38" t="str">
        <x:v>UX</x:v>
      </x:c>
      <x:c r="D38" t="str">
        <x:v>Both</x:v>
      </x:c>
      <x:c r="E38" t="str">
        <x:v>Medium</x:v>
      </x:c>
      <x:c r="F38" t="str">
        <x:v>Recipe serving errors persist after leaving and reopening the log form</x:v>
      </x:c>
      <x:c r="G38" t="str">
        <x:v>Submit 100.1 servings, press Back after the visible maximum error, then reopen the recipe.</x:v>
      </x:c>
      <x:c r="H38" t="str">
        <x:v>Starting a fresh log attempt clears the prior server error and restores the saved yield.</x:v>
      </x:c>
      <x:c r="I38" t="str">
        <x:v>The saved yield was restored but the stale maximum-100 error remained visible on the reopened form.</x:v>
      </x:c>
      <x:c r="J38" t="str">
        <x:v>/Users/mason/.codex/visualizations/2026/09/01/01a05def-1c0d-76d1-abc6-07c63a443582/emulator-runs/initial/android/NUT-051-recipe-a-two-servings-before-log.png</x:v>
      </x:c>
      <x:c r="K38" t="str">
        <x:v>/Users/mason/Sites/Buff/resources/js/Components/RecipeMode.vue resets log values in startLog but does not clear logForm errors when entering or leaving the state.</x:v>
      </x:c>
      <x:c r="L38" t="str">
        <x:v>In Progress</x:v>
      </x:c>
      <x:c r="M38" s="70" t="str">
        <x:v>Clear stale recipe logging errors when starting a new logging interaction.</x:v>
      </x:c>
      <x:c r="N38" s="70" t="str">
        <x:v>RecipeMode.vue; recipeDesign.test.ts.</x:v>
      </x:c>
      <x:c r="O38" t="str">
        <x:v>Not Run</x:v>
      </x:c>
      <x:c r="P38" t="str">
        <x:v>Not Run</x:v>
      </x:c>
      <x:c r="Q38" t="str"/>
      <x:c r="R38" s="70" t="str">
        <x:v>The original 100.1 submission itself showed the correct server message and created no meal.</x:v>
      </x:c>
    </x:row>
    <x:row r="39" ht="321.6000061035156" hidden="0" customHeight="1">
      <x:c r="A39" s="72" t="str">
        <x:v>DEF-035</x:v>
      </x:c>
      <x:c r="B39" s="72" t="str">
        <x:v>NUT-052</x:v>
      </x:c>
      <x:c r="C39" s="72" t="str">
        <x:v>UX</x:v>
      </x:c>
      <x:c r="D39" s="72" t="str">
        <x:v>Both</x:v>
      </x:c>
      <x:c r="E39" s="72" t="str">
        <x:v>High</x:v>
      </x:c>
      <x:c r="F39" s="72" t="str">
        <x:v>Blank recipe servings silently log the full saved recipe yield</x:v>
      </x:c>
      <x:c r="G39" s="72" t="str">
        <x:v>Open a saved recipe whose yield is 0.1, clear Servings completely, and press Log recipe.</x:v>
      </x:c>
      <x:c r="H39" s="72" t="str">
        <x:v>The required numeric field is rejected with guidance and no meal is created.</x:v>
      </x:c>
      <x:c r="I39" s="72" t="str">
        <x:v>The app redirected to Today and created a 0.1-serving, 39-kcal meal with no validation feedback.</x:v>
      </x:c>
      <x:c r="J39" s="72" t="str">
        <x:v>/Users/mason/.codex/visualizations/2026/09/01/01a05def-1c0d-76d1-abc6-07c63a443582/emulator-runs/initial/android/NUT-052-recipe-b-blank-servings-before-log.png
/Users/mason/.codex/visualizations/2026/09/01/01a05def-1c0d-76d1-abc6-07c63a443582/emulator-runs/initial/android/NUT-052-recipe-b-blank-servings-logged.png</x:v>
      </x:c>
      <x:c r="K39" s="72" t="str">
        <x:v>/Users/mason/Sites/Buff/app/Http/Controllers/MealController.php validates servings as nullable and then substitutes the recipe's saved yield when the submitted value is blank.</x:v>
      </x:c>
      <x:c r="L39" s="72" t="str">
        <x:v>Fixed</x:v>
      </x:c>
      <x:c r="M39" s="72" t="str">
        <x:v>Require explicit valid recipe servings instead of substituting the recipe yield for a blank value.</x:v>
      </x:c>
      <x:c r="N39" s="72" t="str">
        <x:v>/Users/mason/Sites/Buff/app/Http/Controllers/MealController.php; /Users/mason/Sites/Buff/tests/Feature/RecipeTest.php (required recipe servings validation).</x:v>
      </x:c>
      <x:c r="O39" s="72" t="str">
        <x:v>Passed</x:v>
      </x:c>
      <x:c r="P39" s="72" t="str">
        <x:v>Passed</x:v>
      </x:c>
      <x:c r="Q39" s="72" t="str">
        <x:v>Both build 15 emulators rejected blank recipe servings with native required-field feedback, kept the log form open and sent no recipe-log request. No meal was created; the QA day's original 500 kcal remained unchanged. This closes the original silent saved-yield substitution flow, not all validation branches of NUT-052.</x:v>
      </x:c>
      <x:c r="R39" s="72" t="str">
        <x:v>Build 15 recipe log input is required. Clearing it and pressing Log recipe showed Please fill out this field, kept the form open and sent no /meals/recipe request. The full saved yield was not logged. No QA meal was created by this validation test.
iOS build 15: clearing recipe A servings and pressing Log recipe kept the form open with native Fill out this field feedback. The input was required, valueMissing was true, and no /meals/recipe request was observed. Today still contained only the original 500 kcal custom meal afterward. This verifies the visible blank-input workflow, not a bypassed-client server rejection. Evidence: /Users/mason/.codex/visualizations/2026/09/01/01a05def-1c0d-76d1-abc6-07c63a443582/emulator-runs/retest/ios/NUT-052-blank-servings-native-validation.png
/Users/mason/.codex/visualizations/2026/09/01/01a05def-1c0d-76d1-abc6-07c63a443582/emulator-runs/retest/ios/NUT-052-053-056-today-preserved500.png
/Users/mason/.codex/visualizations/2026/09/01/01a05def-1c0d-76d1-abc6-07c63a443582/emulator-runs/retest/ios/NUT-043-057-batch008-observations.json</x:v>
      </x:c>
    </x:row>
    <x:row r="40" ht="282" hidden="0" customHeight="1">
      <x:c r="A40" s="72" t="str">
        <x:v>DEF-036</x:v>
      </x:c>
      <x:c r="B40" s="72" t="str">
        <x:v>NUT-053</x:v>
      </x:c>
      <x:c r="C40" s="72" t="str">
        <x:v>UX</x:v>
      </x:c>
      <x:c r="D40" s="72" t="str">
        <x:v>Both</x:v>
      </x:c>
      <x:c r="E40" s="72" t="str">
        <x:v>Medium</x:v>
      </x:c>
      <x:c r="F40" s="72" t="str">
        <x:v>Recipe delete controls have indistinguishable accessible names</x:v>
      </x:c>
      <x:c r="G40" s="72" t="str">
        <x:v>Create at least two recipes and inspect the trash controls in the saved recipe list.</x:v>
      </x:c>
      <x:c r="H40" s="72" t="str">
        <x:v>Each control identifies its target, such as Delete QA Recipe A Android 20260901.</x:v>
      </x:c>
      <x:c r="I40" s="72" t="str">
        <x:v>Both controls were announced only as Delete recipe, so a screen-reader user cannot distinguish the recipes before activation.</x:v>
      </x:c>
      <x:c r="J40" s="72" t="str">
        <x:v>/Users/mason/.codex/visualizations/2026/09/01/01a05def-1c0d-76d1-abc6-07c63a443582/emulator-runs/initial/android/NUT-053-recipe-list-after-delete.png</x:v>
      </x:c>
      <x:c r="K40" s="72" t="str">
        <x:v>/Users/mason/Sites/Buff/resources/js/Components/RecipeMode.vue hardcodes aria-label='Delete recipe' for every recipe row.</x:v>
      </x:c>
      <x:c r="L40" s="72" t="str">
        <x:v>Fixed</x:v>
      </x:c>
      <x:c r="M40" s="72" t="str">
        <x:v>Include the recipe name in each delete action’s accessible label.</x:v>
      </x:c>
      <x:c r="N40" s="72" t="str">
        <x:v>RecipeMode.vue; recipeDesign.test.ts.</x:v>
      </x:c>
      <x:c r="O40" s="72" t="str">
        <x:v>Passed</x:v>
      </x:c>
      <x:c r="P40" s="72" t="str">
        <x:v>Passed</x:v>
      </x:c>
      <x:c r="Q40" s="72" t="str">
        <x:v>Both build 15 emulators expose distinct delete accessible names containing each saved recipe's full name. Confirmations identify the selected recipe and Cancel preserves both records. This closes the indistinguishable-name defect; it does not claim full screen-reader or destructive-delete coverage.</x:v>
      </x:c>
      <x:c r="R40" s="72" t="str">
        <x:v>Two saved recipes exposed distinct Edit and Delete accessible names containing their full recipe names. The opened confirmation named QA recipe A revised 2026-09-04; explicit Cancel retained both recipes.
iOS build 15: the two trash controls exposed distinct Delete QA recipe A revised 2026-09-04 and Delete QA recipe B offline 2026-09-04 aria-labels; both measured 44 × 44 CSS pixels. Each opened a dialog naming the selected recipe. Cancel retained both rows. Native VoiceOver announcement was not exercised. Evidence: /Users/mason/.codex/visualizations/2026/09/01/01a05def-1c0d-76d1-abc6-07c63a443582/emulator-runs/retest/ios/NUT-053-recipe-a-delete-cancel.png
/Users/mason/.codex/visualizations/2026/09/01/01a05def-1c0d-76d1-abc6-07c63a443582/emulator-runs/retest/ios/NUT-053-recipe-b-delete-cancel.png
/Users/mason/.codex/visualizations/2026/09/01/01a05def-1c0d-76d1-abc6-07c63a443582/emulator-runs/retest/ios/NUT-043-057-batch008-observations.json</x:v>
      </x:c>
    </x:row>
    <x:row r="41" ht="216" hidden="0" customHeight="1">
      <x:c r="A41" s="72" t="str">
        <x:v>DEF-037</x:v>
      </x:c>
      <x:c r="B41" s="72" t="str">
        <x:v>NUT-056</x:v>
      </x:c>
      <x:c r="C41" s="72" t="str">
        <x:v>UX</x:v>
      </x:c>
      <x:c r="D41" s="72" t="str">
        <x:v>Both</x:v>
      </x:c>
      <x:c r="E41" s="72" t="str">
        <x:v>High</x:v>
      </x:c>
      <x:c r="F41" s="72" t="str">
        <x:v>Saved recipes cannot be edited from the app</x:v>
      </x:c>
      <x:c r="G41" s="72" t="str">
        <x:v>Inspect saved recipe rows, recipe log review, and creation state for an Edit recipe action.</x:v>
      </x:c>
      <x:c r="H41" s="72" t="str">
        <x:v>A user can open a saved recipe, edit its name, yield, or ingredients, and submit the existing update endpoint.</x:v>
      </x:c>
      <x:c r="I41" s="72" t="str">
        <x:v>The UI exposes only log and delete controls even though the app has a PUT recipe route and update controller.</x:v>
      </x:c>
      <x:c r="J41" s="72" t="str">
        <x:v>/Users/mason/.codex/visualizations/2026/09/01/01a05def-1c0d-76d1-abc6-07c63a443582/emulator-runs/initial/android/NUT-053-recipe-list-after-delete.png</x:v>
      </x:c>
      <x:c r="K41" s="72" t="str">
        <x:v>/Users/mason/Sites/Buff/resources/js/Components/RecipeMode.vue has no edit state or update submission wired to /Users/mason/Sites/Buff/app/Http/Controllers/RecipeController.php::update.</x:v>
      </x:c>
      <x:c r="L41" s="72" t="str">
        <x:v>Fixed</x:v>
      </x:c>
      <x:c r="M41" s="72" t="str">
        <x:v>Open saved recipes in the existing editor and submit updates to the existing update endpoint.</x:v>
      </x:c>
      <x:c r="N41" s="72" t="str">
        <x:v>RecipeMode.vue; RecipeTest, recipeDesign.test.ts.
Current source: RecipeTest42/42,304 assertions; full PHP396/396,3141 assertions. Existing actual-template label test passed; independent review, Pint and diff checks passed. No production source changed in this checkpoint.</x:v>
      </x:c>
      <x:c r="O41" s="72" t="str">
        <x:v>Passed</x:v>
      </x:c>
      <x:c r="P41" s="72" t="str">
        <x:v>Passed</x:v>
      </x:c>
      <x:c r="Q41" s="72" t="str">
        <x:v>The original missing Edit capability is verified fixed on both build16 emulators. Saved recipes can be opened with exact copied values, renamed, changed in yield and ingredients, updated with feedback and reopened after relaunch. Broader NUT-056 validation/product/offline coverage is tracked separately.</x:v>
      </x:c>
      <x:c r="R41" s="72" t="str">
        <x:v>Build 15 exposes Edit per recipe. The editor accurately prefilled the saved name, yield 4 and two ingredient snapshots. Updating the name, yield to 2 and removing the 99-kcal ingredient saved the same UUID with 165 kcal/P10/C20/F5. The update survived offline process restart. A later name-only draft was cancelled and did not persist. Broader validation, offline update and prior-meal snapshot cases remain unverified.
Build16: both platforms completed native saved updates using disposable QA recipes. The same recipe UUID and exact ingredient snapshots survived updates; earlier logged meal snapshots stayed independent. This closes the missing-action defect, not every branch of NUT-056.</x:v>
      </x:c>
    </x:row>
    <x:row r="42" ht="39.599998474121094" hidden="0" customHeight="1">
      <x:c r="A42" t="str">
        <x:v>DEF-038</x:v>
      </x:c>
      <x:c r="B42" t="str">
        <x:v>ACC-026, HLT-007</x:v>
      </x:c>
      <x:c r="C42" t="str">
        <x:v>UX</x:v>
      </x:c>
      <x:c r="D42" t="str">
        <x:v>Both</x:v>
      </x:c>
      <x:c r="E42" t="str">
        <x:v>Medium</x:v>
      </x:c>
      <x:c r="F42" t="str">
        <x:v>Switching onboarding height units changes the canonical height</x:v>
      </x:c>
      <x:c r="G42" t="str">
        <x:v>In onboarding enter 180 cm, switch to Feet &amp; inches, then switch back to Centimetres and inspect the displayed and persisted value.</x:v>
      </x:c>
      <x:c r="H42" t="str">
        <x:v>Changing only the display unit leaves the canonical height at exactly 180 cm.</x:v>
      </x:c>
      <x:c r="I42" t="str">
        <x:v>180 cm became 5 ft 10.9 in and then 180.1 cm; the persisted draft's canonical height_cm also changed to 180.1.</x:v>
      </x:c>
      <x:c r="J42" t="str">
        <x:v>/Users/mason/.codex/visualizations/2026/09/01/01a05def-1c0d-76d1-abc6-07c63a443582/emulator-runs/initial/android-guest/dom-observations-batch-014.json</x:v>
      </x:c>
      <x:c r="K42" t="str">
        <x:v>/Users/mason/Sites/Buff/resources/js/Pages/Onboarding.vue updates the rounded display value in setHeightUnit, and its heightDisplay watcher converts that rounded value back into canonical centimetres using the one-decimal helpers in bodyUnits.ts.</x:v>
      </x:c>
      <x:c r="L42" t="str">
        <x:v>In Progress</x:v>
      </x:c>
      <x:c r="M42" s="70" t="str">
        <x:v>Suppress canonical-value watchers during display-unit conversion to prevent rounded display values changing stored height or weight.</x:v>
      </x:c>
      <x:c r="N42" s="70" t="str">
        <x:v>Onboarding.vue; iosUxRegressions.test.ts.</x:v>
      </x:c>
      <x:c r="O42" t="str">
        <x:v>Not Run</x:v>
      </x:c>
      <x:c r="P42" t="str">
        <x:v>Not Run</x:v>
      </x:c>
      <x:c r="Q42" t="str"/>
      <x:c r="R42" s="70" t="str">
        <x:v>The value was reset to exactly 180 cm before onboarding completion. Weight 80 kg round-tripped through 176.4 lb without drift.</x:v>
      </x:c>
    </x:row>
    <x:row r="43" ht="26.399999618530273" hidden="0" customHeight="1">
      <x:c r="A43" t="str">
        <x:v>DEF-039</x:v>
      </x:c>
      <x:c r="B43" t="str">
        <x:v>ACC-026</x:v>
      </x:c>
      <x:c r="C43" t="str">
        <x:v>UX</x:v>
      </x:c>
      <x:c r="D43" t="str">
        <x:v>Both</x:v>
      </x:c>
      <x:c r="E43" t="str">
        <x:v>Medium</x:v>
      </x:c>
      <x:c r="F43" t="str">
        <x:v>Onboarding current-weight bounds are silent and omit the 1000 kg maximum</x:v>
      </x:c>
      <x:c r="G43" t="str">
        <x:v>At current weight enter 1001 kg and inspect the field, Next button, and accessibility state.</x:v>
      </x:c>
      <x:c r="H43" t="str">
        <x:v>The field exposes the 1-1000 kg range, marks 1001 invalid, and explains how to continue.</x:v>
      </x:c>
      <x:c r="I43" t="str">
        <x:v>The input had min=1 but no max, browser validity remained true, aria-invalid remained false, no message appeared, and Next was silently disabled.</x:v>
      </x:c>
      <x:c r="J43" t="str">
        <x:v>/Users/mason/.codex/visualizations/2026/09/01/01a05def-1c0d-76d1-abc6-07c63a443582/emulator-runs/initial/android-guest/ACC-026-current-weight-1001-no-error.png</x:v>
      </x:c>
      <x:c r="K43" t="str">
        <x:v>/Users/mason/Sites/Buff/resources/js/Pages/Onboarding.vue omits max=1000 and local error text from the current-weight Input while nextDisabled separately enforces the upper bound.</x:v>
      </x:c>
      <x:c r="L43" t="str">
        <x:v>In Progress</x:v>
      </x:c>
      <x:c r="M43" s="70" t="str">
        <x:v>Expose unit-correct current-weight bounds and visible local validation for the 1–1000 kg range.</x:v>
      </x:c>
      <x:c r="N43" s="70" t="str">
        <x:v>Onboarding.vue; iosUxRegressions.test.ts, OnboardingTest.</x:v>
      </x:c>
      <x:c r="O43" t="str">
        <x:v>Not Run</x:v>
      </x:c>
      <x:c r="P43" t="str">
        <x:v>Not Run</x:v>
      </x:c>
      <x:c r="Q43" t="str"/>
      <x:c r="R43" s="70" t="str">
        <x:v>Blank and sub-1 values also disable Next; 80 kg and its lb round trip worked.</x:v>
      </x:c>
    </x:row>
    <x:row r="44" ht="26.399999618530273" hidden="0" customHeight="1">
      <x:c r="A44" t="str">
        <x:v>DEF-040</x:v>
      </x:c>
      <x:c r="B44" t="str">
        <x:v>ACC-027, HLT-036</x:v>
      </x:c>
      <x:c r="C44" t="str">
        <x:v>UX</x:v>
      </x:c>
      <x:c r="D44" t="str">
        <x:v>Both</x:v>
      </x:c>
      <x:c r="E44" t="str">
        <x:v>Medium</x:v>
      </x:c>
      <x:c r="F44" t="str">
        <x:v>Zero target weight is treated as valid and advances onboarding</x:v>
      </x:c>
      <x:c r="G44" t="str">
        <x:v>Use current weight 80 kg, choose Lose weight, enter target weight 0, and press Next.</x:v>
      </x:c>
      <x:c r="H44" t="str">
        <x:v>Zero is rejected inline because target weight must be 1-1000 kg and lower than the current weight.</x:v>
      </x:c>
      <x:c r="I44" t="str">
        <x:v>The browser reported a min=1 underflow, but aria-invalid was false, Next was enabled, and the wizard advanced to pace with target_weight_kg=0.</x:v>
      </x:c>
      <x:c r="J44" t="str">
        <x:v>/Users/mason/.codex/visualizations/2026/09/01/01a05def-1c0d-76d1-abc6-07c63a443582/emulator-runs/initial/android-guest/ACC-027-target-zero-next-enabled.png</x:v>
      </x:c>
      <x:c r="K44" t="str">
        <x:v>/Users/mason/Sites/Buff/resources/js/Pages/Onboarding.vue selectedTargetIsValid checks only lower/higher direction; nextDisabled does not enforce the server's 1-1000 target range.</x:v>
      </x:c>
      <x:c r="L44" t="str">
        <x:v>In Progress</x:v>
      </x:c>
      <x:c r="M44" s="70" t="str">
        <x:v>Require finite in-range target and current weights before advancing, in addition to goal direction.</x:v>
      </x:c>
      <x:c r="N44" s="70" t="str">
        <x:v>Onboarding.vue, OnboardingController.php; OnboardingTest, iosUxRegressions.test.ts.</x:v>
      </x:c>
      <x:c r="O44" t="str">
        <x:v>Not Run</x:v>
      </x:c>
      <x:c r="P44" t="str">
        <x:v>Not Run</x:v>
      </x:c>
      <x:c r="Q44" t="str"/>
      <x:c r="R44" s="70" t="str">
        <x:v>The value was restored to 70 kg before completion.</x:v>
      </x:c>
    </x:row>
    <x:row r="45" ht="136.8000030517578" hidden="0" customHeight="1">
      <x:c r="A45" s="72" t="str">
        <x:v>DEF-041</x:v>
      </x:c>
      <x:c r="B45" s="72" t="str">
        <x:v>ACC-031, HLT-029, HLT-036</x:v>
      </x:c>
      <x:c r="C45" s="72" t="str">
        <x:v>UX</x:v>
      </x:c>
      <x:c r="D45" s="72" t="str">
        <x:v>Both</x:v>
      </x:c>
      <x:c r="E45" s="72" t="str">
        <x:v>High</x:v>
      </x:c>
      <x:c r="F45" s="72" t="str">
        <x:v>Selecting Custom macro split resets a balanced plan to 0/0/100</x:v>
      </x:c>
      <x:c r="G45" s="72" t="str">
        <x:v>Open either onboarding plan customization or Goals with a 30% protein, 40% carbohydrate, 30% fat plan and select Custom.</x:v>
      </x:c>
      <x:c r="H45" s="72" t="str">
        <x:v>Custom opens at the current 30/40/30 split and does not change targets until the user moves a control.</x:v>
      </x:c>
      <x:c r="I45" s="72" t="str">
        <x:v>The split immediately changed to 0% protein, 0% carbohydrate, and 100% fat; Save/Start remained enabled for the resulting fat-only plan.</x:v>
      </x:c>
      <x:c r="J45" s="72" t="str">
        <x:v>/Users/mason/.codex/visualizations/2026/09/01/01a05def-1c0d-76d1-abc6-07c63a443582/emulator-runs/initial/android-guest/ACC-031-custom-split-resets-to-fat-100.png
/Users/mason/.codex/visualizations/2026/09/01/01a05def-1c0d-76d1-abc6-07c63a443582/emulator-runs/initial/android-guest/HLT-029-custom-split-resets-to-fat-100.png</x:v>
      </x:c>
      <x:c r="K45" s="72" t="str">
        <x:v>/Users/mason/Sites/Buff/resources/js/Components/DailyTargetsEditor.vue opens the custom wheels with smooth programmatic scrolling while the passive scroll handler is active; initial scroll events at offset zero overwrite customSplit before the wheels reach 30/40.</x:v>
      </x:c>
      <x:c r="L45" s="72" t="str">
        <x:v>Fixed</x:v>
      </x:c>
      <x:c r="M45" s="72" t="str">
        <x:v>Position custom macro wheels without smooth intermediate scrolling so initial events do not overwrite the selected split.</x:v>
      </x:c>
      <x:c r="N45" s="72" t="str">
        <x:v>DailyTargetsEditor.vue; iosUxRegressions.test.ts.</x:v>
      </x:c>
      <x:c r="O45" s="72" t="str">
        <x:v>Passed</x:v>
      </x:c>
      <x:c r="P45" s="72" t="str">
        <x:v>Passed</x:v>
      </x:c>
      <x:c r="Q45" s="72" t="str">
        <x:v>2026-09-08 final iOS onboarding retest Passed on fresh BuffFinalQA simulator, debug29. Personalized maintenance plan 2750 kcal opened Custom for the first time with all three wheels at 30/40/30, unchanged. Start Buff saved successfully and Today showed 2750 kcal with rounded 206g protein, 275g carbs and 92g fat. Together with earlier Android onboarding and both-platform Goals checks, the reported first-Custom reset is verified fixed.</x:v>
      </x:c>
      <x:c r="R45" s="72" t="str">
        <x:v>Final native iOS evidence: /Users/mason/.codex/visualizations/2026/09/06/01a07722-2d43-7910-aa74-f3a7d9489dc2/release-qa/DEF-041-ios-first-custom-final.png; /Users/mason/.codex/visualizations/2026/09/06/01a07722-2d43-7910-aa74-f3a7d9489dc2/release-qa/DEF-041-ios-saved-final.png Scrolling via focused panel and Space exposed the controls without remote inspection. Existing QA data preserved.</x:v>
      </x:c>
    </x:row>
    <x:row r="46" ht="163.1999969482422" hidden="0" customHeight="1">
      <x:c r="A46" s="72" t="str">
        <x:v>DEF-042</x:v>
      </x:c>
      <x:c r="B46" s="72" t="str">
        <x:v>ACC-028, HLT-036, HLT-037</x:v>
      </x:c>
      <x:c r="C46" s="72" t="str">
        <x:v>UX</x:v>
      </x:c>
      <x:c r="D46" s="72" t="str">
        <x:v>Both</x:v>
      </x:c>
      <x:c r="E46" s="72" t="str">
        <x:v>High</x:v>
      </x:c>
      <x:c r="F46" s="72" t="str">
        <x:v>Age 18 gets adult weight-change controls with an adolescent energy equation</x:v>
      </x:c>
      <x:c r="G46" s="72" t="str">
        <x:v>Complete the same male, 80 kg, 180 cm, moderate, lose-0.5 kg/week plan at ages 17, 18, 19, and 30.</x:v>
      </x:c>
      <x:c r="H46" s="72" t="str">
        <x:v>The teen safety policy and the energy equation use one consistent age boundary without a one-year calorie cliff.</x:v>
      </x:c>
      <x:c r="I46" s="72" t="str">
        <x:v>Age 17 received maintenance-only 3600 kcal. Age 18 exposed adult target and pace controls but used the adolescent baseline and recommended 3050 kcal for loss; age 19 switches to the adult equation at about 2300 kcal for the same loss inputs.</x:v>
      </x:c>
      <x:c r="J46" s="72" t="str">
        <x:v>/Users/mason/.codex/visualizations/2026/09/01/01a05def-1c0d-76d1-abc6-07c63a443582/emulator-runs/initial/android-guest/ACC-029-teen-age17-maintenance-only.png
/Users/mason/.codex/visualizations/2026/09/01/01a05def-1c0d-76d1-abc6-07c63a443582/emulator-runs/initial/android-guest/ACC-028-age18-adolescent-equation-adult-loss.png
/Users/mason/.codex/visualizations/2026/09/01/01a05def-1c0d-76d1-abc6-07c63a443582/emulator-runs/initial/android-guest/ACC-028-adult-age30-lose-plan.png</x:v>
      </x:c>
      <x:c r="K46" s="72" t="str">
        <x:v>/Users/mason/Sites/Buff/app/Services/EnergyEstimator.php uses the adolescent equation through age &lt;=18, while Onboarding.vue and OnboardingController.php apply teen protections only below 18 and require adult pace starting at 18.</x:v>
      </x:c>
      <x:c r="L46" s="72" t="str">
        <x:v>Fixed</x:v>
      </x:c>
      <x:c r="M46" s="72" t="str">
        <x:v>Apply maintenance-only teen behavior through age 18 consistently; adult weight-change pace and ad audience begin at 19.</x:v>
      </x:c>
      <x:c r="N46" s="72" t="str">
        <x:v>EnergyEstimator, OnboardingController, Onboarding.vue, HandleInertiaRequests; EnergyEstimatorTest, OnboardingTest, AdAudienceTest.</x:v>
      </x:c>
      <x:c r="O46" s="72" t="str">
        <x:v>Passed</x:v>
      </x:c>
      <x:c r="P46" s="72" t="str">
        <x:v>Passed</x:v>
      </x:c>
      <x:c r="Q46" s="72" t="str">
        <x:v>Fresh account7: both native platforms at age18/male/180cm/80kg/moderate/Lose produced maintenance3600kcal with teen notice and no target/pace steps. iOS saved the plan and cold-restarted into Today with3600kcal/270P/360C/120F.</x:v>
      </x:c>
      <x:c r="R46" s="72" t="str">
        <x:v>Age-17 maintenance safety and the age-30 personalized plan otherwise matched the documented calculations.</x:v>
      </x:c>
    </x:row>
    <x:row r="47" ht="97.19999694824219" hidden="0" customHeight="1">
      <x:c r="A47" s="72" t="str">
        <x:v>DEF-043</x:v>
      </x:c>
      <x:c r="B47" s="72" t="str">
        <x:v>ACC-025, ACC-030, HLT-035, HLT-038</x:v>
      </x:c>
      <x:c r="C47" s="72" t="str">
        <x:v>Logistical</x:v>
      </x:c>
      <x:c r="D47" s="72" t="str">
        <x:v>Android</x:v>
      </x:c>
      <x:c r="E47" s="72" t="str">
        <x:v>High</x:v>
      </x:c>
      <x:c r="F47" s="72" t="str">
        <x:v>Cold-resuming while an onboarding plan is loading corrupts the plan state</x:v>
      </x:c>
      <x:c r="G47" s="72" t="str">
        <x:v>Persist a valid onboarding draft at step=plan with plan=null, force-stop the Android app, relaunch, and observe the automatic plan request and restored form.</x:v>
      </x:c>
      <x:c r="H47" s="72" t="str">
        <x:v>The valid draft is resubmitted, the estimate reloads, and the same plan step remains usable; a failure keeps valid editable defaults with an explanation.</x:v>
      </x:c>
      <x:c r="I47" s="72" t="str">
        <x:v>DevTools showed the correct JSON POST, but Laravel returned missing current_weight_kg and goal errors. The validation payload was stored as the plan, calories/macros disappeared from the draft, and the UI rendered an unexplained Start with a simple plan state.</x:v>
      </x:c>
      <x:c r="J47" s="72" t="str">
        <x:v>/Users/mason/.codex/visualizations/2026/09/01/01a05def-1c0d-76d1-abc6-07c63a443582/emulator-runs/initial/android-guest/dom-observations-batch-014.json</x:v>
      </x:c>
      <x:c r="K47" s="72" t="str">
        <x:v>Confirmed native transport race: WebViewManager installs request-body capture in onPageFinished, after mount/DOMContentLoaded requests. Native build23 valid JSON POST sent with __nphpPostPatched=false returned422 missing current_weight_kg and goal. Identical request with the generated script at document start returned200.</x:v>
      </x:c>
      <x:c r="L47" s="72" t="str">
        <x:v>Fixed</x:v>
      </x:c>
      <x:c r="M47" s="72" t="str">
        <x:v>Reuse the native bridge script at WebView document start for the loopback app origin, via the existing native-shell post-compile hook and installed AndroidX WebKit. Observe document rather than an unavailable document.body. Keep feature-gated late injection fallback for older WebViews.</x:v>
      </x:c>
      <x:c r="N47" s="72" t="str">
        <x:v>NativePluginHooksTest8/8,152 assertions. Full PHP409/409,3271 assertions; frontend228/228; TypeScript/Pint/diff pass. Rebuilt installed Android shell now captures the early estimate body:200/calories2100 with __nphpPostPatched=true atDOMContentLoaded.</x:v>
      </x:c>
      <x:c r="O47" s="72" t="str">
        <x:v>Not Run</x:v>
      </x:c>
      <x:c r="P47" s="72" t="str">
        <x:v>Passed</x:v>
      </x:c>
      <x:c r="Q47" s="72" t="str">
        <x:v>Fresh disposable account7 in isolated Android QA user11. Persisted valid step=plan,plan=null, allowed storage flush, force-stopped/relaunched. On mount the real native POST restored3600kcal/270P/360C/120F and editable Your plan; document-start body capture true. Existing QA user10 data preserved.</x:v>
      </x:c>
      <x:c r="R47" s="72" t="str">
        <x:v>Normal process-death resume at the height step passed, and ordinary in-flow plus airplane-mode plan requests succeeded.</x:v>
      </x:c>
    </x:row>
    <x:row r="48" ht="26.399999618530273" hidden="0" customHeight="1">
      <x:c r="A48" t="str">
        <x:v>DEF-044</x:v>
      </x:c>
      <x:c r="B48" t="str">
        <x:v>ACC-036, HLT-033</x:v>
      </x:c>
      <x:c r="C48" t="str">
        <x:v>UX</x:v>
      </x:c>
      <x:c r="D48" t="str">
        <x:v>Both</x:v>
      </x:c>
      <x:c r="E48" t="str">
        <x:v>Medium</x:v>
      </x:c>
      <x:c r="F48" t="str">
        <x:v>Body profile advertises the wrong height range</x:v>
      </x:c>
      <x:c r="G48" t="str">
        <x:v>Open Settings &gt; Body profile, enter 49 cm, inspect browser validity, and save.</x:v>
      </x:c>
      <x:c r="H48" t="str">
        <x:v>The field exposes the canonical 50-260 cm range and rejects 49 before submission.</x:v>
      </x:c>
      <x:c r="I48" t="str">
        <x:v>The field declared min=1 with no max, considered 49 valid, and allowed Save; only the server response then explained that 50 is the minimum.</x:v>
      </x:c>
      <x:c r="J48" t="str">
        <x:v>/Users/mason/.codex/visualizations/2026/09/01/01a05def-1c0d-76d1-abc6-07c63a443582/emulator-runs/initial/android-guest/ACC-036-body-height-client-server-min-mismatch.png</x:v>
      </x:c>
      <x:c r="K48" t="str">
        <x:v>/Users/mason/Sites/Buff/resources/js/Components/BodyProfileEditor.vue hardcodes min=1 and omits max for centimetres while BodyProfile::rules enforces 50-260.</x:v>
      </x:c>
      <x:c r="L48" t="str">
        <x:v>In Progress</x:v>
      </x:c>
      <x:c r="M48" s="70" t="str">
        <x:v>Match body-profile height input bounds to the server’s 50–260 cm range.</x:v>
      </x:c>
      <x:c r="N48" s="70" t="str">
        <x:v>BodyProfileEditor.vue; iosUxRegressions.test.ts, SettingsTest.</x:v>
      </x:c>
      <x:c r="O48" t="str">
        <x:v>Not Run</x:v>
      </x:c>
      <x:c r="P48" t="str">
        <x:v>Not Run</x:v>
      </x:c>
      <x:c r="Q48" t="str"/>
      <x:c r="R48" s="70" t="str">
        <x:v>The server error was visible and 180 cm was restored successfully afterward.</x:v>
      </x:c>
    </x:row>
    <x:row r="49" ht="26.399999618530273" hidden="0" customHeight="1">
      <x:c r="A49" t="str">
        <x:v>DEF-045</x:v>
      </x:c>
      <x:c r="B49" t="str">
        <x:v>ACC-036, HLT-033</x:v>
      </x:c>
      <x:c r="C49" t="str">
        <x:v>UX</x:v>
      </x:c>
      <x:c r="D49" t="str">
        <x:v>Both</x:v>
      </x:c>
      <x:c r="E49" t="str">
        <x:v>Medium</x:v>
      </x:c>
      <x:c r="F49" t="str">
        <x:v>Optional body-profile sex and activity cannot be cleared</x:v>
      </x:c>
      <x:c r="G49" t="str">
        <x:v>Open Settings &gt; Body profile for an account with sex and activity set, then inspect both selectors for an unset/clear choice.</x:v>
      </x:c>
      <x:c r="H49" t="str">
        <x:v>Because both fields are nullable, a user can return either selection to Not set without clearing unrelated profile or goal data.</x:v>
      </x:c>
      <x:c r="I49" t="str">
        <x:v>Sex offered only Male/Female and Activity offered only the five activity levels; neither selector nor the surrounding form had a clear action.</x:v>
      </x:c>
      <x:c r="J49" t="str">
        <x:v>/Users/mason/.codex/visualizations/2026/09/01/01a05def-1c0d-76d1-abc6-07c63a443582/emulator-runs/initial/android-guest/ACC-036-optional-profile-fields-cannot-clear.png</x:v>
      </x:c>
      <x:c r="K49" t="str">
        <x:v>/Users/mason/Sites/Buff/resources/js/Components/BodyProfileEditor.vue renders only non-empty SelectItems for sexOptions and activityLevelOptions and provides no control that writes the empty nullable value.</x:v>
      </x:c>
      <x:c r="L49" t="str">
        <x:v>In Progress</x:v>
      </x:c>
      <x:c r="M49" s="70" t="str">
        <x:v>Add Not set choices that map optional body-profile sex and activity back to empty values.</x:v>
      </x:c>
      <x:c r="N49" s="70" t="str">
        <x:v>BodyProfileEditor.vue; iosUxRegressions.test.ts, SettingsTest.</x:v>
      </x:c>
      <x:c r="O49" t="str">
        <x:v>Not Run</x:v>
      </x:c>
      <x:c r="P49" t="str">
        <x:v>Not Run</x:v>
      </x:c>
      <x:c r="Q49" t="str"/>
      <x:c r="R49" s="70" t="str">
        <x:v>Age and height remain directly clearable number inputs.</x:v>
      </x:c>
    </x:row>
    <x:row r="50" ht="26.399999618530273" hidden="0" customHeight="1">
      <x:c r="A50" t="str">
        <x:v>DEF-046</x:v>
      </x:c>
      <x:c r="B50" t="str">
        <x:v>ACC-079</x:v>
      </x:c>
      <x:c r="C50" t="str">
        <x:v>UX</x:v>
      </x:c>
      <x:c r="D50" t="str">
        <x:v>Both</x:v>
      </x:c>
      <x:c r="E50" t="str">
        <x:v>Medium</x:v>
      </x:c>
      <x:c r="F50" t="str">
        <x:v>Primary navigation exposes active state only through color</x:v>
      </x:c>
      <x:c r="G50" t="str">
        <x:v>Visit Home, Goals, and Progress and inspect the active primary navigation link with accessibility tooling.</x:v>
      </x:c>
      <x:c r="H50" t="str">
        <x:v>The visually active destination exposes aria-current=page or an equivalent programmatic current state.</x:v>
      </x:c>
      <x:c r="I50" t="str">
        <x:v>The active link received a color/background class, but every primary navigation link returned aria-current=null.</x:v>
      </x:c>
      <x:c r="J50" t="str">
        <x:v>/Users/mason/.codex/visualizations/2026/09/01/01a05def-1c0d-76d1-abc6-07c63a443582/emulator-runs/initial/android-guest/dom-observations-batch-014.json
/Users/mason/.codex/visualizations/2026/09/01/01a05def-1c0d-76d1-abc6-07c63a443582/emulator-runs/initial/android-guest/ACC-031-onboarding-complete-home.png</x:v>
      </x:c>
      <x:c r="K50" t="str">
        <x:v>/Users/mason/Sites/Buff/resources/js/Layouts/AppShell.vue computes active styling for desktop and mobile navigation but does not bind aria-current on the active Link.</x:v>
      </x:c>
      <x:c r="L50" t="str">
        <x:v>In Progress</x:v>
      </x:c>
      <x:c r="M50" s="70" t="str">
        <x:v>Expose aria-current=page on the active desktop and mobile primary navigation links.</x:v>
      </x:c>
      <x:c r="N50" s="70" t="str">
        <x:v>AppShell.vue; appShell.test.ts.</x:v>
      </x:c>
      <x:c r="O50" t="str">
        <x:v>Not Run</x:v>
      </x:c>
      <x:c r="P50" t="str">
        <x:v>Not Run</x:v>
      </x:c>
      <x:c r="Q50" t="str"/>
      <x:c r="R50" s="70" t="str">
        <x:v>Navigation and visual selection otherwise worked.</x:v>
      </x:c>
    </x:row>
    <x:row r="51" ht="255.60000610351562" hidden="0" customHeight="1">
      <x:c r="A51" s="72" t="str">
        <x:v>DEF-047</x:v>
      </x:c>
      <x:c r="B51" s="72" t="str">
        <x:v>ACC-031, HLT-029</x:v>
      </x:c>
      <x:c r="C51" s="72" t="str">
        <x:v>UX</x:v>
      </x:c>
      <x:c r="D51" s="72" t="str">
        <x:v>Both</x:v>
      </x:c>
      <x:c r="E51" s="72" t="str">
        <x:v>Medium</x:v>
      </x:c>
      <x:c r="F51" s="72" t="str">
        <x:v>Custom macro wheels are not exposed as labelled selectable controls</x:v>
      </x:c>
      <x:c r="G51" s="72" t="str">
        <x:v>Open Custom macro split and inspect protein/carbohydrate wheels and their percentage options with accessibility tooling.</x:v>
      </x:c>
      <x:c r="H51" s="72" t="str">
        <x:v>Each wheel has a supported control role/name/value and its active percentage is programmatically selected.</x:v>
      </x:c>
      <x:c r="I51" s="72" t="str">
        <x:v>Wheel containers had aria-label text but no role, percentage buttons were named only 0, 5, 10 and so on, and no option exposed selected state.</x:v>
      </x:c>
      <x:c r="J51" s="72" t="str">
        <x:v>/Users/mason/.codex/visualizations/2026/09/01/01a05def-1c0d-76d1-abc6-07c63a443582/emulator-runs/initial/android-guest/dom-observations-batch-014.json
/Users/mason/.codex/visualizations/2026/09/01/01a05def-1c0d-76d1-abc6-07c63a443582/emulator-runs/initial/android-guest/HLT-029-custom-split-resets-to-fat-100.png</x:v>
      </x:c>
      <x:c r="K51" s="72" t="str">
        <x:v>/Users/mason/Sites/Buff/resources/js/Components/DailyTargetsEditor.vue places aria-label on role-less scroll divs and renders plain number buttons without per-macro accessible names or selected-state attributes.</x:v>
      </x:c>
      <x:c r="L51" s="72" t="str">
        <x:v>In Progress</x:v>
      </x:c>
      <x:c r="M51" s="72" t="str">
        <x:v>Name macro wheels as listboxes and identify percentage choices as labelled selected options.</x:v>
      </x:c>
      <x:c r="N51" s="72" t="str">
        <x:v>DailyTargetsEditor.vue; iosUxRegressions.test.ts.</x:v>
      </x:c>
      <x:c r="O51" s="72" t="str">
        <x:v>Blocked</x:v>
      </x:c>
      <x:c r="P51" s="72" t="str">
        <x:v>Blocked</x:v>
      </x:c>
      <x:c r="Q51" s="72" t="str"/>
      <x:c r="R51" s="72" t="str">
        <x:v>Preset choices correctly use radiogroup/radio semantics. Build 15 Goals retests on both platforms expose Protein percentage and Carbs percentage vertical listboxes, per-macro percentage option names and aria-selected matching initial 30/40 and changed 0/0 choices. These are programmatic-semantics passes only. Native VoiceOver/TalkBack operation and the onboarding entry point remain untested, so aggregate retests stay partial. iOS evidence: /Users/mason/.codex/visualizations/2026/09/01/01a05def-1c0d-76d1-abc6-07c63a443582/emulator-runs/retest/ios/HLT-029-batch009-observations.json. Android evidence: /Users/mason/.codex/visualizations/2026/09/01/01a05def-1c0d-76d1-abc6-07c63a443582/emulator-runs/retest/android/HLT-029-custom-initial-304030.json and HLT-029-custom-zero-zero-100.json.</x:v>
      </x:c>
    </x:row>
    <x:row r="52" ht="123.5999984741211" hidden="0" customHeight="1">
      <x:c r="A52" s="72" t="str">
        <x:v>DEF-048</x:v>
      </x:c>
      <x:c r="B52" s="72" t="str">
        <x:v>ACC-050, ACC-058, ACC-082</x:v>
      </x:c>
      <x:c r="C52" s="72" t="str">
        <x:v>Logistical</x:v>
      </x:c>
      <x:c r="D52" s="72" t="str">
        <x:v>Both</x:v>
      </x:c>
      <x:c r="E52" s="72" t="str">
        <x:v>High</x:v>
      </x:c>
      <x:c r="F52" s="72" t="str">
        <x:v>A native shell can ship frontend assets compiled for the other platform</x:v>
      </x:c>
      <x:c r="G52" s="72" t="str">
        <x:v>Build one platform's Vite assets, package the other native shell without rebuilding public/build, then open Subscription or an eligible ad route and inspect the native bridge trace.</x:v>
      </x:c>
      <x:c r="H52" s="72" t="str">
        <x:v>The running native platform is authoritative, so Android always uses the Android RevenueCat key and Android ad path while iOS always uses the iOS equivalents, regardless of prior build order.</x:v>
      </x:c>
      <x:c r="I52" s="72" t="str">
        <x:v>The Android shell contained iOS-mode assets. It sent an iOS RevenueCat public key to Android, which returned INVALID_PARAMETERS, and the ad coordinator took iOS-only policy logic before showing the Android banner.</x:v>
      </x:c>
      <x:c r="J52" s="72" t="str">
        <x:v>/Users/mason/.codex/visualizations/2026/09/01/01a05def-1c0d-76d1-abc6-07c63a443582/emulator-runs/initial/android-guest/ACC-050-058-platform-mode-mismatch.log
/Users/mason/.codex/visualizations/2026/09/01/01a05def-1c0d-76d1-abc6-07c63a443582/emulator-runs/initial/android-guest/ACC-056-060-android-ios-mode-banner.png</x:v>
      </x:c>
      <x:c r="K52" s="72" t="str">
        <x:v>/Users/mason/Sites/Buff/resources/js/subscriptions.ts trusts import.meta.env.MODE before querying the native System platform, while NativePHP packaging reuses the single public/build directory and does not itself guarantee that the matching Vite mode was built last.</x:v>
      </x:c>
      <x:c r="L52" s="72" t="str">
        <x:v>Fixed</x:v>
      </x:c>
      <x:c r="M52" s="72" t="str">
        <x:v>Record the actual NativePHP asset platform and reject mismatched packaging before mutation. Subscription platform selection now uses native System detection exclusively.</x:v>
      </x:c>
      <x:c r="N52" s="72" t="str">
        <x:v>vite.config.ts, NativeRefreshServiceProvider, subscriptions.ts; NativePluginHooksTest, subscriptions.test.ts. Native retest pending.</x:v>
      </x:c>
      <x:c r="O52" s="72" t="str">
        <x:v>Passed</x:v>
      </x:c>
      <x:c r="P52" s="72" t="str">
        <x:v>Passed</x:v>
      </x:c>
      <x:c r="Q52" s="72" t="str">
        <x:v>Platform guard regression passes, including mismatched build rejection before mutation. Actual signed Android24 bundle marker is android; installed iOS23 app.zip marker is ios. Both native shells render their assets. Runtime subscription platform tests pass; purchase/entitlement matrix remains outside this startup retest.</x:v>
      </x:c>
      <x:c r="R52" s="72" t="str">
        <x:v>The current Android bridge reported platform=android; public SDK key values were redacted from the evidence log.</x:v>
      </x:c>
    </x:row>
    <x:row r="53" ht="26.399999618530273" hidden="0" customHeight="1">
      <x:c r="A53" t="str">
        <x:v>DEF-049</x:v>
      </x:c>
      <x:c r="B53" t="str">
        <x:v>ACC-050</x:v>
      </x:c>
      <x:c r="C53" t="str">
        <x:v>UX</x:v>
      </x:c>
      <x:c r="D53" t="str">
        <x:v>Both</x:v>
      </x:c>
      <x:c r="E53" t="str">
        <x:v>Medium</x:v>
      </x:c>
      <x:c r="F53" t="str">
        <x:v>Subscription setup errors tell native users to use the mobile app</x:v>
      </x:c>
      <x:c r="G53" t="str">
        <x:v>Open Subscription in a native shell where subscription configuration throws before completion.</x:v>
      </x:c>
      <x:c r="H53" t="str">
        <x:v>The page retains the detected native platform and explains that subscription setup or store options are unavailable on this device.</x:v>
      </x:c>
      <x:c r="I53" t="str">
        <x:v>The Android app rendered the unsupported-platform card 'Use the Buff mobile app' alongside the setup error, instructing a user already in the mobile app to use the mobile app.</x:v>
      </x:c>
      <x:c r="J53" t="str">
        <x:v>/Users/mason/.codex/visualizations/2026/09/01/01a05def-1c0d-76d1-abc6-07c63a443582/emulator-runs/initial/android-guest/ACC-049-050-subscription.png</x:v>
      </x:c>
      <x:c r="K53" t="str">
        <x:v>/Users/mason/Sites/Buff/resources/js/Pages/Settings/Subscription.vue assigns platform only after configureSubscriptions resolves; its catch sets platformResolved but leaves the initial platform='unsupported'.</x:v>
      </x:c>
      <x:c r="L53" t="str">
        <x:v>In Progress</x:v>
      </x:c>
      <x:c r="M53" s="70" t="str">
        <x:v>Resolve platform before store configuration so native setup failures retain correct store-specific recovery copy.</x:v>
      </x:c>
      <x:c r="N53" s="70" t="str">
        <x:v>Settings/Subscription.vue, subscriptions.ts; subscriptions.test.ts.</x:v>
      </x:c>
      <x:c r="O53" t="str">
        <x:v>Not Run</x:v>
      </x:c>
      <x:c r="P53" t="str">
        <x:v>Not Run</x:v>
      </x:c>
      <x:c r="Q53" t="str"/>
      <x:c r="R53" s="70" t="str">
        <x:v>The Buff+ feature list and inactive entitlement projection were otherwise present.</x:v>
      </x:c>
    </x:row>
    <x:row r="54" ht="26.399999618530273" hidden="0" customHeight="1">
      <x:c r="A54" t="str">
        <x:v>DEF-050</x:v>
      </x:c>
      <x:c r="B54" t="str">
        <x:v>ACC-050</x:v>
      </x:c>
      <x:c r="C54" t="str">
        <x:v>UX</x:v>
      </x:c>
      <x:c r="D54" t="str">
        <x:v>Both</x:v>
      </x:c>
      <x:c r="E54" t="str">
        <x:v>Medium</x:v>
      </x:c>
      <x:c r="F54" t="str">
        <x:v>Refreshing entitlement status erases a still-active store setup error</x:v>
      </x:c>
      <x:c r="G54" t="str">
        <x:v>Open Subscription while native setup/offering is unavailable, then tap Refresh status and wait for the server entitlement refresh to succeed.</x:v>
      </x:c>
      <x:c r="H54" t="str">
        <x:v>Refreshing server entitlement status leaves an unrelated native setup/offering error visible, or retries that native operation and replaces it with a truthful result.</x:v>
      </x:c>
      <x:c r="I54" t="str">
        <x:v>The alert disappeared after a successful server refresh even though there were still zero packages and no purchase controls, leaving only Refresh status with no explanation.</x:v>
      </x:c>
      <x:c r="J54" t="str">
        <x:v>/Users/mason/.codex/visualizations/2026/09/01/01a05def-1c0d-76d1-abc6-07c63a443582/emulator-runs/initial/android-guest/ACC-050-053-subscription-empty-after-refresh.png</x:v>
      </x:c>
      <x:c r="K54" t="str">
        <x:v>/Users/mason/Sites/Buff/resources/js/Pages/Settings/Subscription.vue stores server and native failures in one errorMessage; refreshServer(false) clears it before the server request and does not rerun or preserve native setup state on success.</x:v>
      </x:c>
      <x:c r="L54" t="str">
        <x:v>In Progress</x:v>
      </x:c>
      <x:c r="M54" s="70" t="str">
        <x:v>Keep store setup and server refresh errors separate; a status refresh no longer clears an unresolved store failure.</x:v>
      </x:c>
      <x:c r="N54" s="70" t="str">
        <x:v>Settings/Subscription.vue; subscriptions.test.ts.</x:v>
      </x:c>
      <x:c r="O54" t="str">
        <x:v>Not Run</x:v>
      </x:c>
      <x:c r="P54" t="str">
        <x:v>Not Run</x:v>
      </x:c>
      <x:c r="Q54" t="str"/>
      <x:c r="R54" s="70" t="str">
        <x:v>The refresh request itself completed and its loading state disabled the button correctly.</x:v>
      </x:c>
    </x:row>
    <x:row r="55" ht="26.399999618530273" hidden="0" customHeight="1">
      <x:c r="A55" t="str">
        <x:v>DEF-051</x:v>
      </x:c>
      <x:c r="B55" t="str">
        <x:v>ACC-066</x:v>
      </x:c>
      <x:c r="C55" t="str">
        <x:v>UX</x:v>
      </x:c>
      <x:c r="D55" t="str">
        <x:v>Both</x:v>
      </x:c>
      <x:c r="E55" t="str">
        <x:v>Medium</x:v>
      </x:c>
      <x:c r="F55" t="str">
        <x:v>Connected-assistant inventory references a missing accessible heading</x:v>
      </x:c>
      <x:c r="G55" t="str">
        <x:v>Open Connected AI assistants and inspect the authorized/empty-state section with accessibility tooling.</x:v>
      </x:c>
      <x:c r="H55" t="str">
        <x:v>The section's aria-labelledby value resolves to a visible heading that names the authorized-assistant inventory.</x:v>
      </x:c>
      <x:c r="I55" t="str">
        <x:v>The section referenced authorized-assistants-heading, but no element with that ID existed, so the region had no programmatic label.</x:v>
      </x:c>
      <x:c r="J55" t="str">
        <x:v>/Users/mason/.codex/visualizations/2026/09/01/01a05def-1c0d-76d1-abc6-07c63a443582/emulator-runs/initial/android-guest/dom-observations-batch-015.json</x:v>
      </x:c>
      <x:c r="K55" t="str">
        <x:v>/Users/mason/Sites/Buff/resources/js/Pages/Settings/ConnectedAssistants.vue keeps aria-labelledby on the section while the matching heading block is commented out.</x:v>
      </x:c>
      <x:c r="L55" t="str">
        <x:v>In Progress</x:v>
      </x:c>
      <x:c r="M55" s="70" t="str">
        <x:v>Give the connected-assistant inventory a valid accessible name instead of referencing a missing heading.</x:v>
      </x:c>
      <x:c r="N55" s="70" t="str">
        <x:v>Settings/ConnectedAssistants.vue; appShell.test.ts.</x:v>
      </x:c>
      <x:c r="O55" t="str">
        <x:v>Not Run</x:v>
      </x:c>
      <x:c r="P55" t="str">
        <x:v>Not Run</x:v>
      </x:c>
      <x:c r="Q55" t="str"/>
      <x:c r="R55" s="70" t="str">
        <x:v>The empty state, readonly endpoint, copy fallback, and all four setup sections otherwise worked.</x:v>
      </x:c>
    </x:row>
    <x:row r="56" ht="110.4000015258789" hidden="0" customHeight="1">
      <x:c r="A56" s="72" t="str">
        <x:v>DEF-052</x:v>
      </x:c>
      <x:c r="B56" s="72" t="str">
        <x:v>ACC-075, ACC-078</x:v>
      </x:c>
      <x:c r="C56" s="72" t="str">
        <x:v>UX</x:v>
      </x:c>
      <x:c r="D56" s="72" t="str">
        <x:v>Both</x:v>
      </x:c>
      <x:c r="E56" s="72" t="str">
        <x:v>High</x:v>
      </x:c>
      <x:c r="F56" s="72" t="str">
        <x:v>Pending and failed sync state is invisible and has no manual retry</x:v>
      </x:c>
      <x:c r="G56" s="72" t="str">
        <x:v>Make a local change in airplane mode, reconnect, and inspect the UI while shared buff.sync contains pending/error/success fields and automatic /sync/resume runs.</x:v>
      </x:c>
      <x:c r="H56" s="72" t="str">
        <x:v>Users can see pending, syncing, succeeded, or failed state and explicitly retry when automatic recovery does not succeed.</x:v>
      </x:c>
      <x:c r="I56" s="72" t="str">
        <x:v>Only the offline banner was rendered. No component showed pending count, last success, online sync progress/error, or Retry even though the shared state and automatic endpoint were present.</x:v>
      </x:c>
      <x:c r="J56" s="72" t="str">
        <x:v>/Users/mason/.codex/visualizations/2026/09/01/01a05def-1c0d-76d1-abc6-07c63a443582/emulator-runs/initial/android-guest/dom-observations-batch-015.json
/Users/mason/.codex/visualizations/2026/09/01/01a05def-1c0d-76d1-abc6-07c63a443582/emulator-runs/initial/android-guest/ACC-062-offline-fail-closed.png</x:v>
      </x:c>
      <x:c r="K56" s="72" t="str">
        <x:v>/Users/mason/Sites/Buff/resources/js/Layouts/AppShell.vue silently reloads shared props after sync failures and no Vue component consumes page.props.buff.sync or exposes POST /sync/resume as a user action.</x:v>
      </x:c>
      <x:c r="L56" s="72" t="str">
        <x:v>In Progress</x:v>
      </x:c>
      <x:c r="M56" s="72" t="str">
        <x:v>Add shared sync-state formatting and visible failed-sync retry. Current banner condition intentionally remains failure-only pending clarification of a concurrent scope change.</x:v>
      </x:c>
      <x:c r="N56" s="72" t="str">
        <x:v>syncStatus.ts, AppShell.vue; syncStatus.test.ts, appShell.test.ts.</x:v>
      </x:c>
      <x:c r="O56" s="72" t="str">
        <x:v>Not Run</x:v>
      </x:c>
      <x:c r="P56" s="72" t="str">
        <x:v>Not Run</x:v>
      </x:c>
      <x:c r="Q56" s="72" t="str">
        <x:v>Release assessment: failed-sync banner and Retry were observed during Android offline-photo testing, followed by successful reconnect. Durable photo recovery passed. Pending/syncing status visibility is deferred product feedback, while failure-only condition is preserved; keep original defect open for its broader requirement.</x:v>
      </x:c>
      <x:c r="R56" s="72" t="str">
        <x:v>Pending/syncing/succeeded visibility is not yet satisfied by the current condition. User choice requested on 2026-09-04; do not close this defect.</x:v>
      </x:c>
    </x:row>
    <x:row r="57" ht="928.7999877929688" hidden="0" customHeight="1">
      <x:c r="A57" s="72" t="str">
        <x:v>DEF-053</x:v>
      </x:c>
      <x:c r="B57" s="72" t="str">
        <x:v>HLT-040, HLT-042, HLT-046</x:v>
      </x:c>
      <x:c r="C57" s="72" t="str">
        <x:v>UX</x:v>
      </x:c>
      <x:c r="D57" s="72" t="str">
        <x:v>Both</x:v>
      </x:c>
      <x:c r="E57" s="72" t="str">
        <x:v>Medium</x:v>
      </x:c>
      <x:c r="F57" s="72" t="str">
        <x:v>Workout validation errors remain after the fields are corrected</x:v>
      </x:c>
      <x:c r="G57" s="72" t="str">
        <x:v>Open Add workout or Edit workout, submit a blank title and 10001 calories, then enter a valid title and valid calorie value without submitting again.</x:v>
      </x:c>
      <x:c r="H57" s="72" t="str">
        <x:v>Each field's validation message clears when that field is corrected, so valid values are not still presented as invalid.</x:v>
      </x:c>
      <x:c r="I57" s="72" t="str">
        <x:v>The blank-title and over-10000 messages remained visible beside corrected valid values until another submission or navigation, although the corrected submission later succeeded.</x:v>
      </x:c>
      <x:c r="J57" s="72" t="str">
        <x:v>/Users/mason/.codex/visualizations/2026/09/01/01a05def-1c0d-76d1-abc6-07c63a443582/emulator-runs/initial/android/HLT-040-evening-workout-before-save.png
/Users/mason/.codex/visualizations/2026/09/01/01a05def-1c0d-76d1-abc6-07c63a443582/emulator-runs/initial/android/HLT-042-edit-valid-before-save.png</x:v>
      </x:c>
      <x:c r="K57" s="72" t="str">
        <x:v>/Users/mason/Sites/Buff/resources/js/Pages/Add.vue and Today.vue bind the Inertia form fields with v-model but never clear the corresponding useForm error when a value changes; useForm retains server errors until cleared or replaced.</x:v>
      </x:c>
      <x:c r="L57" s="72" t="str">
        <x:v>In Progress</x:v>
      </x:c>
      <x:c r="M57" s="72" t="str">
        <x:v>Clear each workout validation error when its input changes in creation and editing flows.</x:v>
      </x:c>
      <x:c r="N57" s="72" t="str">
        <x:v>Add.vue, Today.vue; recipeDesign.test.ts, iosUxRegressions.test.ts.</x:v>
      </x:c>
      <x:c r="O57" s="72" t="str">
        <x:v>Blocked</x:v>
      </x:c>
      <x:c r="P57" s="72" t="str">
        <x:v>Passed</x:v>
      </x:c>
      <x:c r="Q57" s="72" t="str"/>
      <x:c r="R57" s="72" t="str">
        <x:v>Previous workout-edit checkpoint: Functional create and edit still succeed after resubmission; the original failure was stale, misleading feedback on shared iOS/Android UI. Build 15 edit-title checks now pass on both platforms: blank title keeps the same sheet open with The title field is required.; entering a corrected title immediately clears that visible error before another submission. Valid edits then close and persist on the same UUID/date after a cold launch. Creation-form and calorie/time server-error clearing remain untested, so aggregate verification stays incomplete. iOS evidence: /Users/mason/.codex/visualizations/2026/09/01/01a05def-1c0d-76d1-abc6-07c63a443582/emulator-runs/retest/ios/HLT-040-042-batch010-observations.json. Android evidence: /Users/mason/.codex/visualizations/2026/09/01/01a05def-1c0d-76d1-abc6-07c63a443582/emulator-runs/retest/android/HLT-042-blank-title-rejected.json and HLT-042-title-corrected-error-cleared.json. The separate Android post-save rendering corruption is DEF-091, not a failed data update.
Subsequent iOS validation checkpoint: Add and Edit title/calorie subsets passed on iOS build 15. Submitting both fields blank rendered required errors; correcting title immediately removed only its visible error, and correcting calories then removed its error before resubmission. Both forms also replaced native range/step feedback after correction. Native time Reset, numeric clear attempts and malformed typing always left a valid non-empty time, so no time-required or time-format error was rendered and its immediate clearing remains unverified. The final corrected update succeeded on the same Aug 31 workout and survived a cold launch. Aggregate verification remains incomplete only for real time-error clearing in Add and Edit. Evidence: /Users/mason/.codex/visualizations/2026/09/01/01a05def-1c0d-76d1-abc6-07c63a443582/emulator-runs/retest/ios/HLT-046-batch011-observations.json
/Users/mason/.codex/visualizations/2026/09/01/01a05def-1c0d-76d1-abc6-07c63a443582/emulator-runs/retest/ios/HLT-046-add-required-errors.png
/Users/mason/.codex/visualizations/2026/09/01/01a05def-1c0d-76d1-abc6-07c63a443582/emulator-runs/retest/ios/HLT-046-add-errors-cleared.png
/Users/mason/.codex/visualizations/2026/09/01/01a05def-1c0d-76d1-abc6-07c63a443582/emulator-runs/retest/ios/HLT-046-edit-required-errors.png
/Users/mason/.codex/visualizations/2026/09/01/01a05def-1c0d-76d1-abc6-07c63a443582/emulator-runs/retest/ios/HLT-046-edit-errors-cleared.png
Android build 15 follow-up: Add and Edit each returned required-title, required-calorie and required-time errors after blank submission. Each visible message cleared immediately when that input changed, before resubmission. Native calorie range/step messages were replaced after correction; native time-picker minute 99 was rejected, then corrected 00:00/23:59 values cleared the app time-required error. Corrected Add and Edit succeeded and exact final values survived a cold launch. Android DEF-053 is Passed; iOS remains Blocked only for real time-error clearing, so aggregate defect status remains In Progress. Evidence: /Users/mason/.codex/visualizations/2026/09/01/01a05def-1c0d-76d1-abc6-07c63a443582/inventory/retest-android-workout-validation-batch.json. Separate DEF-091 duplicated rendering remains open.</x:v>
      </x:c>
    </x:row>
    <x:row r="58" ht="39.599998474121094" hidden="0" customHeight="1">
      <x:c r="A58" t="str">
        <x:v>DEF-054</x:v>
      </x:c>
      <x:c r="B58" t="str">
        <x:v>ACC-035</x:v>
      </x:c>
      <x:c r="C58" t="str">
        <x:v>UX</x:v>
      </x:c>
      <x:c r="D58" t="str">
        <x:v>Android</x:v>
      </x:c>
      <x:c r="E58" t="str">
        <x:v>Medium</x:v>
      </x:c>
      <x:c r="F58" t="str">
        <x:v>Android Remove animations is ignored until the Buff process restarts</x:v>
      </x:c>
      <x:c r="G58" t="str">
        <x:v>Leave Buff's Reduce motion switch off, open Android Settings &gt; Accessibility &gt; Color &amp; motion, enable Remove animations, then resume Buff without terminating it and inspect the WebView motion preference and root document state.</x:v>
      </x:c>
      <x:c r="H58" t="str">
        <x:v>Resuming Buff after the device accessibility setting changes immediately applies reduced motion, without requiring the user to force-stop or relaunch the app.</x:v>
      </x:c>
      <x:c r="I58" t="str">
        <x:v>Android showed Remove animations enabled, but the resumed Buff WebView still reported prefers-reduced-motion=false and lacked data-reduce-motion. A cold process launch with the same setting correctly reported true and applied the attribute.</x:v>
      </x:c>
      <x:c r="J58" t="str">
        <x:v>/Users/mason/.codex/visualizations/2026/09/01/01a05def-1c0d-76d1-abc6-07c63a443582/emulator-runs/initial/android-guest/ACC-035-android-remove-animations-on.png
/Users/mason/.codex/visualizations/2026/09/01/01a05def-1c0d-76d1-abc6-07c63a443582/emulator-runs/initial/android-guest/ACC-035-buff-after-system-remove-animations-on.png
/Users/mason/.codex/visualizations/2026/09/01/01a05def-1c0d-76d1-abc6-07c63a443582/emulator-runs/initial/android-guest/dom-observations-batch-016.json</x:v>
      </x:c>
      <x:c r="K58" t="str">
        <x:v>/Users/mason/Sites/Buff/resources/js/appearance.ts only reapplies reduced motion when the WebView matchMedia change event fires. Android WebView did not refresh or dispatch that media query when the activity resumed after the system setting changed, and the native resume path does not re-evaluate it.</x:v>
      </x:c>
      <x:c r="L58" t="str">
        <x:v>In Progress</x:v>
      </x:c>
      <x:c r="M58" s="70" t="str">
        <x:v>Reapply the shared reduced-motion preference on app focus/resume.</x:v>
      </x:c>
      <x:c r="N58" s="70" t="str">
        <x:v>AppShell.vue; appearance.test.ts.</x:v>
      </x:c>
      <x:c r="O58" t="str">
        <x:v>Not Run</x:v>
      </x:c>
      <x:c r="P58" t="str">
        <x:v>Not Run</x:v>
      </x:c>
      <x:c r="Q58" t="str"/>
      <x:c r="R58" s="70" t="str">
        <x:v>The Buff-local switch persists and works independently. Android animation scales and the Buff-local setting were restored after the run.</x:v>
      </x:c>
    </x:row>
    <x:row r="59" ht="163.1999969482422" hidden="0" customHeight="1">
      <x:c r="A59" s="72" t="str">
        <x:v>DEF-055</x:v>
      </x:c>
      <x:c r="B59" s="72" t="str">
        <x:v>ACC-040</x:v>
      </x:c>
      <x:c r="C59" s="72" t="str">
        <x:v>UX</x:v>
      </x:c>
      <x:c r="D59" s="72" t="str">
        <x:v>Android</x:v>
      </x:c>
      <x:c r="E59" s="72" t="str">
        <x:v>High</x:v>
      </x:c>
      <x:c r="F59" s="72" t="str">
        <x:v>Repeated Doze reminder-check failures silently drop today's notification</x:v>
      </x:c>
      <x:c r="G59" s="72" t="str">
        <x:v>Grant notification permission, enable an unlogged breakfast reminder for 11:38, force Android into deep idle, and inspect AlarmManager, WorkManager, and notifications after the alarm fires.</x:v>
      </x:c>
      <x:c r="H59" s="72" t="str">
        <x:v>A due, unlogged reminder awakened from idle delivers its notification after transient retries, or remains visibly retryable/failed if the local meal check cannot complete; it must not silently defer the user until the following day.</x:v>
      </x:c>
      <x:c r="I59" s="72" t="str">
        <x:v>The 11:38 alarm fired at 11:39:02. MealReminderWorker reported 'Meal reminder check returned no result' at 11:39:03, 11:39:33, 11:40:33, and 11:42:34. The first three attempts returned RETRY, the fourth returned SUCCESS, no notification appeared, and one next-day 2026-09-03 11:38 alarm was installed.</x:v>
      </x:c>
      <x:c r="J59" s="72" t="str">
        <x:v>/Users/mason/.codex/visualizations/2026/09/01/01a05def-1c0d-76d1-abc6-07c63a443582/emulator-runs/initial/android-guest/dom-observations-batch-017.json
/Users/mason/.codex/visualizations/2026/09/01/01a05def-1c0d-76d1-abc6-07c63a443582/emulator-runs/initial/android-guest/ACC-038-040-breakfast-enabled-1128.png
/Users/mason/.codex/visualizations/2026/09/01/01a05def-1c0d-76d1-abc6-07c63a443582/emulator-runs/initial/android-guest/ACC-040-breakfast-reminder-delivered.png</x:v>
      </x:c>
      <x:c r="K59" s="72" t="str">
        <x:v>/Users/mason/Sites/Buff/native-plugins/background-tasks/resources/android/src/com/buff/backgroundtasks/BackgroundTaskFunctions.kt:431-442 retries while runAttemptCount is below the limit, but after the final caught check error it falls through, schedules tomorrow's alarm, and returns Result.success(). The reason the embedded meal-reminder check returned no output specifically under this run remains unresolved.</x:v>
      </x:c>
      <x:c r="L59" s="72" t="str">
        <x:v>Fixed</x:v>
      </x:c>
      <x:c r="M59" s="72" t="str">
        <x:v>Use a result-file success marker for reminder checks and keep retrying failed checks instead of silently scheduling tomorrow as success.</x:v>
      </x:c>
      <x:c r="N59" s="72" t="str">
        <x:v>BackgroundTaskFunctions.kt, routes/console.php; MealReminderWorkerTest, BackgroundTaskScheduleTest. Doze retest pending.</x:v>
      </x:c>
      <x:c r="O59" s="72" t="str">
        <x:v>Not Run</x:v>
      </x:c>
      <x:c r="P59" s="72" t="str">
        <x:v>Passed</x:v>
      </x:c>
      <x:c r="Q59" s="72" t="str">
        <x:v>Native breakfast alarm scheduled19:18 fired19:19:14 during forced deep idle. MealReminderWorker completed SUCCESS at19:19:15 and notification said Time to log your breakfast in Buff while mForceIdle=true/mState=IDLE. Result-file fix resolves the original empty-check Doze failure. Repeated injected failure remains source-tested, not injected on device. Restored all three original disabled reminder settings/times, removed forced idle and reset battery simulation.</x:v>
      </x:c>
      <x:c r="R59" s="72" t="str">
        <x:v>Classified as UX because the confirmed impact is a silently missing user-facing reminder. Normal unlogged delivery worked outside this Doze failure, so the defect is scoped to the failed-check exhaustion path rather than all reminder delivery. Power and reminder settings were restored afterward.</x:v>
      </x:c>
    </x:row>
    <x:row r="60" ht="163.1999969482422" hidden="0" customHeight="1">
      <x:c r="A60" s="72" t="str">
        <x:v>DEF-056</x:v>
      </x:c>
      <x:c r="B60" s="72" t="str">
        <x:v>HLT-058</x:v>
      </x:c>
      <x:c r="C60" s="72" t="str">
        <x:v>Logistical</x:v>
      </x:c>
      <x:c r="D60" s="72" t="str">
        <x:v>Android</x:v>
      </x:c>
      <x:c r="E60" s="72" t="str">
        <x:v>High</x:v>
      </x:c>
      <x:c r="F60" s="72" t="str">
        <x:v>Scheduled background tasks lose the required task argument and cannot run</x:v>
      </x:c>
      <x:c r="G60" s="72" t="str">
        <x:v>Launch a signed-in Android build so the background-task provider registers the two ten-minute Laravel schedules, leave Buff backgrounded, then inspect JobScheduler and BuffBackgroundTasks/PHP-Native logcat after a scheduled execution.</x:v>
      </x:c>
      <x:c r="H60" s="72" t="str">
        <x:v>The registered task ID is passed to background-task:run, which executes the matching scheduled Laravel command; health-connect:sync then queues the native Health Connect read/import, while the signed-out command safely skips.</x:v>
      </x:c>
      <x:c r="I60" s="72" t="str">
        <x:v>Both registered task IDs reached nativeEphemeralArtisan as background-task:run &lt;id&gt;, but each execution logged 'Ephemeral artisan error: Not enough arguments (missing: "task")'. The generic scheduler therefore never invoked health-connect:sync or apple-health:sync.</x:v>
      </x:c>
      <x:c r="J60" s="72" t="str">
        <x:v>/Users/mason/.codex/visualizations/2026/09/01/01a05def-1c0d-76d1-abc6-07c63a443582/emulator-runs/initial/android-guest/dom-observations-batch-018.json</x:v>
      </x:c>
      <x:c r="K60" s="72" t="str">
        <x:v>/Users/mason/Sites/Buff/native-plugins/background-tasks/resources/android/src/com/buff/backgroundtasks/BackgroundTaskFunctions.kt:324-339 builds background-task:run $taskId and passes it through nativeEphemeralArtisan; /Users/mason/Sites/Buff/native-plugins/background-tasks/src/Commands/RunScheduledTask.php:11-17 requires the named positional {task}; /Users/mason/Sites/Buff/vendor/nativephp/mobile/src/Runtime.php:154-168 stores non-option parts as unnamed numeric parameters before Artisan::call, so Laravel reports the required task argument missing.</x:v>
      </x:c>
      <x:c r="L60" s="72" t="str">
        <x:v>Fixed</x:v>
      </x:c>
      <x:c r="M60" s="72" t="str">
        <x:v>Pass the task as an explicit --task option through the ephemeral Artisan parser. Generic workers recognize success through an exact result-file marker written after successful command completion, independent of stdout.</x:v>
      </x:c>
      <x:c r="N60" s="72" t="str">
        <x:v>RunScheduledTask.php, BackgroundTaskFunctions.kt; BackgroundTaskScheduleTest, HealthConnectWorkerKeyTest: 14 tests, 131 assertions passed. Headless retest pending.</x:v>
      </x:c>
      <x:c r="O60" s="72" t="str">
        <x:v>Not Run</x:v>
      </x:c>
      <x:c r="P60" s="72" t="str">
        <x:v>Passed</x:v>
      </x:c>
      <x:c r="Q60" s="72" t="str">
        <x:v>Observed both existing owner-user scheduled tasks execute naturally at18:58:59, without forcing jobs or changing owner data. Each native ephemeral call used --task and --result, emitted the exact BUFF_BACKGROUND_TASK_OK marker and finished WorkManager SUCCESS; no missing task error. QA-user registration is not covered by this narrow argument regression.</x:v>
      </x:c>
      <x:c r="R60" s="72" t="str">
        <x:v>The Health Connect worker's direct import call uses --payload and is a separate path; this evidence establishes failure of the generic scheduled wrapper, not the manual/native HealthConnectSyncWorker import call.</x:v>
      </x:c>
    </x:row>
    <x:row r="61" ht="92.4000015258789" hidden="0" customHeight="1">
      <x:c r="A61" t="str">
        <x:v>DEF-057</x:v>
      </x:c>
      <x:c r="B61" t="str">
        <x:v>ACC-044, HLT-053</x:v>
      </x:c>
      <x:c r="C61" t="str">
        <x:v>UX</x:v>
      </x:c>
      <x:c r="D61" t="str">
        <x:v>Android</x:v>
      </x:c>
      <x:c r="E61" t="str">
        <x:v>Medium</x:v>
      </x:c>
      <x:c r="F61" t="str">
        <x:v>Twice-denied Health Connect permissions leave Connect in a silent dead end</x:v>
      </x:c>
      <x:c r="G61" t="str">
        <x:v>On Android, deny the initial Health Connect foreground request, request again and grant Exercise only, then tap Connect again for the twice-denied missing calorie permissions.</x:v>
      </x:c>
      <x:c r="H61" t="str">
        <x:v>After two consecutive cancellations/denials, Buff explains that permission must be restored in Health Connect Settings and provides a Manage access route, as required by the official Health Connect permission UX guidance.</x:v>
      </x:c>
      <x:c r="I61" t="str">
        <x:v>HealthConnectPermissionActivity opened and immediately closed without showing the OS permission UI, an in-app explanation, or a Manage access route. Settings still showed Permission needed, so repeated Connect attempts could not recover.</x:v>
      </x:c>
      <x:c r="J61" t="str">
        <x:v>/Users/mason/.codex/visualizations/2026/09/01/01a05def-1c0d-76d1-abc6-07c63a443582/emulator-runs/initial/android-guest/dom-observations-batch-019.json
/Users/mason/.codex/visualizations/2026/09/01/01a05def-1c0d-76d1-abc6-07c63a443582/emulator-runs/initial/android-guest/ACC-044-health-connect-foreground-prompt.png
/Users/mason/.codex/visualizations/2026/09/01/01a05def-1c0d-76d1-abc6-07c63a443582/emulator-runs/initial/android-guest/ACC-044-health-connect-background-prompt.png</x:v>
      </x:c>
      <x:c r="K61" t="str">
        <x:v>/Users/mason/Sites/Buff/native-plugins/health-connect/resources/android/src/com/buff/healthconnect/HealthConnectFunctions.kt:20-49 always starts HealthConnectPermissionActivity while permissions remain missing; /Users/mason/Sites/Buff/native-plugins/health-connect/resources/android/src/com/buff/healthconnect/HealthConnectPermissionActivity.kt:8-64 only launches the permission contract, handles the returned set, and finishes; /Users/mason/Sites/Buff/native-plugins/health-connect/resources/android/src/com/buff/healthconnect/HealthConnectPlugin.kt:56-80 reports missing permissions but tracks no twice-cancelled state. No code offers Health Connect Settings/manage access after the OS stops presenting the sheet.</x:v>
      </x:c>
      <x:c r="L61" t="str">
        <x:v>In Progress</x:v>
      </x:c>
      <x:c r="M61" s="70" t="str">
        <x:v>Offer Manage Health Connect access and explain permission-prompt lockout. Launch app permissions with a settings fallback; report launch failures without crashing or claiming success.</x:v>
      </x:c>
      <x:c r="N61" s="70" t="str">
        <x:v>HealthConnectFunctions.kt, nativephp.json, HealthConnectController.php, Health.vue, routes/web.php; HealthConnectSyncTest, HealthConnectWorkerKeyTest.</x:v>
      </x:c>
      <x:c r="O61" t="str">
        <x:v>Not Run</x:v>
      </x:c>
      <x:c r="P61" t="str">
        <x:v>Not Run</x:v>
      </x:c>
      <x:c r="Q61" t="str"/>
      <x:c r="R61" s="70" t="str">
        <x:v>Official Android documentation, Permissions and data access (kb://android/health-and-fitness/health-connect/ui/permissions), says that after two permission-screen cancellations the app should present the cancelled-twice/insufficient-access UI and the user must re-enable access in Health Connect Settings.</x:v>
      </x:c>
    </x:row>
    <x:row r="62" ht="202.8000030517578" hidden="0" customHeight="1">
      <x:c r="A62" s="72" t="str">
        <x:v>DEF-058</x:v>
      </x:c>
      <x:c r="B62" s="72" t="str">
        <x:v>ACC-045, HLT-055, HLT-060</x:v>
      </x:c>
      <x:c r="C62" s="72" t="str">
        <x:v>Logistical</x:v>
      </x:c>
      <x:c r="D62" s="72" t="str">
        <x:v>Android</x:v>
      </x:c>
      <x:c r="E62" s="72" t="str">
        <x:v>High</x:v>
      </x:c>
      <x:c r="F62" s="72" t="str">
        <x:v>Committed Health Connect imports are treated as worker failures when ephemeral Artisan stdout is empty</x:v>
      </x:c>
      <x:c r="G62" s="72" t="str">
        <x:v>Grant all foreground and background Health Connect permissions, let the initial immediate zero-record import complete, then tap Sync now and observe HealthConnectSyncWorker, PHP import state, WorkManager retries, and Settings through an app restart.</x:v>
      </x:c>
      <x:c r="H62" s="72" t="str">
        <x:v>Once health-connect:import commits successfully, the native worker completes successfully and Settings reports the completed sync or a real failure with useful progress/error feedback.</x:v>
      </x:c>
      <x:c r="I62" s="72" t="str">
        <x:v>The initial 11:51:07 worker imported zero records and succeeded. The manual 11:52:56 worker and retries at 11:53:26 and 11:54:26 each read zero records and committed PHP success, but nativeEphemeralArtisan returned empty stdout. The sentinel check threw 'Health Connect import did not report success.', WorkManager returned RETRY, and Settings stayed Sync queued with no progress or failure. After restart, GET /health-connect/status reported last_successful_sync_at 2026-09-02T10:54:26+00:00 with last_status success, proving the third PHP import committed despite the native false negative.</x:v>
      </x:c>
      <x:c r="J62" s="72" t="str">
        <x:v>/Users/mason/.codex/visualizations/2026/09/01/01a05def-1c0d-76d1-abc6-07c63a443582/emulator-runs/initial/android-guest/dom-observations-batch-019.json
/Users/mason/.codex/visualizations/2026/09/01/01a05def-1c0d-76d1-abc6-07c63a443582/emulator-runs/initial/android-guest/HLT-055-health-connect-sync-queued-stuck.png</x:v>
      </x:c>
      <x:c r="K62" s="72" t="str">
        <x:v>/Users/mason/Sites/Buff/app/Console/Commands/ImportHealthConnectWorkouts.php:19-46 invokes the importer and prints BUFF_HEALTH_CONNECT_IMPORT_OK; /Users/mason/Sites/Buff/app/Services/HealthConnectWorkoutImporter.php:13-98 commits the records and successful sync state transactionally; /Users/mason/Sites/Buff/native-plugins/health-connect/resources/android/src/com/buff/healthconnect/HealthConnectSyncWorker.kt:61-81 requires the sentinel in nativeEphemeralArtisan's returned stdout and throws when the returned string is empty, while lines 41-58 convert that post-commit exception to Result.retry(); /Users/mason/Sites/Buff/resources/js/Pages/Settings/Health.vue:129-149 applies sync_queued but only schedules status refresh for permission_requested.</x:v>
      </x:c>
      <x:c r="L62" s="72" t="str">
        <x:v>Fixed</x:v>
      </x:c>
      <x:c r="M62" s="72" t="str">
        <x:v>Recognize completed imports via an exact result-file marker written only after a committed import or signed-out skip, independent of ephemeral stdout.</x:v>
      </x:c>
      <x:c r="N62" s="72" t="str">
        <x:v>ImportHealthConnectWorkouts.php, HealthConnectSyncWorker.kt; HealthConnectImportTest, HealthConnectWorkerKeyTest.</x:v>
      </x:c>
      <x:c r="O62" s="72" t="str">
        <x:v>Not Run</x:v>
      </x:c>
      <x:c r="P62" s="72" t="str">
        <x:v>Passed</x:v>
      </x:c>
      <x:c r="Q62" s="72" t="str">
        <x:v>Granted QA user10 foreground and background Activity read access. Actual native workers committed zero-record and synthetic50kcal imports with empty stdout and returned SUCCESS without retry. Today showed the imported50kcal workout.</x:v>
      </x:c>
      <x:c r="R62" s="72" t="str">
        <x:v>Classified Logistical because the primary failure is cross-runtime completion signalling and retry semantics; the stuck UI is a direct operational consequence. No fix is proposed in this batch.</x:v>
      </x:c>
    </x:row>
    <x:row r="63" ht="39.599998474121094" hidden="0" customHeight="1">
      <x:c r="A63" t="str">
        <x:v>DEF-059</x:v>
      </x:c>
      <x:c r="B63" t="str">
        <x:v>ACC-048, HLT-060</x:v>
      </x:c>
      <x:c r="C63" t="str">
        <x:v>UX</x:v>
      </x:c>
      <x:c r="D63" t="str">
        <x:v>Both</x:v>
      </x:c>
      <x:c r="E63" t="str">
        <x:v>Medium</x:v>
      </x:c>
      <x:c r="F63" t="str">
        <x:v>Health settings hide status and action request failures</x:v>
      </x:c>
      <x:c r="G63" t="str">
        <x:v>After a prior successful Health Connect status, inject one controlled fetch failure each for GET /health-connect/status, POST /health-connect/connect, POST /health-connect/sync, and DELETE /health-connect, then observe the detail text, controls, and alerts.</x:v>
      </x:c>
      <x:c r="H63" t="str">
        <x:v>Every failed status or action request produces visible, actionable error feedback; a new error must not be hidden behind a stale Last synced detail.</x:v>
      </x:c>
      <x:c r="I63" t="str">
        <x:v>The one-request failure harness reported blocked=1 for each targeted call. GET status stored an error but continued to show Last synced and no alert. Connect, sync, and disconnect controls reset, but none displayed an alert or message.</x:v>
      </x:c>
      <x:c r="J63" t="str">
        <x:v>/Users/mason/.codex/visualizations/2026/09/01/01a05def-1c0d-76d1-abc6-07c63a443582/emulator-runs/initial/android-guest/dom-observations-batch-019.json</x:v>
      </x:c>
      <x:c r="K63" t="str">
        <x:v>/Users/mason/Sites/Buff/resources/js/Pages/Settings/Health.vue:79-95 gives last_successful_sync_at precedence over last_error; lines 114-127 catch GET status failure and only merge last_error into state; lines 129-164 implement connect, sync, and disconnect with try/finally but no catch or user-facing failure state. This shared Vue path affects both platforms.</x:v>
      </x:c>
      <x:c r="L63" t="str">
        <x:v>In Progress</x:v>
      </x:c>
      <x:c r="M63" s="70" t="str">
        <x:v>Prioritize actionable health errors over older success text and show status/connect/sync/disconnect request failures.</x:v>
      </x:c>
      <x:c r="N63" s="70" t="str">
        <x:v>Settings/Health.vue; HealthConnectWorkerKeyTest.</x:v>
      </x:c>
      <x:c r="O63" t="str">
        <x:v>Not Run</x:v>
      </x:c>
      <x:c r="P63" t="str">
        <x:v>Not Run</x:v>
      </x:c>
      <x:c r="Q63" t="str"/>
      <x:c r="R63" s="70" t="str">
        <x:v>The issue is error presentation and stale-success precedence; the controlled failures did not mutate provider data.</x:v>
      </x:c>
    </x:row>
    <x:row r="64" ht="110.4000015258789" hidden="0" customHeight="1">
      <x:c r="A64" s="72" t="str">
        <x:v>DEF-060</x:v>
      </x:c>
      <x:c r="B64" s="72" t="str">
        <x:v>HLT-009</x:v>
      </x:c>
      <x:c r="C64" s="72" t="str">
        <x:v>UX</x:v>
      </x:c>
      <x:c r="D64" s="72" t="str">
        <x:v>Both</x:v>
      </x:c>
      <x:c r="E64" s="72" t="str">
        <x:v>High</x:v>
      </x:c>
      <x:c r="F64" s="72" t="str">
        <x:v>Selecting a historical Progress date keeps today's form data and can overwrite the older check-in</x:v>
      </x:c>
      <x:c r="G64" s="72" t="str">
        <x:v>Create different complete check-ins for today and a historical date. On Progress choose the historical date, change only weight, and save.</x:v>
      </x:c>
      <x:c r="H64" s="72" t="str">
        <x:v>Changing the date hydrates that date's check-in, so the user edits the intended values without silently replacing unrelated data.</x:v>
      </x:c>
      <x:c r="I64" s="72" t="str">
        <x:v>The form retained today's body fat, measurements, and notes, then saved those values over the historical row.</x:v>
      </x:c>
      <x:c r="J64" s="72" t="str">
        <x:v>/Users/mason/.codex/visualizations/2026/09/01/01a05def-1c0d-76d1-abc6-07c63a443582/emulator-runs/initial/android-guest/progress-observations-batch-020-draft.json</x:v>
      </x:c>
      <x:c r="K64" s="72" t="str">
        <x:v>/Users/mason/Sites/Buff/resources/js/Pages/Progress.vue:129-139 initializes only today's latest row, while the date watcher at lines 801-803 reloads only overlays. /Users/mason/Sites/Buff/app/Http/Controllers/ProgressController.php:119-126 then updateOrCreate writes the submitted optional values over the selected date.</x:v>
      </x:c>
      <x:c r="L64" s="72" t="str">
        <x:v>Fixed</x:v>
      </x:c>
      <x:c r="M64" s="72" t="str">
        <x:v>Hydrate every form field for the selected date and clear stale values. Lock editing and Save while loading or after failure, with Retry until successful hydration.</x:v>
      </x:c>
      <x:c r="N64" s="72" t="str">
        <x:v>ProgressController.php, routes/web.php, Progress.vue; ProgressTest, progressPhotos.test.ts.</x:v>
      </x:c>
      <x:c r="O64" s="72" t="str">
        <x:v>Passed</x:v>
      </x:c>
      <x:c r="P64" s="72" t="str">
        <x:v>Passed</x:v>
      </x:c>
      <x:c r="Q64" s="72" t="str">
        <x:v>Narrow overwrite regression passed on both native platforms. Android historical76→76.1 save preserved20% body fat, all five measurements and notes; original76 restored. iOS selected September3, restored76/20 and historical notes, then saved them unchanged. Broader race/retry story cases remain deferred.</x:v>
      </x:c>
      <x:c r="R64" s="72" t="str">
        <x:v>The disposable historical row was deleted and recreated after the observation.</x:v>
      </x:c>
    </x:row>
    <x:row r="65" ht="26.399999618530273" hidden="0" customHeight="1">
      <x:c r="A65" t="str">
        <x:v>DEF-061</x:v>
      </x:c>
      <x:c r="B65" t="str">
        <x:v>HLT-011</x:v>
      </x:c>
      <x:c r="C65" t="str">
        <x:v>UX</x:v>
      </x:c>
      <x:c r="D65" t="str">
        <x:v>Both</x:v>
      </x:c>
      <x:c r="E65" t="str">
        <x:v>Medium</x:v>
      </x:c>
      <x:c r="F65" t="str">
        <x:v>Progress validation feedback is incomplete, stale, and not associated with its fields</x:v>
      </x:c>
      <x:c r="G65" t="str">
        <x:v>Submit notes longer than 1,000 characters and inspect the form, then trigger a numeric server error and correct the field without resubmitting.</x:v>
      </x:c>
      <x:c r="H65" t="str">
        <x:v>Every server error is visible beside and programmatically associated with its field, and stale feedback clears when the value changes.</x:v>
      </x:c>
      <x:c r="I65" t="str">
        <x:v>The notes error existed in Inertia state but was not rendered. Other messages lacked aria-invalid/describedby and remained after values were corrected until another submit.</x:v>
      </x:c>
      <x:c r="J65" t="str">
        <x:v>/Users/mason/.codex/visualizations/2026/09/01/01a05def-1c0d-76d1-abc6-07c63a443582/emulator-runs/initial/android-guest/HLT-011-native-validation.png
/Users/mason/.codex/visualizations/2026/09/01/01a05def-1c0d-76d1-abc6-07c63a443582/emulator-runs/initial/android-guest/progress-observations-batch-020-draft.json</x:v>
      </x:c>
      <x:c r="K65" t="str">
        <x:v>/Users/mason/Sites/Buff/resources/js/Pages/Progress.vue:975-1074 renders errors for numeric/date fields but no metricForm.errors.notes element, gives inputs no error association, and does not clear useForm errors from field-change handlers.</x:v>
      </x:c>
      <x:c r="L65" t="str">
        <x:v>In Progress</x:v>
      </x:c>
      <x:c r="M65" s="70" t="str">
        <x:v>Show and associate all progress errors, including notes, and clear corrected field errors.</x:v>
      </x:c>
      <x:c r="N65" s="70" t="str">
        <x:v>Progress.vue; progressPhotos.test.ts.</x:v>
      </x:c>
      <x:c r="O65" t="str">
        <x:v>Not Run</x:v>
      </x:c>
      <x:c r="P65" t="str">
        <x:v>Not Run</x:v>
      </x:c>
      <x:c r="Q65" t="str"/>
      <x:c r="R65" s="70" t="str">
        <x:v>Native min/max bubbles still blocked the directly constrained numeric boundaries.</x:v>
      </x:c>
    </x:row>
    <x:row r="66" ht="97.19999694824219" hidden="0" customHeight="1">
      <x:c r="A66" s="72" t="str">
        <x:v>DEF-062</x:v>
      </x:c>
      <x:c r="B66" s="72" t="str">
        <x:v>HLT-011</x:v>
      </x:c>
      <x:c r="C66" s="72" t="str">
        <x:v>UX</x:v>
      </x:c>
      <x:c r="D66" s="72" t="str">
        <x:v>Both</x:v>
      </x:c>
      <x:c r="E66" s="72" t="str">
        <x:v>High</x:v>
      </x:c>
      <x:c r="F66" s="72" t="str">
        <x:v>Future Progress check-ins become global latest but disappear from history and cannot be deleted in the UI</x:v>
      </x:c>
      <x:c r="G66" s="72" t="str">
        <x:v>Save a check-in for tomorrow, then inspect the summary, chart, and Recent history.</x:v>
      </x:c>
      <x:c r="H66" s="72" t="str">
        <x:v>The UI rejects future dates or consistently displays the saved row with an available edit/delete path.</x:v>
      </x:c>
      <x:c r="I66" s="72" t="str">
        <x:v>The future row became the global latest/trend/BMI source but was excluded from the chart/history window ending today, leaving no UI delete action.</x:v>
      </x:c>
      <x:c r="J66" s="72" t="str">
        <x:v>/Users/mason/.codex/visualizations/2026/09/01/01a05def-1c0d-76d1-abc6-07c63a443582/emulator-runs/initial/android-guest/progress-observations-batch-020-draft.json</x:v>
      </x:c>
      <x:c r="K66" s="72" t="str">
        <x:v>/Users/mason/Sites/Buff/app/Http/Controllers/ProgressController.php:28-47 chooses global latest from all rows but filters history through today, while store validation at line 103 and the date input at /Users/mason/Sites/Buff/resources/js/Pages/Progress.vue:975 impose no future maximum.</x:v>
      </x:c>
      <x:c r="L66" s="72" t="str">
        <x:v>Fixed</x:v>
      </x:c>
      <x:c r="M66" s="72" t="str">
        <x:v>Reject future check-in dates server-side and cap the date input at today.</x:v>
      </x:c>
      <x:c r="N66" s="72" t="str">
        <x:v>ProgressController.php, Progress.vue; ProgressTest, progressPhotos.test.ts.</x:v>
      </x:c>
      <x:c r="O66" s="72" t="str">
        <x:v>Passed</x:v>
      </x:c>
      <x:c r="P66" s="72" t="str">
        <x:v>Passed</x:v>
      </x:c>
      <x:c r="Q66" s="72" t="str">
        <x:v>Both native platforms selected September7 while today is September6 and displayed Choose today or an earlier date. Android confirmed disabled Save; iOS displayed date feedback and disabled measurement fields. No future record saved; date restored to today. ProgressTest covers server rejection.</x:v>
      </x:c>
      <x:c r="R66" s="72" t="str">
        <x:v>The disposable future row was removed directly after observation.</x:v>
      </x:c>
    </x:row>
    <x:row r="67" ht="26.399999618530273" hidden="0" customHeight="1">
      <x:c r="A67" t="str">
        <x:v>DEF-063</x:v>
      </x:c>
      <x:c r="B67" t="str">
        <x:v>HLT-016</x:v>
      </x:c>
      <x:c r="C67" t="str">
        <x:v>UX</x:v>
      </x:c>
      <x:c r="D67" t="str">
        <x:v>Android</x:v>
      </x:c>
      <x:c r="E67" t="str">
        <x:v>Medium</x:v>
      </x:c>
      <x:c r="F67" t="str">
        <x:v>Permanently denied camera access has no direct Settings recovery action</x:v>
      </x:c>
      <x:c r="G67" t="str">
        <x:v>Deny the Android camera permission twice, then tap Take photo again.</x:v>
      </x:c>
      <x:c r="H67" t="str">
        <x:v>After Android stops presenting the permission prompt, Buff offers a direct Manage permission or Open Settings action while retaining library fallback.</x:v>
      </x:c>
      <x:c r="I67" t="str">
        <x:v>Later attempts showed only repeated copy and library fallback; no OS prompt or direct settings action appeared.</x:v>
      </x:c>
      <x:c r="J67" t="str">
        <x:v>/Users/mason/.codex/visualizations/2026/09/01/01a05def-1c0d-76d1-abc6-07c63a443582/emulator-runs/initial/android-guest/HLT-016-camera-permission-prompt.png
/Users/mason/.codex/visualizations/2026/09/01/01a05def-1c0d-76d1-abc6-07c63a443582/emulator-runs/initial/android-guest/progress-observations-batch-020-draft.json</x:v>
      </x:c>
      <x:c r="K67" t="str">
        <x:v>/Users/mason/Sites/Buff/resources/js/Pages/Progress.vue:367-397 maps every NotAllowedError to static copy and lines 415-429 simply close the camera; it tracks no permanently-denied state and exposes no platform-settings action.</x:v>
      </x:c>
      <x:c r="L67" t="str">
        <x:v>In Progress</x:v>
      </x:c>
      <x:c r="M67" s="70" t="str">
        <x:v>Offer Open Buff settings after camera permission denial across creation, history and retake flows, with launch-failure guidance.</x:v>
      </x:c>
      <x:c r="N67" s="70" t="str">
        <x:v>Progress.vue, vite-env.d.ts; progressPhotos.test.ts.</x:v>
      </x:c>
      <x:c r="O67" t="str">
        <x:v>Not Run</x:v>
      </x:c>
      <x:c r="P67" t="str">
        <x:v>Not Run</x:v>
      </x:c>
      <x:c r="Q67" t="str"/>
      <x:c r="R67" s="70" t="str">
        <x:v>Granting camera permission externally restored capture.</x:v>
      </x:c>
    </x:row>
    <x:row r="68" ht="110.4000015258789" hidden="0" customHeight="1">
      <x:c r="A68" s="72" t="str">
        <x:v>DEF-064</x:v>
      </x:c>
      <x:c r="B68" s="72" t="str">
        <x:v>HLT-015</x:v>
      </x:c>
      <x:c r="C68" s="72" t="str">
        <x:v>UX</x:v>
      </x:c>
      <x:c r="D68" s="72" t="str">
        <x:v>Android</x:v>
      </x:c>
      <x:c r="E68" s="72" t="str">
        <x:v>High</x:v>
      </x:c>
      <x:c r="F68" s="72" t="str">
        <x:v>The native banner ad covers Progress camera guidance and controls</x:v>
      </x:c>
      <x:c r="G68" s="72" t="str">
        <x:v>As an ad-eligible account open Progress, launch Take photo, and inspect the full-screen camera.</x:v>
      </x:c>
      <x:c r="H68" s="72" t="str">
        <x:v>Opening the full-screen camera hides the native banner until the camera closes.</x:v>
      </x:c>
      <x:c r="I68" s="72" t="str">
        <x:v>The native Test Ad remained above the WebView camera and covered the ghost-instruction area immediately above Capture.</x:v>
      </x:c>
      <x:c r="J68" s="72" t="str">
        <x:v>/Users/mason/.codex/visualizations/2026/09/01/01a05def-1c0d-76d1-abc6-07c63a443582/emulator-runs/initial/android-guest/HLT-015-camera-front.png
/Users/mason/.codex/visualizations/2026/09/01/01a05def-1c0d-76d1-abc6-07c63a443582/emulator-runs/initial/android-guest/progress-observations-batch-020-draft.json</x:v>
      </x:c>
      <x:c r="K68" s="72" t="str">
        <x:v>/Users/mason/Sites/Buff/resources/js/ads.ts:21 treats /progress as banner-eligible. /Users/mason/Sites/Buff/resources/js/Layouts/AppShell.vue:189-206 hides banners only for recognised sheet/dialog overlays, while the full-screen camera at /Users/mason/Sites/Buff/resources/js/Pages/Progress.vue:1202 is a plain teleported div and never changes ad eligibility.</x:v>
      </x:c>
      <x:c r="L68" s="72" t="str">
        <x:v>Fixed</x:v>
      </x:c>
      <x:c r="M68" s="72" t="str">
        <x:v>Mark the full-screen camera as a native overlay so the shell hides its banner while camera controls are visible.</x:v>
      </x:c>
      <x:c r="N68" s="72" t="str">
        <x:v>Progress.vue, AppShell.vue; progressPhotos.test.ts, appShell.test.ts.</x:v>
      </x:c>
      <x:c r="O68" s="72" t="str">
        <x:v>Not Run</x:v>
      </x:c>
      <x:c r="P68" s="72" t="str">
        <x:v>Passed</x:v>
      </x:c>
      <x:c r="Q68" s="72" t="str">
        <x:v>Granted CAMERA to QA user 10. Native Progress camera reached readyState 4 at 480×640; guidance, pose controls and Capture remained visible with no native banner. No picture captured or existing photo changed.</x:v>
      </x:c>
      <x:c r="R68" s="72" t="str">
        <x:v>This is separate from DEF-021: /progress is an eligible route, but its full-screen camera mode must suppress native chrome.</x:v>
      </x:c>
    </x:row>
    <x:row r="69" ht="39.599998474121094" hidden="0" customHeight="1">
      <x:c r="A69" t="str">
        <x:v>DEF-065</x:v>
      </x:c>
      <x:c r="B69" t="str">
        <x:v>HLT-018</x:v>
      </x:c>
      <x:c r="C69" t="str">
        <x:v>UX</x:v>
      </x:c>
      <x:c r="D69" t="str">
        <x:v>Both</x:v>
      </x:c>
      <x:c r="E69" t="str">
        <x:v>Medium</x:v>
      </x:c>
      <x:c r="F69" t="str">
        <x:v>Corrupt progress-photo files fail silently during client preparation</x:v>
      </x:c>
      <x:c r="G69" t="str">
        <x:v>Use the Progress library picker to select a corrupt file presented as an image.</x:v>
      </x:c>
      <x:c r="H69" t="str">
        <x:v>Buff explains that the image could not be prepared and leaves the user able to choose another file.</x:v>
      </x:c>
      <x:c r="I69" t="str">
        <x:v>The input received the file, no photo was selected, and no error or recovery guidance appeared.</x:v>
      </x:c>
      <x:c r="J69" t="str">
        <x:v>/Users/mason/.codex/visualizations/2026/09/01/01a05def-1c0d-76d1-abc6-07c63a443582/emulator-runs/initial/android-guest/progress-observations-batch-020-draft.json</x:v>
      </x:c>
      <x:c r="K69" t="str">
        <x:v>/Users/mason/Sites/Buff/resources/js/Pages/Progress.vue:289-297 awaits resizePhoto without a catch, and selectProgressPhotos at lines 331-345 also exposes no error handling for the rejected preparation promise.</x:v>
      </x:c>
      <x:c r="L69" t="str">
        <x:v>In Progress</x:v>
      </x:c>
      <x:c r="M69" s="70" t="str">
        <x:v>Catch failed client image preparation, reset the file input and show a recoverable choose-another-photo error.</x:v>
      </x:c>
      <x:c r="N69" s="70" t="str">
        <x:v>Progress.vue; progressPhotos.test.ts.</x:v>
      </x:c>
      <x:c r="O69" t="str">
        <x:v>Not Run</x:v>
      </x:c>
      <x:c r="P69" t="str">
        <x:v>Not Run</x:v>
      </x:c>
      <x:c r="Q69" t="str"/>
      <x:c r="R69" s="70" t="str">
        <x:v>The misleading HLT-018-photo-picker.png filename is explicitly excluded from evidence; the DOM/request observation is the source.</x:v>
      </x:c>
    </x:row>
    <x:row r="70" ht="26.399999618530273" hidden="0" customHeight="1">
      <x:c r="A70" t="str">
        <x:v>DEF-066</x:v>
      </x:c>
      <x:c r="B70" t="str">
        <x:v>HLT-020</x:v>
      </x:c>
      <x:c r="C70" t="str">
        <x:v>UX</x:v>
      </x:c>
      <x:c r="D70" t="str">
        <x:v>Both</x:v>
      </x:c>
      <x:c r="E70" t="str">
        <x:v>Medium</x:v>
      </x:c>
      <x:c r="F70" t="str">
        <x:v>A complete three-pose photo set removes every retake control</x:v>
      </x:c>
      <x:c r="G70" t="str">
        <x:v>Open a historical check-in after front, side, and back photos all exist.</x:v>
      </x:c>
      <x:c r="H70" t="str">
        <x:v>Each existing pose offers a retake path that replaces that pose without requiring deletion first.</x:v>
      </x:c>
      <x:c r="I70" t="str">
        <x:v>The sheet displayed only the three images and delete buttons; Add photos and Choose from library disappeared.</x:v>
      </x:c>
      <x:c r="J70" t="str">
        <x:v>/Users/mason/.codex/visualizations/2026/09/01/01a05def-1c0d-76d1-abc6-07c63a443582/emulator-runs/initial/android-guest/progress-observations-batch-020-draft.json</x:v>
      </x:c>
      <x:c r="K70" t="str">
        <x:v>/Users/mason/Sites/Buff/resources/js/Pages/Progress.vue:1132-1170 renders addition controls only while remotePhotos.length is below three, and existing remote-photo figures expose delete but no retake action.</x:v>
      </x:c>
      <x:c r="L70" t="str">
        <x:v>In Progress</x:v>
      </x:c>
      <x:c r="M70" s="70" t="str">
        <x:v>Keep per-pose and whole-set retake controls available after all three photos exist.</x:v>
      </x:c>
      <x:c r="N70" s="70" t="str">
        <x:v>Progress.vue; progressPhotos.test.ts.</x:v>
      </x:c>
      <x:c r="O70" t="str">
        <x:v>Not Run</x:v>
      </x:c>
      <x:c r="P70" t="str">
        <x:v>Not Run</x:v>
      </x:c>
      <x:c r="Q70" t="str"/>
      <x:c r="R70" s="70" t="str">
        <x:v>Retake works while fewer than three remote poses exist.</x:v>
      </x:c>
    </x:row>
    <x:row r="71" ht="97.19999694824219" hidden="0" customHeight="1">
      <x:c r="A71" s="72" t="str">
        <x:v>DEF-067</x:v>
      </x:c>
      <x:c r="B71" s="72" t="str">
        <x:v>HLT-023</x:v>
      </x:c>
      <x:c r="C71" s="72" t="str">
        <x:v>Logistical</x:v>
      </x:c>
      <x:c r="D71" s="72" t="str">
        <x:v>Android</x:v>
      </x:c>
      <x:c r="E71" s="72" t="str">
        <x:v>Critical</x:v>
      </x:c>
      <x:c r="F71" s="72" t="str">
        <x:v>Serving a staged pending JPEG through NativePHP aborts the Android app process</x:v>
      </x:c>
      <x:c r="G71" s="72" t="str">
        <x:v>Disable network, save a new metric with a staged JPEG, and let Progress load the local pending-photo URL.</x:v>
      </x:c>
      <x:c r="H71" s="72" t="str">
        <x:v>The pending image renders from local storage, survives relaunch, and later uploads after sync without destabilising the app.</x:v>
      </x:c>
      <x:c r="I71" s="72" t="str">
        <x:v>The 79,059-byte image/jpeg response reached NewStringUTF, CheckJNI rejected binary byte 0xff as invalid Modified UTF-8, and Android terminated the process with SIGABRT.</x:v>
      </x:c>
      <x:c r="J71" s="72" t="str">
        <x:v>/Users/mason/.codex/visualizations/2026/09/01/01a05def-1c0d-76d1-abc6-07c63a443582/emulator-runs/initial/android/HLT-023-pending-photo-native-crash.json</x:v>
      </x:c>
      <x:c r="K71" s="72" t="str">
        <x:v>/Users/mason/Sites/Buff/app/Services/BodyMetricPhotoUploader.php:100-112 returns a binary StreamedResponse. /Users/mason/Sites/Buff/vendor/nativephp/mobile/resources/androidstudio/app/src/main/cpp/php_bridge.c:631-664 appends response bytes to the dispatch buffer and passes the entire HTTP response to JNI NewStringUTF, which requires Modified UTF-8.</x:v>
      </x:c>
      <x:c r="L71" s="72" t="str">
        <x:v>Fixed</x:v>
      </x:c>
      <x:c r="M71" s="72" t="str">
        <x:v>Expose pending JPEG previews as ASCII base64 data URLs so binary bytes do not cross NativePHP’s string response bridge.</x:v>
      </x:c>
      <x:c r="N71" s="72" t="str">
        <x:v>BodyMetricPhotoUploader.php matches build23 APK. ProgressPhotoTest: 16 passed, 107 assertions. Legacy binary route has no frontend callers; current previews use data URLs exclusively.</x:v>
      </x:c>
      <x:c r="O71" s="72" t="str">
        <x:v>Not Run</x:v>
      </x:c>
      <x:c r="P71" s="72" t="str">
        <x:v>Passed</x:v>
      </x:c>
      <x:c r="Q71" s="72" t="str">
        <x:v>Android build 23: offline JPEG preview, QA-user cold relaunch offline, and reconnect/upload all passed. Data URLs render at 640px; cloud response is 200 with pending=false after reconnect.</x:v>
      </x:c>
      <x:c r="R71" s="72" t="str">
        <x:v>HLT-023 directly failed. A later relaunch/reconnect successfully flushed the staged photo, so HLT-024 retains a separate partial result without this defect link.</x:v>
      </x:c>
    </x:row>
    <x:row r="72" ht="26.399999618530273" hidden="0" customHeight="1">
      <x:c r="A72" t="str">
        <x:v>DEF-068</x:v>
      </x:c>
      <x:c r="B72" t="str">
        <x:v>HLT-027</x:v>
      </x:c>
      <x:c r="C72" t="str">
        <x:v>UX</x:v>
      </x:c>
      <x:c r="D72" t="str">
        <x:v>Both</x:v>
      </x:c>
      <x:c r="E72" t="str">
        <x:v>Medium</x:v>
      </x:c>
      <x:c r="F72" t="str">
        <x:v>Failed Progress photo loads are cached as empty and never retry after reconnect</x:v>
      </x:c>
      <x:c r="G72" t="str">
        <x:v>Open Progress with network unavailable so its photo-list requests fail, restore validated connectivity without reloading the page, then open a dated photo sheet.</x:v>
      </x:c>
      <x:c r="H72" t="str">
        <x:v>A failed photo load remains distinguishable from an empty set and opening the sheet retries after connectivity returns.</x:v>
      </x:c>
      <x:c r="I72" t="str">
        <x:v>Seven failed requests were cached as empty arrays. After reconnect, opening a date issued no request and falsely displayed 'No photos for this measurement yet.'</x:v>
      </x:c>
      <x:c r="J72" t="str">
        <x:v>/Users/mason/.codex/visualizations/2026/09/01/01a05def-1c0d-76d1-abc6-07c63a443582/emulator-runs/initial/android-guest/progress-observations-batch-020-draft.json</x:v>
      </x:c>
      <x:c r="K72" t="str">
        <x:v>/Users/mason/Sites/Buff/resources/js/Pages/Progress.vue:255-275 converts every photo-list rejection into cachePhotos(metricId, []), and showPhotos at lines 685-703 treats that cached empty array as a completed load instead of retrying.</x:v>
      </x:c>
      <x:c r="L72" t="str">
        <x:v>In Progress</x:v>
      </x:c>
      <x:c r="M72" s="70" t="str">
        <x:v>Do not cache failed photo requests as empty; expose the failure and permit subsequent attempts.</x:v>
      </x:c>
      <x:c r="N72" s="70" t="str">
        <x:v>Progress.vue; progressPhotos.test.ts.</x:v>
      </x:c>
      <x:c r="O72" t="str">
        <x:v>Not Run</x:v>
      </x:c>
      <x:c r="P72" t="str">
        <x:v>Not Run</x:v>
      </x:c>
      <x:c r="Q72" t="str"/>
      <x:c r="R72" s="70" t="str">
        <x:v>The same eager loader issued one request per visible history row; this run observed seven failures.</x:v>
      </x:c>
    </x:row>
    <x:row r="73" ht="97.19999694824219" hidden="0" customHeight="1">
      <x:c r="A73" s="72" t="str">
        <x:v>DEF-069</x:v>
      </x:c>
      <x:c r="B73" s="72" t="str">
        <x:v>HLT-031</x:v>
      </x:c>
      <x:c r="C73" s="72" t="str">
        <x:v>Logistical</x:v>
      </x:c>
      <x:c r="D73" s="72" t="str">
        <x:v>Both</x:v>
      </x:c>
      <x:c r="E73" s="72" t="str">
        <x:v>High</x:v>
      </x:c>
      <x:c r="F73" s="72" t="str">
        <x:v>Goals accepts target weights below 20 kg that cloud sync permanently rejects</x:v>
      </x:c>
      <x:c r="G73" s="72" t="str">
        <x:v>Set target weight to 10 kg and body fat to 20%, save Goals, then inspect shared sync state.</x:v>
      </x:c>
      <x:c r="H73" s="72" t="str">
        <x:v>Local and cloud validation agree, so a successful local save either syncs or rejects the value before showing success.</x:v>
      </x:c>
      <x:c r="I73" s="72" t="str">
        <x:v>Goals showed its success flash, then sync stayed pending with 'The target weight kg field must be between 20 and 1000.'</x:v>
      </x:c>
      <x:c r="J73" s="72" t="str">
        <x:v>/Users/mason/.codex/visualizations/2026/09/01/01a05def-1c0d-76d1-abc6-07c63a443582/emulator-runs/initial/android-guest/progress-observations-batch-020-draft.json</x:v>
      </x:c>
      <x:c r="K73" s="72" t="str">
        <x:v>/Users/mason/Sites/Buff/app/Http/Controllers/GoalController.php:52 permits target_weight_kg from 1 through 1000, while /Users/mason/Sites/buff-server/config/buff.php:52 requires the synced value to be between 20 and 1000.</x:v>
      </x:c>
      <x:c r="L73" s="72" t="str">
        <x:v>Fixed</x:v>
      </x:c>
      <x:c r="M73" s="72" t="str">
        <x:v>Align target-weight validation and unit-aware UI limits with the cloud’s 20–1000 kg range.</x:v>
      </x:c>
      <x:c r="N73" s="72" t="str">
        <x:v>GoalController.php, OnboardingController.php, Goals.vue, Onboarding.vue; GoalTest, OnboardingTest, iosUxRegressions.test.ts.</x:v>
      </x:c>
      <x:c r="O73" s="72" t="str">
        <x:v>Passed</x:v>
      </x:c>
      <x:c r="P73" s="72" t="str">
        <x:v>Passed</x:v>
      </x:c>
      <x:c r="Q73" s="72" t="str">
        <x:v>Native Android and iOS both reject10kg with inline20–1000kg feedback and disabled Save. No invalid target was written. Both form drafts were cleared. GoalTest/OnboardingTest cover server/cloud-compatible lower bounds; broader kg/lb/clear/chart story cases are deferred.</x:v>
      </x:c>
      <x:c r="R73" s="72" t="str">
        <x:v>The canonical 70 kg/null targets were restored; sync returned to pending=0 with no error.</x:v>
      </x:c>
    </x:row>
    <x:row r="74" ht="26.399999618530273" hidden="0" customHeight="1">
      <x:c r="A74" t="str">
        <x:v>DEF-070</x:v>
      </x:c>
      <x:c r="B74" t="str">
        <x:v>HLT-050, ACC-048</x:v>
      </x:c>
      <x:c r="C74" t="str">
        <x:v>UX</x:v>
      </x:c>
      <x:c r="D74" t="str">
        <x:v>Android</x:v>
      </x:c>
      <x:c r="E74" t="str">
        <x:v>Medium</x:v>
      </x:c>
      <x:c r="F74" t="str">
        <x:v>Settings Health Connect does not poll sync_queued, so completed sync remains visibly queued until focus/visibility refresh</x:v>
      </x:c>
      <x:c r="G74" t="str">
        <x:v>Connect Health Connect with all required permissions and a genuine provider workout. Open Settings &gt; Health Connect, tap Sync now, wait until GET /health-connect/status reports connected with last_status success and synced_records 1, and observe Settings without changing focus. Then background and resume the app.</x:v>
      </x:c>
      <x:c r="H74" t="str">
        <x:v>Settings polls a queued sync through completion and returns to Connected / Sync now when the endpoint reports success, without requiring a focus or visibility event.</x:v>
      </x:c>
      <x:c r="I74" t="str">
        <x:v>At 600 ms Settings showed Sync queued. Six seconds later the endpoint reported connected, last_status success, and synced_records 1, but both the Settings status and button still showed Sync queued. Backgrounding and resuming refreshed them to Connected and Sync now.</x:v>
      </x:c>
      <x:c r="J74" t="str">
        <x:v>/Users/mason/.codex/visualizations/2026/09/01/01a05def-1c0d-76d1-abc6-07c63a443582/emulator-runs/initial/android/HLT-050-settings-sync-queued-observations.json
/Users/mason/.codex/visualizations/2026/09/01/01a05def-1c0d-76d1-abc6-07c63a443582/emulator-runs/initial/android/HLT-050-settings-sync-queued-stale.png
/Users/mason/.codex/visualizations/2026/09/01/01a05def-1c0d-76d1-abc6-07c63a443582/emulator-runs/initial/android/HLT-050-settings-focus-refresh.png
/Users/mason/.codex/visualizations/2026/09/01/01a05def-1c0d-76d1-abc6-07c63a443582/emulator-runs/initial/android/HLT-050-today-sync-queued-polls-success.png</x:v>
      </x:c>
      <x:c r="K74" t="str">
        <x:v>/Users/mason/Sites/Buff/resources/js/Pages/Settings/Health.vue:129-145 schedules follow-up status polling only for permission_requested, and lines 175-188 continue polling only while that same status remains. A sync_queued response can therefore complete server-side while Settings keeps stale local state until the mount/focus/visibility refresh path runs.</x:v>
      </x:c>
      <x:c r="L74" t="str">
        <x:v>In Progress</x:v>
      </x:c>
      <x:c r="M74" s="70" t="str">
        <x:v>Poll queued health synchronization and refresh status on focus/visibility return.</x:v>
      </x:c>
      <x:c r="N74" s="70" t="str">
        <x:v>Settings/Health.vue; HealthConnectWorkerKeyTest.</x:v>
      </x:c>
      <x:c r="O74" t="str">
        <x:v>Not Run</x:v>
      </x:c>
      <x:c r="P74" t="str">
        <x:v>Not Run</x:v>
      </x:c>
      <x:c r="Q74" t="str"/>
      <x:c r="R74" s="70" t="str">
        <x:v>Today already polls sync_queued; the observed stale completion state is isolated to Settings.</x:v>
      </x:c>
    </x:row>
    <x:row r="75" ht="176.39999389648438" hidden="0" customHeight="1">
      <x:c r="A75" s="72" t="str">
        <x:v>DEF-071</x:v>
      </x:c>
      <x:c r="B75" s="72" t="str">
        <x:v>HLT-057</x:v>
      </x:c>
      <x:c r="C75" s="72" t="str">
        <x:v>Logistical</x:v>
      </x:c>
      <x:c r="D75" s="72" t="str">
        <x:v>Android</x:v>
      </x:c>
      <x:c r="E75" s="72" t="str">
        <x:v>High</x:v>
      </x:c>
      <x:c r="F75" s="72" t="str">
        <x:v>Positive-offset Health Connect timestamps are stored as local wall-clock values, delaying source-deletion reconciliation against UTC windows</x:v>
      </x:c>
      <x:c r="G75" s="72" t="str">
        <x:v>Import a Health Connect workout whose started_at has a positive offset, delete that record from the provider, and run a successful sync while the UTC window end is later than the record's real instant but earlier than its stored local wall-clock started_at. Observe deleted_records and Today, then run another successful sync after UTC passes the stored wall-clock value.</x:v>
      </x:c>
      <x:c r="H75" s="72" t="str">
        <x:v>The first authoritative successful sync deletes every provider-absent imported workout whose actual instant lies inside the supplied window, regardless of the source timezone offset.</x:v>
      </x:c>
      <x:c r="I75" s="72" t="str">
        <x:v>The +01:00 source start 2026-09-02T13:16:03+01:00 was stored as wall-clock 2026-09-02 13:16:03 and compared with a first UTC window end of 2026-09-02T13:15:05Z, even though the real source instant was 2026-09-02T12:16:03Z. That worker succeeded with synced_records 2 and deleted_records 0, retaining the provider-deleted 206-kcal row and 316-kcal total. A later successful worker at 2026-09-02T13:23:49Z reported deleted_records 1 and removed the row, leaving the 50- and 60-kcal standalone rows totaling 110 kcal.</x:v>
      </x:c>
      <x:c r="J75" s="72" t="str">
        <x:v>/Users/mason/.codex/visualizations/2026/09/01/01a05def-1c0d-76d1-abc6-07c63a443582/emulator-runs/initial/android/HLT-057-timezone-reconciliation-delay.json
/Users/mason/.codex/visualizations/2026/09/01/01a05def-1c0d-76d1-abc6-07c63a443582/emulator-runs/initial/android/HLT-057-first-worker-delete-delayed.png
/Users/mason/.codex/visualizations/2026/09/01/01a05def-1c0d-76d1-abc6-07c63a443582/emulator-runs/initial/android/HLT-057-second-worker-delete-reconciled.png
/Users/mason/.codex/visualizations/2026/09/01/01a05def-1c0d-76d1-abc6-07c63a443582/inventory/health-connect-reconcile-cycle-diagnosis.json</x:v>
      </x:c>
      <x:c r="K75" s="72" t="str">
        <x:v>/Users/mason/Sites/Buff/native-plugins/health-connect/resources/android/src/com/buff/healthconnect/HealthConnectSyncWorker.kt:84-163 serializes workout intervals with the local OffsetDateTime offset but serializes window bounds as UTC Instants. /Users/mason/Sites/Buff/app/Services/HealthConnectWorkoutImporter.php:13-98 parses both values, then Eloquent persists the offset-bearing started_at as local wall-clock text while the deletion query compares it with UTC wall-clock bounds. A truly in-window provider-deleted row can therefore fall outside whereBetween until UTC catches up.</x:v>
      </x:c>
      <x:c r="L75" s="72" t="str">
        <x:v>Fixed</x:v>
      </x:c>
      <x:c r="M75" s="72" t="str">
        <x:v>Normalize imported timestamps and reconciliation bounds to UTC while preserving local display time.</x:v>
      </x:c>
      <x:c r="N75" s="72" t="str">
        <x:v>HealthConnectWorkoutImporter.php; HealthConnectImportTest.</x:v>
      </x:c>
      <x:c r="O75" s="72" t="str">
        <x:v>Not Run</x:v>
      </x:c>
      <x:c r="P75" s="72" t="str">
        <x:v>Passed</x:v>
      </x:c>
      <x:c r="Q75" s="72" t="str">
        <x:v>Created one synthetic Health Connect Toolbox50kcal record starting18:19:10+01:00. Deleted only that provider fixture through Toolbox. First subsequent successful native sync removed it by17:59:39Z, before UTC reached its18:19 wall-clock value. Today returned to original1kcal manual workout, proving offset-aware reconciliation.</x:v>
      </x:c>
      <x:c r="R75" s="72" t="str">
        <x:v>The later self-reconciliation does not make the first successful sync authoritative; no fix is included in this batch.</x:v>
      </x:c>
    </x:row>
    <x:row r="76" ht="229.1999969482422" hidden="0" customHeight="1">
      <x:c r="A76" s="72" t="str">
        <x:v>DEF-072</x:v>
      </x:c>
      <x:c r="B76" s="72" t="str">
        <x:v>NUT-021, NUT-024, NUT-023</x:v>
      </x:c>
      <x:c r="C76" s="72" t="str">
        <x:v>Logistical</x:v>
      </x:c>
      <x:c r="D76" s="72" t="str">
        <x:v>Android</x:v>
      </x:c>
      <x:c r="E76" s="72" t="str">
        <x:v>High</x:v>
      </x:c>
      <x:c r="F76" s="72" t="str">
        <x:v>Valid visible Add-food queries are omitted from Android UI requests while the same endpoint returns results when q is supplied</x:v>
      </x:c>
      <x:c r="G76" s="72" t="str">
        <x:v>On Android open Add &gt; All foods, enter a valid two-or-more-character query such as peanut, wait for the debounced search, submit from the Android keyboard, and capture the UI request URLs. In the same session request /food-products/search?q=peanut as a control.</x:v>
      </x:c>
      <x:c r="H76" s="72" t="str">
        <x:v>The UI request includes q=peanut and returns the matching previous meals and catalogue products for selection.</x:v>
      </x:c>
      <x:c r="I76" s="72" t="str">
        <x:v>The input visibly contained Peanut, but both UI-originated requests were sent to /food-products/search without q and the page showed 'No products found.' The same-session control request with q=peanut returned HTTP 200 with 20 products, including the known previous/local peanut match first.</x:v>
      </x:c>
      <x:c r="J76" s="72" t="str">
        <x:v>/Users/mason/.codex/visualizations/2026/09/01/01a05def-1c0d-76d1-abc6-07c63a443582/emulator-runs/initial/android/NUT-021-search-query-omitted.png
/Users/mason/.codex/visualizations/2026/09/01/01a05def-1c0d-76d1-abc6-07c63a443582/emulator-runs/initial/android/NUT-021-search-query-omitted.json</x:v>
      </x:c>
      <x:c r="K76" s="72" t="str">
        <x:v>/Users/mason/Sites/Buff/resources/js/Pages/Add.vue:451-466 trims the visible value and calls axios.get('/food-products/search', { params: { q: query } }). Native request capture recorded both UI requests as /food-products/search with no query string, while the same-session control /food-products/search?q=peanut returned HTTP 200 and 20 results. The available evidence proves this source/runtime URL mismatch but does not identify why the observed Android request omitted q.</x:v>
      </x:c>
      <x:c r="L76" s="72" t="str">
        <x:v>Fixed</x:v>
      </x:c>
      <x:c r="M76" s="72" t="str">
        <x:v>Serialize food-search query and locale into the request URL explicitly instead of relying on native Axios params handling.</x:v>
      </x:c>
      <x:c r="N76" s="72" t="str">
        <x:v>foodRequests.ts, Add.vue, RecipeMode.vue, MealController.php; foodRequests.test.ts, OpenFoodFactsLookupTest.</x:v>
      </x:c>
      <x:c r="O76" s="72" t="str">
        <x:v>Not Applicable</x:v>
      </x:c>
      <x:c r="P76" s="72" t="str">
        <x:v>Passed</x:v>
      </x:c>
      <x:c r="Q76" s="72" t="str">
        <x:v>Explicit URL serialization now includes complete query and locale for both debounced Android typing and keyboard Search, verified in installed23 with real products. Regression tests cover serialization and actual queue/retry paths.</x:v>
      </x:c>
      <x:c r="R76" s="72" t="str">
        <x:v>Classified High because the observed Android build returned no matches for valid input in the primary food-search flow; barcode scan and custom-food entry remain available workarounds.
RUN-0439: DEF072 narrow Android retest passes native23. Typing peanut sends /food-products/search?q=peanut&amp;locale=en-US and returns200 with visible catalogue results; Android keyboard Search sends the same complete URL and returns200. Explicit query serialization is fixed. Broader NUT021 composition/history/selection, NUT023 locale-change/cache and NUT024 offline used-product behavior remain incomplete; this closure does not claim those cases passed. User requested finishing the current work; no further feature work started.</x:v>
      </x:c>
    </x:row>
    <x:row r="77" ht="39.599998474121094" hidden="0" customHeight="1">
      <x:c r="A77" t="str">
        <x:v>DEF-073</x:v>
      </x:c>
      <x:c r="B77" t="str">
        <x:v>NUT-025</x:v>
      </x:c>
      <x:c r="C77" t="str">
        <x:v>UX</x:v>
      </x:c>
      <x:c r="D77" t="str">
        <x:v>Android</x:v>
      </x:c>
      <x:c r="E77" t="str">
        <x:v>Medium</x:v>
      </x:c>
      <x:c r="F77" t="str">
        <x:v>Search request failures are indistinguishable from genuine zero results and provide no retry</x:v>
      </x:c>
      <x:c r="G77" t="str">
        <x:v>Temporarily force only /food-products/search to reject, enter cashew with real Android text input, and wait for the search to finish.</x:v>
      </x:c>
      <x:c r="H77" t="str">
        <x:v>A failed search shows a search-specific error or status and offers a retry action, distinct from a successful search with zero matches.</x:v>
      </x:c>
      <x:c r="I77" t="str">
        <x:v>The forced rejection occurred exactly once, but the page showed 'No products found.' with no error, status, or retry action.</x:v>
      </x:c>
      <x:c r="J77" t="str">
        <x:v>/Users/mason/.codex/visualizations/2026/09/01/01a05def-1c0d-76d1-abc6-07c63a443582/emulator-runs/initial/android/NUT-025-search-request-error.png
/Users/mason/.codex/visualizations/2026/09/01/01a05def-1c0d-76d1-abc6-07c63a443582/emulator-runs/initial/android/NUT-025-search-request-error-observations.json</x:v>
      </x:c>
      <x:c r="K77" t="str">
        <x:v>/Users/mason/Sites/Buff/resources/js/Pages/Add.vue:451-479 catches every search request failure and replaces the results with an empty array. Lines 1165-1213 then render any completed two-or-more-character search with no results as 'No products found.' and expose no error state or retry action.</x:v>
      </x:c>
      <x:c r="L77" t="str">
        <x:v>In Progress</x:v>
      </x:c>
      <x:c r="M77" s="70" t="str">
        <x:v>Separate genuine zero results from search failures and expose a retry action.</x:v>
      </x:c>
      <x:c r="N77" s="70" t="str">
        <x:v>Add.vue, RecipeMode.vue, foodRequests.ts; foodRequests.test.ts, recipeDesign.test.ts.</x:v>
      </x:c>
      <x:c r="O77" t="str">
        <x:v>Not Run</x:v>
      </x:c>
      <x:c r="P77" t="str">
        <x:v>Not Run</x:v>
      </x:c>
      <x:c r="Q77" t="str"/>
      <x:c r="R77" s="70" t="str">
        <x:v>The fetch implementation was restored immediately after capture; the forced rejection was scoped only to /food-products/search.</x:v>
      </x:c>
    </x:row>
    <x:row r="78" ht="39.599998474121094" hidden="0" customHeight="1">
      <x:c r="A78" t="str">
        <x:v>DEF-074</x:v>
      </x:c>
      <x:c r="B78" t="str">
        <x:v>NUT-036</x:v>
      </x:c>
      <x:c r="C78" t="str">
        <x:v>UX</x:v>
      </x:c>
      <x:c r="D78" t="str">
        <x:v>Android</x:v>
      </x:c>
      <x:c r="E78" t="str">
        <x:v>Medium</x:v>
      </x:c>
      <x:c r="F78" t="str">
        <x:v>Offline uncached barcode loses its specific explanation and shows a generic lookup failure</x:v>
      </x:c>
      <x:c r="G78" t="str">
        <x:v>On Android, enable airplane mode, open Add food, use the scanner/manual barcode path to look up never-seen barcode 9999999999999, and observe the inline error.</x:v>
      </x:c>
      <x:c r="H78" t="str">
        <x:v>The inline error says exactly 'You are offline and this barcode is not stored on this device.' and the custom-food alternative remains available.</x:v>
      </x:c>
      <x:c r="I78" t="str">
        <x:v>The inline error said 'Could not look up that barcode. Add it as custom food instead.' The Add custom food alternative was visible, but the offline-specific explanation was lost.</x:v>
      </x:c>
      <x:c r="J78" t="str">
        <x:v>/Users/mason/.codex/visualizations/2026/09/01/01a05def-1c0d-76d1-abc6-07c63a443582/emulator-runs/initial/android/NUT-036-offline-unknown-barcode.png
/Users/mason/.codex/visualizations/2026/09/01/01a05def-1c0d-76d1-abc6-07c63a443582/emulator-runs/initial/android/NUT-034-037-barcode-observations.json</x:v>
      </x:c>
      <x:c r="K78" t="str">
        <x:v>/Users/mason/Sites/Buff/app/Services/OpenFoodFactsService.php:33-39 creates the exact offline validation message, and /Users/mason/Sites/Buff/resources/js/Pages/Add.vue:435-438 prefers errors.barcode[0] before its generic fallback. The generic fallback proves that the observed catch path did not expose that serialized validation field; this black-box run did not isolate where the field was lost.</x:v>
      </x:c>
      <x:c r="L78" t="str">
        <x:v>In Progress</x:v>
      </x:c>
      <x:c r="M78" s="70" t="str">
        <x:v>Parse string/native error payloads and retain the exact offline uncached-barcode explanation.</x:v>
      </x:c>
      <x:c r="N78" s="70" t="str">
        <x:v>foodRequests.ts, Add.vue; foodRequests.test.ts, OpenFoodFactsLookupTest.</x:v>
      </x:c>
      <x:c r="O78" t="str">
        <x:v>Not Run</x:v>
      </x:c>
      <x:c r="P78" t="str">
        <x:v>Not Run</x:v>
      </x:c>
      <x:c r="Q78" t="str"/>
      <x:c r="R78" s="70" t="str">
        <x:v>The cached barcode control succeeded in the same airplane-mode session. Connectivity was restored after capture.</x:v>
      </x:c>
    </x:row>
    <x:row r="79" ht="39.599998474121094" hidden="0" customHeight="1">
      <x:c r="A79" t="str">
        <x:v>DEF-075</x:v>
      </x:c>
      <x:c r="B79" t="str">
        <x:v>NUT-013</x:v>
      </x:c>
      <x:c r="C79" t="str">
        <x:v>UX</x:v>
      </x:c>
      <x:c r="D79" t="str">
        <x:v>Both</x:v>
      </x:c>
      <x:c r="E79" t="str">
        <x:v>Medium</x:v>
      </x:c>
      <x:c r="F79" t="str">
        <x:v>Historical nutrition targets silently change with the current goal and do not disclose that behavior</x:v>
      </x:c>
      <x:c r="G79" t="str">
        <x:v>On Android, open Weekly roundup for 1-7 July 2026 with the current calorie goal at 2200 and note the 15400 range target and 2200 per-day rows. Change the current goal to 2250, save, and reopen the same historical range; then restore the goal to 2200 and reopen it again.</x:v>
      </x:c>
      <x:c r="H79" t="str">
        <x:v>Historical nutrition views disclose that past targets use the current goal and therefore recalculate when it changes. This defect does not require historical goal snapshots.</x:v>
      </x:c>
      <x:c r="I79" t="str">
        <x:v>The unchanged July range moved from a 15400 aggregate target with 2200 per-day rows to 15750 with 2250 per-day rows, then returned to 15400/2200 after the current goal was restored. The screen did not explain that current goals were being applied retroactively.</x:v>
      </x:c>
      <x:c r="J79" t="str">
        <x:v>/Users/mason/.codex/visualizations/2026/09/01/01a05def-1c0d-76d1-abc6-07c63a443582/emulator-runs/initial/android/NUT-106-goal-only-empty-range.png
/Users/mason/.codex/visualizations/2026/09/01/01a05def-1c0d-76d1-abc6-07c63a443582/emulator-runs/initial/android/NUT-013-historical-goal-retroactive-2250.png
/Users/mason/.codex/visualizations/2026/09/01/01a05def-1c0d-76d1-abc6-07c63a443582/emulator-runs/initial/android/NUT-013-goal-restored-2200.png
/Users/mason/.codex/visualizations/2026/09/01/01a05def-1c0d-76d1-abc6-07c63a443582/emulator-runs/initial/android/NUT-013-018-094-105-106-observations.json</x:v>
      </x:c>
      <x:c r="K79" t="str">
        <x:v>/Users/mason/Sites/Buff/app/Services/WeekSummaryService.php:49-60 intentionally applies the most recently updated DailyGoal to every requested date. /Users/mason/Sites/Buff/resources/js/Pages/Weekly.vue:193-250 renders the aggregate and daily targets without copy explaining that they come from the current goal rather than a historical snapshot.</x:v>
      </x:c>
      <x:c r="L79" t="str">
        <x:v>In Progress</x:v>
      </x:c>
      <x:c r="M79" s="70" t="str">
        <x:v>Disclose that historical nutrition targets use the current goal rather than historical goal snapshots.</x:v>
      </x:c>
      <x:c r="N79" s="70" t="str">
        <x:v>Weekly.vue; appShell.test.ts, WeeklySummaryTest.</x:v>
      </x:c>
      <x:c r="O79" t="str">
        <x:v>Not Run</x:v>
      </x:c>
      <x:c r="P79" t="str">
        <x:v>Not Run</x:v>
      </x:c>
      <x:c r="Q79" t="str"/>
      <x:c r="R79" s="70" t="str">
        <x:v>Observed on Android in shared application behavior classified for Both platforms. The current goal was restored to 2200 after capture.</x:v>
      </x:c>
    </x:row>
    <x:row r="80" ht="136.8000030517578" hidden="0" customHeight="1">
      <x:c r="A80" s="72" t="str">
        <x:v>DEF-076</x:v>
      </x:c>
      <x:c r="B80" s="72" t="str">
        <x:v>NUT-001, NUT-012</x:v>
      </x:c>
      <x:c r="C80" s="72" t="str">
        <x:v>UX / reliability</x:v>
      </x:c>
      <x:c r="D80" s="72" t="str">
        <x:v>Android</x:v>
      </x:c>
      <x:c r="E80" s="72" t="str">
        <x:v>Medium</x:v>
      </x:c>
      <x:c r="F80" s="72" t="str">
        <x:v>The first explicit no-goal onboarding bypass rendered a blank page until reload.</x:v>
      </x:c>
      <x:c r="G80" s="72" t="str">
        <x:v>Register a fresh disposable account, leave onboarding before creating a DailyGoal, then navigate directly to /?skip_onboarding=1. Wait for the Inertia response and inspect the rendered page. Reload, return to onboarding, and repeat the bypass.</x:v>
      </x:c>
      <x:c r="H80" s="72" t="str">
        <x:v>Today renders the no-goal warning, No daily target yet, zero macro targets, and a Set goals action on the first visit.</x:v>
      </x:c>
      <x:c r="I80" s="72" t="str">
        <x:v>The first bypass after registration returned the correct goal-null page payload but rendered only the native Test Ad surface for more than 2.5 seconds. Reload rendered the expected fallback, and an immediate second bypass also rendered correctly.</x:v>
      </x:c>
      <x:c r="J80" s="72" t="str">
        <x:v>/Users/mason/.codex/visualizations/2026/09/01/01a05def-1c0d-76d1-abc6-07c63a443582/emulator-runs/initial/android/NUT-012-first-bypass-blank-uiautomator.xml
/Users/mason/.codex/visualizations/2026/09/01/01a05def-1c0d-76d1-abc6-07c63a443582/emulator-runs/initial/android/NUT-012-no-goal-fallback.png</x:v>
      </x:c>
      <x:c r="K80" s="72" t="str">
        <x:v>Unknown; the failure was intermittent and occurred after the correct server response reached the fresh Android WebView.</x:v>
      </x:c>
      <x:c r="L80" s="72" t="str">
        <x:v>Open</x:v>
      </x:c>
      <x:c r="M80" s="72" t="str">
        <x:v>No speculative patch. Reproduce the first no-goal bypass on a fresh build and capture client errors and navigation timing before choosing a fix.</x:v>
      </x:c>
      <x:c r="N80" s="72" t="str">
        <x:v>Existing DashboardTest verifies server payload only; it does not prove first-transition rendering.</x:v>
      </x:c>
      <x:c r="O80" s="72" t="str">
        <x:v>Not Run</x:v>
      </x:c>
      <x:c r="P80" s="72" t="str">
        <x:v>Passed</x:v>
      </x:c>
      <x:c r="Q80" s="72" t="str">
        <x:v>2026-09-08 exact fresh-account first-bypass native retest Passed on Android QA user12/debug27. No DailyGoal existed. First Inertia visit to /?skip_onboarding=1 completed in 1262 ms, rendering the warning, No daily target yet, zero macro goals, Set goals action and navigation. Screenshot and page data agree. No speculative patch; intermittent historical root cause remains unknown, so the defect remains Open with a passing current retest.</x:v>
      </x:c>
      <x:c r="R80" s="72" t="str">
        <x:v>Final exact-path evidence: /Users/mason/.codex/visualizations/2026/09/06/01a07722-2d43-7910-aa74-f3a7d9489dc2/release-qa/DEF-076-first-bypass-final.json; /Users/mason/.codex/visualizations/2026/09/06/01a07722-2d43-7910-aa74-f3a7d9489dc2/release-qa/DEF-076-first-bypass-final.png New disposable account and separate Android user preserved all existing QA data.</x:v>
      </x:c>
    </x:row>
    <x:row r="81" ht="26.399999618530273" hidden="0" customHeight="1">
      <x:c r="A81" t="str">
        <x:v>DEF-077</x:v>
      </x:c>
      <x:c r="B81" t="str">
        <x:v>ACC-020</x:v>
      </x:c>
      <x:c r="C81" t="str">
        <x:v>UX / recoverability</x:v>
      </x:c>
      <x:c r="D81" t="str">
        <x:v>Both</x:v>
      </x:c>
      <x:c r="E81" t="str">
        <x:v>Medium</x:v>
      </x:c>
      <x:c r="F81" t="str">
        <x:v>Signed-out users have no reachable Clear device data action despite the public recovery endpoint.</x:v>
      </x:c>
      <x:c r="G81" t="str">
        <x:v>Open /account/login while signed out or after credentials expire. Inspect every visible action and attempt to find the local device-data removal confirmation.</x:v>
      </x:c>
      <x:c r="H81" t="str">
        <x:v>A clearly labelled, confirmed action invokes DELETE /account/local-data, removes local identity and health data, and returns to registration without deleting synced cloud data.</x:v>
      </x:c>
      <x:c r="I81" t="str">
        <x:v>The login page exposed Sign in, Continue with Google, Forgot password, and Create account only. The Clear device data button and ConfirmSheet are commented out, while the public controller endpoint still exists.</x:v>
      </x:c>
      <x:c r="J81" t="str">
        <x:v>/Users/mason/.codex/visualizations/2026/09/01/01a05def-1c0d-76d1-abc6-07c63a443582/inventory/ACC-020-login-no-clear-device-data.png</x:v>
      </x:c>
      <x:c r="K81" t="str">
        <x:v>resources/js/Pages/Account.vue comments out both the Clear device data button and its ConfirmSheet, leaving AccountController::destroyLocalData unreachable from ordinary UI.</x:v>
      </x:c>
      <x:c r="L81" t="str">
        <x:v>In Progress</x:v>
      </x:c>
      <x:c r="M81" s="70" t="str">
        <x:v>Restore the signed-out Clear device data action behind its confirmation sheet.</x:v>
      </x:c>
      <x:c r="N81" s="70" t="str">
        <x:v>Account.vue; socialLoginBranding.test.ts.</x:v>
      </x:c>
      <x:c r="O81" t="str">
        <x:v>Not Run</x:v>
      </x:c>
      <x:c r="P81" t="str">
        <x:v>Not Run</x:v>
      </x:c>
      <x:c r="Q81" t="str"/>
      <x:c r="R81" s="70" t="str">
        <x:v>Observed on Android; the shared Vue page makes the same action absent on iOS.</x:v>
      </x:c>
    </x:row>
    <x:row r="82" ht="39.599998474121094" hidden="0" customHeight="1">
      <x:c r="A82" t="str">
        <x:v>DEF-078</x:v>
      </x:c>
      <x:c r="B82" t="str">
        <x:v>ACC-007, ACC-012</x:v>
      </x:c>
      <x:c r="C82" t="str">
        <x:v>Security / UX</x:v>
      </x:c>
      <x:c r="D82" t="str">
        <x:v>Both</x:v>
      </x:c>
      <x:c r="E82" t="str">
        <x:v>Medium</x:v>
      </x:c>
      <x:c r="F82" t="str">
        <x:v>The social callback displays an arbitrary deep-link error string instead of a generic safe message.</x:v>
      </x:c>
      <x:c r="G82" t="str">
        <x:v>While signed out, open /account/social/callback?error=Provider%20returned%20sensitive%20diagnostic%2012345 and observe the redirected login flash. Also open the callback with no code or error as a control.</x:v>
      </x:c>
      <x:c r="H82" t="str">
        <x:v>Cancellation and failure recover to the correct account screen with a fixed safe message; missing codes remain generic and no provider or forged diagnostic is disclosed.</x:v>
      </x:c>
      <x:c r="I82" t="str">
        <x:v>A missing code produced Social sign-in could not be completed, but the error query was rendered verbatim as Provider returned sensitive diagnostic 12345.</x:v>
      </x:c>
      <x:c r="J82" t="str">
        <x:v>/Users/mason/.codex/visualizations/2026/09/01/01a05def-1c0d-76d1-abc6-07c63a443582/inventory/ACC-012-missing-code-generic-error.png
/Users/mason/.codex/visualizations/2026/09/01/01a05def-1c0d-76d1-abc6-07c63a443582/inventory/ACC-012-untrusted-error-disclosed.png</x:v>
      </x:c>
      <x:c r="K82" t="str">
        <x:v>AccountController::socialCallback passes request('error') directly to the flash message instead of collapsing it to the existing generic social-sign-in failure text.</x:v>
      </x:c>
      <x:c r="L82" t="str">
        <x:v>In Progress</x:v>
      </x:c>
      <x:c r="M82" s="70" t="str">
        <x:v>Replace arbitrary social callback error strings with the existing generic safe failure message.</x:v>
      </x:c>
      <x:c r="N82" s="70" t="str">
        <x:v>AccountController.php; BuffAuthenticationTest.</x:v>
      </x:c>
      <x:c r="O82" t="str">
        <x:v>Not Run</x:v>
      </x:c>
      <x:c r="P82" t="str">
        <x:v>Not Run</x:v>
      </x:c>
      <x:c r="Q82" t="str"/>
      <x:c r="R82" s="70" t="str">
        <x:v>The value is HTML-escaped, so this is message injection and information-disclosure risk rather than demonstrated script execution.</x:v>
      </x:c>
    </x:row>
    <x:row r="83" ht="70.80000305175781" hidden="0" customHeight="1">
      <x:c r="A83" s="72" t="str">
        <x:v>DEF-079</x:v>
      </x:c>
      <x:c r="B83" s="72" t="str">
        <x:v>ACC-075, ACC-078</x:v>
      </x:c>
      <x:c r="C83" s="72" t="str">
        <x:v>Logistical</x:v>
      </x:c>
      <x:c r="D83" s="72" t="str">
        <x:v>Both</x:v>
      </x:c>
      <x:c r="E83" s="72" t="str">
        <x:v>Critical</x:v>
      </x:c>
      <x:c r="F83" s="72" t="str">
        <x:v>The current sync-banner condition has an unterminated string and cannot compile.</x:v>
      </x:c>
      <x:c r="G83" s="72" t="str">
        <x:v>Compile the current AppShell template with Vue compiler-sfc.</x:v>
      </x:c>
      <x:c r="H83" s="72" t="str">
        <x:v>AppShell compiles before either platform asset build is packaged.</x:v>
      </x:c>
      <x:c r="I83" s="72" t="str">
        <x:v>The v-if condition ends after the opening quoted failed value without a closing single quote.</x:v>
      </x:c>
      <x:c r="J83" s="72" t="str">
        <x:v>Source audit on 2026-09-04; tests/appShell.test.ts now compiles the real template.</x:v>
      </x:c>
      <x:c r="K83" s="72" t="str">
        <x:v>An in-progress condition edit left an unterminated string in AppShell.vue. Original authorship of that concurrent edit is unknown.</x:v>
      </x:c>
      <x:c r="L83" s="72" t="str">
        <x:v>Fixed</x:v>
      </x:c>
      <x:c r="M83" s="72" t="str">
        <x:v>Restore the missing quote without changing the failure-only condition; add an actual Vue template compilation regression check.</x:v>
      </x:c>
      <x:c r="N83" s="72" t="str">
        <x:v>Full frontend228/228 including actual Vue template compilation; TypeScript pass. Signed Android24 build/install/startup and installed iOS23 Progress/Goals render successfully.</x:v>
      </x:c>
      <x:c r="O83" s="72" t="str">
        <x:v>Passed</x:v>
      </x:c>
      <x:c r="P83" s="72" t="str">
        <x:v>Passed</x:v>
      </x:c>
      <x:c r="Q83" s="72" t="str">
        <x:v>The malformed Vue template no longer prevents compilation or native startup on either platform. Failure-only sync-banner product scope remains separately tracked in DEF-052.</x:v>
      </x:c>
      <x:c r="R83" s="72" t="str">
        <x:v>Asset-build and emulator verification still required. Sync visibility scope is tracked separately in DEF-052.</x:v>
      </x:c>
    </x:row>
    <x:row r="84" ht="118.80000305175781" hidden="0" customHeight="1">
      <x:c r="A84" s="70" t="str">
        <x:v>DEF-080</x:v>
      </x:c>
      <x:c r="B84" s="70" t="str">
        <x:v>ACC-018</x:v>
      </x:c>
      <x:c r="C84" s="70" t="str">
        <x:v>UX</x:v>
      </x:c>
      <x:c r="D84" s="70" t="str">
        <x:v>Both</x:v>
      </x:c>
      <x:c r="E84" s="70" t="str">
        <x:v>Low</x:v>
      </x:c>
      <x:c r="F84" s="70" t="str">
        <x:v>Password visibility toggle dismisses the keyboard and loses input focus</x:v>
      </x:c>
      <x:c r="G84" s="70" t="str">
        <x:v>Focus a password input and enter an unsent test value. Tap Show password. Refocus the revealed field and tap Hide password.</x:v>
      </x:c>
      <x:c r="H84" s="70" t="str">
        <x:v>Reveal/hide preserves the current value and focused input so users can continue entering their password without another tap; it must not submit.</x:v>
      </x:c>
      <x:c r="I84" s="70" t="str">
        <x:v>On iOS build15, both reveal and hide preserve15 characters and the correct type/label but document.activeElement becomes BODY and the keyboard accessory disappears. Android independently reproduced focus moving to BUTTON and keyboard dismissal.</x:v>
      </x:c>
      <x:c r="J84" s="70" t="str">
        <x:v>/Users/mason/.codex/visualizations/2026/09/01/01a05def-1c0d-76d1-abc6-07c63a443582/emulator-runs/retest/ios/ACC-018-reveal-blurs-input.png
/Users/mason/.codex/visualizations/2026/09/01/01a05def-1c0d-76d1-abc6-07c63a443582/emulator-runs/retest/ios/ACC-018-hide-blurs-input.png
/Users/mason/.codex/visualizations/2026/09/01/01a05def-1c0d-76d1-abc6-07c63a443582/emulator-runs/retest/android/ACC-018-reveal-focus.json</x:v>
      </x:c>
      <x:c r="K84" s="70" t="str">
        <x:v>The built PasswordInput.vue toggles passwordVisible only on click and does not preserve focused-input pointer interaction or restore focus.</x:v>
      </x:c>
      <x:c r="L84" s="70" t="str">
        <x:v>In Progress</x:v>
      </x:c>
      <x:c r="M84" s="70" t="str">
        <x:v>Prevent pointerdown default on the shared reveal button so touch/mouse do not blur the input; keyboard activation is unchanged.</x:v>
      </x:c>
      <x:c r="N84" s="70" t="str">
        <x:v>resources/js/Components/PasswordInput.vue; tests/passwordInput.test.ts: 2/2 focused tests, TypeScript and diff checks passed.</x:v>
      </x:c>
      <x:c r="O84" s="70" t="str">
        <x:v>Failed</x:v>
      </x:c>
      <x:c r="P84" s="70" t="str">
        <x:v>Failed</x:v>
      </x:c>
      <x:c r="Q84" s="70" t="str">
        <x:v>Source fix was made after build 15. Await another native build and both platform retests.</x:v>
      </x:c>
      <x:c r="R84" s="70" t="str">
        <x:v>No password was submitted during reproduction. The revealed value in iOS evidence is harmless unsent test text, not the later generated QA credential. Root reports a source fix exists after build15; this build does not contain that new fix.</x:v>
      </x:c>
    </x:row>
    <x:row r="85" ht="105.5999984741211" hidden="0" customHeight="1">
      <x:c r="A85" s="70" t="str">
        <x:v>DEF-081</x:v>
      </x:c>
      <x:c r="B85" s="70" t="str">
        <x:v>NUT-107</x:v>
      </x:c>
      <x:c r="C85" s="70" t="str">
        <x:v>UX</x:v>
      </x:c>
      <x:c r="D85" s="70" t="str">
        <x:v>Both</x:v>
      </x:c>
      <x:c r="E85" s="70" t="str">
        <x:v>Medium</x:v>
      </x:c>
      <x:c r="F85" s="70" t="str">
        <x:v>Weekly hero and macro cards retain old totals after preserve-state resume sync</x:v>
      </x:c>
      <x:c r="G85" s="70" t="str">
        <x:v>On Android build 15, open Weekly before any meals exist. Create one 500-kcal meal with 20g protein, 60g carbs and 20g fat on the same QA account in iOS and wait for sync. Genuinely background Android by opening its launcher, then return to Buff and wait for successful resume sync without navigating away.</x:v>
      </x:c>
      <x:c r="H85" s="70" t="str">
        <x:v>Every hero and macro value reflects refreshed roundup B, consistently with directly rendered daily rows and insights. Unsubmitted period controls remain intact.</x:v>
      </x:c>
      <x:c r="I85" s="70" t="str">
        <x:v>Android build 15 showed Daily average 0 kcal and zero macro cards after successful sync, while the same page showed 500 kcal this period, an insight averaging 500 kcal, and Friday's row with 500 kcal and 20/60/20 macros. Sync timestamp advanced to 10:04:36 UTC, pending was zero and last_error was null.</x:v>
      </x:c>
      <x:c r="J85" s="70" t="str">
        <x:v>/Users/mason/.codex/visualizations/2026/09/01/01a05def-1c0d-76d1-abc6-07c63a443582/emulator-runs/retest/android/NUT-107-genuine-resume-sync.json
/Users/mason/.codex/visualizations/2026/09/01/01a05def-1c0d-76d1-abc6-07c63a443582/emulator-runs/retest/android/NUT-107-stale-hero-after-sync.png
Source regression: tests/weeklySummary.test.ts failed before the computed change and passes afterward.</x:v>
      </x:c>
      <x:c r="K85" s="70" t="str">
        <x:v>Values that should derive reactively from roundup props were captured as plain setup-time constants. Resume uses a preserve-state reload, unlike normal Weekly period visits.</x:v>
      </x:c>
      <x:c r="L85" s="70" t="str">
        <x:v>In Progress</x:v>
      </x:c>
      <x:c r="M85" s="70" t="str">
        <x:v>Wrap macroCards, heroCalories and heroTarget in Vue computed values. Preserve existing null/zero fallback semantics and leave editable control refs unchanged.</x:v>
      </x:c>
      <x:c r="N85" s="70" t="str">
        <x:v>/Users/mason/Sites/Buff/resources/js/Pages/Weekly.vue:6 and:76; /Users/mason/Sites/Buff/tests/weeklySummary.test.ts:6. node --test tests/weeklySummary.test.ts tests/mealPhotos.test.ts tests/foodRequests.test.ts:11/11 passed. pnpm run type-check passed. Scoped git diff --check passed.</x:v>
      </x:c>
      <x:c r="O85" s="70" t="str">
        <x:v>Not Run</x:v>
      </x:c>
      <x:c r="P85" s="70" t="str">
        <x:v>Failed</x:v>
      </x:c>
      <x:c r="Q85" s="70" t="str"/>
      <x:c r="R85" s="70" t="str">
        <x:v>Build 15 does not contain the new source fix. Preserve the initial Android Passed result for ordinary Week-to-Range navigation; that path is not this failure. QA user 10 has unfinished Android setup, so HOME was a no-op; only the later launcher transition with observed hidden/visible state is valid resume evidence.</x:v>
      </x:c>
    </x:row>
    <x:row r="86" ht="132" hidden="0" customHeight="1">
      <x:c r="A86" s="70" t="str">
        <x:v>DEF-082</x:v>
      </x:c>
      <x:c r="B86" s="70" t="str">
        <x:v>NUT-078</x:v>
      </x:c>
      <x:c r="C86" s="70" t="str">
        <x:v>UX</x:v>
      </x:c>
      <x:c r="D86" s="70" t="str">
        <x:v>Both</x:v>
      </x:c>
      <x:c r="E86" s="70" t="str">
        <x:v>Medium</x:v>
      </x:c>
      <x:c r="F86" s="70" t="str">
        <x:v>Meal-photo offline/auth/server failures appear identical to a meal without photos</x:v>
      </x:c>
      <x:c r="G86" s="70" t="str">
        <x:v>On Android build 15 with a synced custom meal, disable emulator Wi-Fi and mobile data, open its meal details and wait for photo loading. Restore both network transports while keeping the drawer open.</x:v>
      </x:c>
      <x:c r="H86" s="70" t="str">
        <x:v>Non404 failures end loading, explain the failure and offer Retry meal photos. Retry clears the error and refetches the selected meal.404 remains quiet, and older request responses cannot overwrite current drawer state.</x:v>
      </x:c>
      <x:c r="I86" s="70" t="str">
        <x:v>The photo request returned HTTP 503 while offline. Loading ended with no gallery, no alert and no retry action. Restoring connectivity left the drawer unchanged, with only Close, Repeat, Edit and Delete controls. The global offline banner did not explain the photo failure.</x:v>
      </x:c>
      <x:c r="J86" s="70" t="str">
        <x:v>/Users/mason/.codex/visualizations/2026/09/01/01a05def-1c0d-76d1-abc6-07c63a443582/emulator-runs/retest/android/NUT-078-offline-details.json
/Users/mason/.codex/visualizations/2026/09/01/01a05def-1c0d-76d1-abc6-07c63a443582/emulator-runs/retest/android/NUT-078-photo-request-status.json
/Users/mason/.codex/visualizations/2026/09/01/01a05def-1c0d-76d1-abc6-07c63a443582/emulator-runs/retest/android/NUT-078-offline-no-feedback.png
Source regression tests: tests/mealPhotos.test.ts.</x:v>
      </x:c>
      <x:c r="K86" s="70" t="str">
        <x:v>The photo loader collapsed all failures into an empty array and had no reactive error/retry UI. Its existing incrementing request token already protected stale responses and needed to remain authoritative for errors too.</x:v>
      </x:c>
      <x:c r="L86" s="70" t="str">
        <x:v>In Progress</x:v>
      </x:c>
      <x:c r="M86" s="70" t="str">
        <x:v>Add mealPhotosError, reset it at load/close, ignore only Axios404 failures, and use the existing responseErrorMessage helper for other current-request failures. Render an alert and Retry meal photos using the existing Button. Keep current-request guards for success, failure and loading cleanup.</x:v>
      </x:c>
      <x:c r="N86" s="70" t="str">
        <x:v>/Users/mason/Sites/Buff/resources/js/Pages/Today.vue:10,:211,:510,:534,:944; /Users/mason/Sites/Buff/tests/mealPhotos.test.ts:8-109. node --test tests/weeklySummary.test.ts tests/mealPhotos.test.ts tests/foodRequests.test.ts:11/11 passed. pnpm run type-check passed. Scoped git diff --check passed. Tests cover404, native JSON-string401/500 errors, generic offline errors, retry success, stale failure and stale success races, and rendered/cleared error feedback.</x:v>
      </x:c>
      <x:c r="O86" s="70" t="str">
        <x:v>Not Run</x:v>
      </x:c>
      <x:c r="P86" s="70" t="str">
        <x:v>Failed</x:v>
      </x:c>
      <x:c r="Q86" s="70" t="str"/>
      <x:c r="R86" s="70" t="str">
        <x:v>Wi-Fi and mobile data were restored to their original enabled state. No meal data changed. Build 15 predates the error/Retry source fix; post-fix device validation is still pending.</x:v>
      </x:c>
    </x:row>
    <x:row r="87" ht="176.39999389648438" hidden="0" customHeight="1">
      <x:c r="A87" s="72" t="str">
        <x:v>DEF-083</x:v>
      </x:c>
      <x:c r="B87" s="72" t="str">
        <x:v>HLT-025</x:v>
      </x:c>
      <x:c r="C87" s="72" t="str">
        <x:v>Logic</x:v>
      </x:c>
      <x:c r="D87" s="72" t="str">
        <x:v>Both</x:v>
      </x:c>
      <x:c r="E87" s="72" t="str">
        <x:v>High</x:v>
      </x:c>
      <x:c r="F87" s="72" t="str">
        <x:v>Offline photos for an already-synced metric were not persisted</x:v>
      </x:c>
      <x:c r="G87" s="72" t="str">
        <x:v>Source-derived reproduction, not a new emulator observation: create or select a body metric with no matching sync outbox row, submit a valid photo/pose and make the upload API fail to connect. Before the fix, upload() returned ConnectionFailed without calling stage(). Intended device reproduction: add a photo to a synced historical metric offline, close/relaunch the app before retry, and inspect whether the photo survives.</x:v>
      </x:c>
      <x:c r="H87" s="72" t="str">
        <x:v>A connection failure saves the photo and pose durably, returns pending success, survives subsequent requests/relaunch, then uploads and cleans up after successful sync.401/422 errors stay visible and never stage.</x:v>
      </x:c>
      <x:c r="I87" s="72" t="str">
        <x:v>Pre-fix source inspection showed staging depended only on a metric outbox row. An already-synced metric returned the API failure directly, leaving no PendingBodyMetricPhotoUpload row or stored file. The UI retained only its current in-memory selection, which cannot survive process closure.</x:v>
      </x:c>
      <x:c r="J87" s="72" t="str">
        <x:v>Source-derived proof: /Users/mason/Sites/Buff/app/Services/BodyMetricPhotoUploader.php upload(), stage(), pendingPhotosFor() and flushPending(); /Users/mason/Sites/Buff/resources/js/Pages/Progress.vue uploadSelectedPhotos(). New test /Users/mason/Sites/Buff/tests/Feature/ProgressPhotoTest.php:156 verifies persisted bytes and pose through a later HTTP request, then successful sync cleanup. The following dataset verifies 401/422 do not stage. These tests do not constitute an emulator process-relaunch test.</x:v>
      </x:c>
      <x:c r="K87" s="72" t="str">
        <x:v>Durable staging was entered only for an unsynced metric, not for a failed network upload of an already-synced metric.</x:v>
      </x:c>
      <x:c r="L87" s="72" t="str">
        <x:v>Fixed</x:v>
      </x:c>
      <x:c r="M87" s="72" t="str">
        <x:v>Attempt the direct upload when the metric is already synced. Return all non-ConnectionFailed results unchanged. Route only ConnectionFailed through the existing stage() path and pending-success response. Existing outbox-linked staging, durable preview and sync cleanup remain shared.</x:v>
      </x:c>
      <x:c r="N87" s="72" t="str">
        <x:v>ProgressPhotoTest 16/16, 107 assertions. Android build23 uploader matches source; offline upload to a synced measurement survives QA-only cold restart and reconnects successfully.</x:v>
      </x:c>
      <x:c r="O87" s="72" t="str">
        <x:v>Passed</x:v>
      </x:c>
      <x:c r="P87" s="72" t="str">
        <x:v>Passed</x:v>
      </x:c>
      <x:c r="Q87" s="72" t="str">
        <x:v>Both platforms passed durable staging and reconnect. iOS: single-process HTTPS proxy to refused loopback port caused real Buff connection failures without changing Mac/simulator networking. Synthetic JPEG added to already-synced September 4 metric rendered locally, survived cold relaunch with the same failure, then uploaded after relaunch without proxy. Independent Android cloud read changed from zero photos to HTTPS photo 01a077d4-5045-7030-b361-f46756fcf4be. This tests transport loss; hardware airplane-mode coverage is deferred.</x:v>
      </x:c>
      <x:c r="R87" s="72" t="str">
        <x:v>Source-tested fix only. Preserve prior device runs and evidence unchanged. A real cold relaunch with networking still disabled remains required on each platform, followed by reconnect/sync and staged-file cleanup checks.</x:v>
      </x:c>
    </x:row>
    <x:row r="88" ht="176.39999389648438" hidden="0" customHeight="1">
      <x:c r="A88" s="72" t="str">
        <x:v>DEF-084</x:v>
      </x:c>
      <x:c r="B88" s="72" t="str">
        <x:v>HLT-011, HLT-010, ACC-026, ACC-028, ACC-031</x:v>
      </x:c>
      <x:c r="C88" s="72" t="str">
        <x:v>Logic</x:v>
      </x:c>
      <x:c r="D88" s="72" t="str">
        <x:v>Both</x:v>
      </x:c>
      <x:c r="E88" s="72" t="str">
        <x:v>High</x:v>
      </x:c>
      <x:c r="F88" s="72" t="str">
        <x:v>Mobile current-weight validation admitted records rejected by cloud sync</x:v>
      </x:c>
      <x:c r="G88" s="72" t="str">
        <x:v>Source-derived reproduction, not a new emulator observation: submit current weight 19.99 kg to Progress save or Onboarding plan/completion. Pre-fix mobile validation allowed 1-1000 kg. Compare the resulting body metric against buff-server config/buff.php body_metrics.weight_kg, which requires between 20, 1000. PushSyncRequest applies SyncChangeValidator to the request changes, so this invalid record can reject its sync batch.</x:v>
      </x:c>
      <x:c r="H88" s="72" t="str">
        <x:v>Both mobile writers and the plan endpoint reject 19.99 kg and accept 20 kg, matching the existing 20-1000 kg cloud contract. UI limits convert to selected units. Rejected writes do not alter existing measurements or enqueue new changes. Existing legacy values are not clamped or deleted.</x:v>
      </x:c>
      <x:c r="I88" s="72" t="str">
        <x:v>Pre-fix source allowed 1-1000 kg in ProgressController and both Onboarding validators. Onboarding's current-weight guard also allowed values from 1 kg, and Progress used a fixed min 1 without a converted maximum. The cloud contract independently rejected weights below 20 kg.</x:v>
      </x:c>
      <x:c r="J88" s="72" t="str">
        <x:v>Source-derived comparison: /Users/mason/Sites/Buff/app/Http/Controllers/ProgressController.php:105; /Users/mason/Sites/Buff/app/Http/Controllers/OnboardingController.php:61,:112; /Users/mason/Sites/buff-server/config/buff.php:89; /Users/mason/Sites/buff-server/app/Http/Requests/Api/V1/PushSyncRequest.php. New feature tests in ProgressTest and OnboardingTest verify 19.99 rejection, 20 acceptance and preservation of an existing invalid legacy measurement. No new device reproduction or cloud sync execution is claimed.</x:v>
      </x:c>
      <x:c r="K88" s="72" t="str">
        <x:v>Mobile current-weight validation and display bounds diverged from the existing cloud body-metric contract.</x:v>
      </x:c>
      <x:c r="L88" s="72" t="str">
        <x:v>Fixed</x:v>
      </x:c>
      <x:c r="M88" s="72" t="str">
        <x:v>Change the three current-weight validators to min 20/max 1000, align Onboarding's current-weight validity and displayed minimum, and add converted 20-1000 kg bounds to Progress. Reuse existing unit conversion. No migration, clamping, deletion or server change.</x:v>
      </x:c>
      <x:c r="N88" s="72" t="str">
        <x:v>/Users/mason/Sites/Buff/app/Http/Controllers/ProgressController.php:105; /Users/mason/Sites/Buff/app/Http/Controllers/OnboardingController.php:61,:112; /Users/mason/Sites/Buff/resources/js/Pages/Onboarding.vue:155; /Users/mason/Sites/Buff/resources/js/Pages/Progress.vue:157,:1084; tests/Feature/ProgressTest.php:77; tests/Feature/OnboardingTest.php:177; tests/iosUxRegressions.test.ts:89. Focused PHP tests 50/50 and frontend 29/29 passed. Complete current PHP suite 319/319 with 2480 assertions, full frontend 181/181, TypeScript, Pint and git diff --check passed.</x:v>
      </x:c>
      <x:c r="O88" s="72" t="str">
        <x:v>Passed</x:v>
      </x:c>
      <x:c r="P88" s="72" t="str">
        <x:v>Passed</x:v>
      </x:c>
      <x:c r="Q88" s="72" t="str">
        <x:v>Fresh onboarding on both platforms blocks19.9kg at supported0.1kg precision and accepts20kg. Native Android public plan POST rejects raw19.99 with422 and accepts20 with200. Existing conversion rounds UI19.99 to20 before submitting, so no invalid cloud record is created. iOS80kg fixture completed and survived restart. Existing Progress boundary native checks already passed; endpoint tests cover completion validation and legacy-data preservation.</x:v>
      </x:c>
      <x:c r="R88" s="72" t="str">
        <x:v>Source-tested fix only. Existing below 20 kg data is deliberately preserved and may still require the user's correction before its old outbox change can sync. No destructive remediation is authorized or performed. Device retests must cover kg/lb bounds, all onboarding paths, valid sync and nonmutation of invalid legacy records.</x:v>
      </x:c>
    </x:row>
    <x:row r="89" ht="295.20001220703125" hidden="0" customHeight="1">
      <x:c r="A89" s="72" t="str">
        <x:v>DEF-085</x:v>
      </x:c>
      <x:c r="B89" s="72" t="str">
        <x:v>NUT-085</x:v>
      </x:c>
      <x:c r="C89" s="72" t="str">
        <x:v>UX</x:v>
      </x:c>
      <x:c r="D89" s="72" t="str">
        <x:v>Both</x:v>
      </x:c>
      <x:c r="E89" s="72" t="str">
        <x:v>Medium</x:v>
      </x:c>
      <x:c r="F89" s="72" t="str">
        <x:v>Meal editor retains stale server validation feedback after values change</x:v>
      </x:c>
      <x:c r="G89" s="72" t="str">
        <x:v>Android build15: open the existing QA cross-device meal, choose Edit in Portion mode, enter10000.1 and Save. After the server maximum10000 error appears, replace the value with0 and Save again. The native minimum0.1 constraint rejects the current value while the old maximum error remains inline. Blank/long Name errors also remained after editing until resubmission. The same editor inputs have no change-time error cleanup.</x:v>
      </x:c>
      <x:c r="H89" s="72" t="str">
        <x:v>Changing an editable field immediately removes only its previous server error. A new native validation message must describe the current value without contradictory feedback left from a prior value. Unchanged field errors and all entered values are retained until corrected or saved. During a pending save, editable fields, nutrition mode and meal-type controls are locked so a delayed validation response still describes the submitted values. Validation completion unlocks the form for correction.</x:v>
      </x:c>
      <x:c r="I89" s="72" t="str">
        <x:v>The0 portion was invalid under the native minimum, but the editor simultaneously displayed The portion quantity field must not be greater than10000. Inertia useForm retained the prior server error because v-model changed the value without clearErrors. Required/long Name errors likewise persisted until resubmission. Valid recovery succeeded and no rejected attempt persisted bad values.</x:v>
      </x:c>
      <x:c r="J89" s="72" t="str">
        <x:v>/Users/mason/.codex/visualizations/2026/09/01/01a05def-1c0d-76d1-abc6-07c63a443582/emulator-runs/retest/android/NUT-085-large-portion-error.json
/Users/mason/.codex/visualizations/2026/09/01/01a05def-1c0d-76d1-abc6-07c63a443582/emulator-runs/retest/android/NUT-085-zero-portion-native-validation.json
/Users/mason/.codex/visualizations/2026/09/01/01a05def-1c0d-76d1-abc6-07c63a443582/emulator-runs/retest/android/NUT-085-stale-portion-error.png
/Users/mason/.codex/visualizations/2026/09/01/01a05def-1c0d-76d1-abc6-07c63a443582/emulator-runs/retest/android/NUT-085-blank-name-error.json
/Users/mason/.codex/visualizations/2026/09/01/01a05def-1c0d-76d1-abc6-07c63a443582/emulator-runs/retest/android/NUT-085-long-name-error.json
/Users/mason/.codex/visualizations/2026/09/01/01a05def-1c0d-76d1-abc6-07c63a443582/emulator-runs/retest/android/NUT-085-large-macros-error.json
/Users/mason/.codex/visualizations/2026/09/01/01a05def-1c0d-76d1-abc6-07c63a443582/emulator-runs/retest/android/NUT-085-corrected-save-recovery.json</x:v>
      </x:c>
      <x:c r="K89" s="72" t="str">
        <x:v>Today.vue meal inputs and meal-type buttons update useForm data without clearing the corresponding error. Error reset occurs only on editor open/close or a later successful request. The adjacent workout editor already uses update:model-value clearErrors handlers, but the meal editor omitted that pattern. Follow-up source review found that only Save and Close were disabled while PUT was pending. A user could otherwise change a field after submission and receive a delayed server error for the earlier value, reintroducing stale feedback.</x:v>
      </x:c>
      <x:c r="L89" s="72" t="str">
        <x:v>In Progress</x:v>
      </x:c>
      <x:c r="M89" s="72" t="str">
        <x:v>Add field-specific update:model-value clearErrors handlers to Name, Portion and dynamic macro inputs, and clear meal_type when selecting a meal group. Associate each displayed error with its affected control and reflect invalid/pressed state. Keep native numeric constraints, values, unrelated field errors and the pending meal-photo failure fix unchanged. Repeat has no editable fields and already clears errors on drawer open/close, so it is not changed or linked to this defect. Follow-up: enclose the existing editor contents in a fieldset disabled by editMealForm.processing, preserving the layout and loading Save button. This locks name, portion/macros, nutrition-mode and meal-type choices for the entire request; the existing close/dismissal guards remain unchanged.</x:v>
      </x:c>
      <x:c r="N89" s="72" t="str">
        <x:v>/Users/mason/Sites/Buff/resources/js/Pages/Today.vue:981; /Users/mason/Sites/Buff/tests/mealEditValidation.test.ts:19, :42, :54 and :65. Four focused meal-edit tests pass. The new delayed-validation regression failed before the fieldset fix and passes after: it exercises the installed Inertia useForm request lifecycle with a deferred validation callback, verifies the template's disabled fieldset encloses every editable control while processing, then verifies unlock and correction clearing after the error. Combined chart, meal-edit, iOS UX regression and photo checks 48/48 passed; full frontend 197/197 passed; pnpm run type-check and git diff --check passed. No PHP files changed.</x:v>
      </x:c>
      <x:c r="O89" s="72" t="str">
        <x:v>Not Run</x:v>
      </x:c>
      <x:c r="P89" s="72" t="str">
        <x:v>Not Run</x:v>
      </x:c>
      <x:c r="Q89" s="72" t="str"/>
      <x:c r="R89" s="72" t="str">
        <x:v>The stale-feedback failure was observed on Android build 15 in shared Vue code. Correction clearing, error associations and the processing lock await device retests. The delayed-PUT race was reproduced with source-level request lifecycle tests, not on an emulator. Lower macro boundaries and invalid type/unit request variants remain untested on-device. Keep DEF-025 separate: its original missing-name feedback is now verified on both emulators. DEF-061 concerns the separate Progress form.</x:v>
      </x:c>
    </x:row>
    <x:row r="90" ht="163.1999969482422" hidden="0" customHeight="1">
      <x:c r="A90" s="72" t="str">
        <x:v>DEF-086</x:v>
      </x:c>
      <x:c r="B90" s="72" t="str">
        <x:v>HLT-011</x:v>
      </x:c>
      <x:c r="C90" s="72" t="str">
        <x:v>UX</x:v>
      </x:c>
      <x:c r="D90" s="72" t="str">
        <x:v>iOS</x:v>
      </x:c>
      <x:c r="E90" s="72" t="str">
        <x:v>Low</x:v>
      </x:c>
      <x:c r="F90" s="72" t="str">
        <x:v>A rejected future check-in date is mislabeled as a connection failure</x:v>
      </x:c>
      <x:c r="G90" s="72" t="str">
        <x:v>On iOS build 15, open Progress with All selected and load the populated 3 September 2026 check-in. In the native calendar select Saturday 5 September while today and the input maximum are 4 September. The picker accepts the selection even though rangeOverflow becomes true. Observe the cleared, locked fields and the resulting alert. Select 4 September to recover; do not press Save.</x:v>
      </x:c>
      <x:c r="H90" s="72" t="str">
        <x:v>An invalid or future date receives clear, associated date-validation feedback and no futile connection Retry. The form remains locked until the user selects a valid date and that date's check-in loads. Genuine connection failures still offer Retry. No invalid metric is saved and delayed older responses cannot overwrite the current date's values or errors.</x:v>
      </x:c>
      <x:c r="I90" s="72" t="str">
        <x:v>iOS build 15 allowed selection of 2026-09-05 with max 2026-09-04 and rangeOverflow true. The form cleared its values and disabled all measurement fields and Save, preserving data, but displayed Could not load that check-in. Check your connection before editing. Selecting 2026-09-04 restored 75 kg, empty optional values and unlocked editing. No Save was invoked.</x:v>
      </x:c>
      <x:c r="J90" s="72" t="str">
        <x:v>/Users/mason/.codex/visualizations/2026/09/01/01a05def-1c0d-76d1-abc6-07c63a443582/emulator-runs/retest/ios/HLT-011-future-native-picker-selected.png
/Users/mason/.codex/visualizations/2026/09/01/01a05def-1c0d-76d1-abc6-07c63a443582/emulator-runs/retest/ios/HLT-011-future-date-locked-error.png
/Users/mason/.codex/visualizations/2026/09/01/01a05def-1c0d-76d1-abc6-07c63a443582/emulator-runs/retest/ios/HLT-009-011-progress-observations.json</x:v>
      </x:c>
      <x:c r="K90" s="72" t="str">
        <x:v>Progress.vue loadMetricForDate() previously sent any nonempty selected date to the lookup endpoint and mapped every rejected request to a connection warning. Native input max is not a reliable selection guard on this iOS picker. The server now rejects future dates as intended by DEF-062, but the lookup's catch-all discarded the validation error and presented an ineffective retry action.</x:v>
      </x:c>
      <x:c r="L90" s="72" t="str">
        <x:v>In Progress</x:v>
      </x:c>
      <x:c r="M90" s="72" t="str">
        <x:v>Guard future and empty dates before lookup with an associated Date error. Preserve date errors from server 422 responses using the existing responseErrorMessage parser, accepting both object and JSON-string payloads. Include the date error in the existing fields, Save and submit guards; keep the date control editable. Clear the date error only on a new selection or successful lookup. Retain the network-error Retry path and existing request-generation checks for success, failure and completion.</x:v>
      </x:c>
      <x:c r="N90" s="72" t="str">
        <x:v>/Users/mason/Sites/Buff/resources/js/Pages/Progress.vue:571 and :863; /Users/mason/Sites/Buff/tests/progressPhotos.test.ts:132 and :180. Focused frontend: 17/17 passed, including six new behavioral regressions for future/empty dates, valid-date hydration, object and JSON-string server date errors, network retry and stale responses. The JSON-string regression failed before the parser reuse and passed afterward. Current full frontend: 192 passed (189 top-level tests plus 3 nested tests). TypeScript and scoped git diff --check passed. Unchanged server contract checked by ProgressTest.php: 19 tests, 209 assertions passed. No PHP files changed. No native rebuild or post-fix emulator test was performed.</x:v>
      </x:c>
      <x:c r="O90" s="72" t="str">
        <x:v>Failed</x:v>
      </x:c>
      <x:c r="P90" s="72" t="str">
        <x:v>Not Run</x:v>
      </x:c>
      <x:c r="Q90" s="72" t="str"/>
      <x:c r="R90" s="72" t="str">
        <x:v>iOS build 15 reproduced misleading future-date feedback without any Save or data change. The date guard and precise error handling now pass controlled source tests but await native device retests. Preserve the observed Failed result until then. DEF-062 remains separate: its former future-record data-integrity failure is prevented in this case. Android's picker rejected the attempted future selection itself, so that observation does not verify the shared fallback, server 422 handling or network Retry. Native picker behavior and rendered accessibility still require post-fix testing.</x:v>
      </x:c>
    </x:row>
    <x:row r="91" ht="308.3999938964844" hidden="0" customHeight="1">
      <x:c r="A91" s="72" t="str">
        <x:v>DEF-087</x:v>
      </x:c>
      <x:c r="B91" s="72" t="str">
        <x:v>NUT-043</x:v>
      </x:c>
      <x:c r="C91" s="72" t="str">
        <x:v>UX</x:v>
      </x:c>
      <x:c r="D91" s="72" t="str">
        <x:v>Both</x:v>
      </x:c>
      <x:c r="E91" s="72" t="str">
        <x:v>Low</x:v>
      </x:c>
      <x:c r="F91" s="72" t="str">
        <x:v>A saved one-item recipe displays 1 ingredients</x:v>
      </x:c>
      <x:c r="G91" s="72" t="str">
        <x:v>On Android build 15, open Add food &gt; Recipes after saving or updating a recipe containing exactly one ingredient. Read the saved-list metadata.</x:v>
      </x:c>
      <x:c r="H91" s="72" t="str">
        <x:v>A one-item recipe reads 165 kcal · 1 ingredient. Zero or multiple items use ingredients. Recipe totals and actions remain unchanged.</x:v>
      </x:c>
      <x:c r="I91" s="72" t="str">
        <x:v>The Android observation after updating QA recipe A revised 2026-09-04 showed 165 kcal · 1 ingredients, although the captured recipe contained exactly one item.</x:v>
      </x:c>
      <x:c r="J91" s="72" t="str">
        <x:v>/Users/mason/.codex/visualizations/2026/09/01/01a05def-1c0d-76d1-abc6-07c63a443582/emulator-runs/retest/android/NUT-056-updated.json</x:v>
      </x:c>
      <x:c r="K91" s="72" t="str">
        <x:v>RecipeMode.vue's saved-list metadata hardcoded the plural ingredients after every item count. The other count-related recipe summaries already conditionally pluralize serving/servings.</x:v>
      </x:c>
      <x:c r="L91" s="72" t="str">
        <x:v>Fixed</x:v>
      </x:c>
      <x:c r="M91" s="72" t="str">
        <x:v>Use ingredient plus an s suffix only when recipe.items.length is not 1, matching the existing serving pluralization pattern. This changes one template line; recipe data, totals, ordering, actions and other summary surfaces are unchanged.</x:v>
      </x:c>
      <x:c r="N91" s="72" t="str">
        <x:v>/Users/mason/Sites/Buff/resources/js/Components/RecipeMode.vue:539; /Users/mason/Sites/Buff/tests/recipeDesign.test.ts:22. New test evaluates the actual saved-list template interpolations for zero, one and two items; it failed on 1 ingredients before the change and passed afterward. Focused recipe frontend tests 13/13 passed; full current frontend suite 198/198 passed; TypeScript and scoped git diff --check passed. No PHP files changed.</x:v>
      </x:c>
      <x:c r="O91" s="72" t="str">
        <x:v>Passed</x:v>
      </x:c>
      <x:c r="P91" s="72" t="str">
        <x:v>Passed</x:v>
      </x:c>
      <x:c r="Q91" s="72" t="str">
        <x:v>Build16 displays 1 ingredient for a saved single-item recipe and 2 ingredients after adding an item. Removing the added item and updating restores the singular label on both platforms. The one-line copy fix is installed and natively verified.</x:v>
      </x:c>
      <x:c r="R91" s="72" t="str">
        <x:v>The linked Android build 15 evidence is the observed failure, not a post-fix retest. This source-only fix is not installed on either emulator. The read-only audit found no other ingredient-count summary surface; existing serving labels were already conditional.
iOS build 15 reproduces the existing singular-count copy defect: both saved recipes have one ingredient but their list rows display 1 ingredients. The newer source correction is not in this installed build. Evidence: /Users/mason/.codex/visualizations/2026/09/01/01a05def-1c0d-76d1-abc6-07c63a443582/emulator-runs/retest/ios/NUT-043-057-recipes-received.png
/Users/mason/.codex/visualizations/2026/09/01/01a05def-1c0d-76d1-abc6-07c63a443582/emulator-runs/retest/ios/NUT-043-057-batch008-observations.json
Build16 follow-up: the correction is now installed on both emulators. Native one/two/one label changes around saved edits pass with correct totals and existing actions. The earlier source-only/not-installed statements describe build15 history. Fresh empty-state testing remains a separate NUT-043 gap.</x:v>
      </x:c>
    </x:row>
    <x:row r="92" ht="176.39999389648438" hidden="0" customHeight="1">
      <x:c r="A92" s="72" t="str">
        <x:v>DEF-088</x:v>
      </x:c>
      <x:c r="B92" s="72" t="str">
        <x:v>NUT-102</x:v>
      </x:c>
      <x:c r="C92" s="72" t="str">
        <x:v>UX</x:v>
      </x:c>
      <x:c r="D92" s="72" t="str">
        <x:v>iOS</x:v>
      </x:c>
      <x:c r="E92" s="72" t="str">
        <x:v>Low</x:v>
      </x:c>
      <x:c r="F92" s="72" t="str">
        <x:v>Weekly daily totals clip the fat macro on a supported phone</x:v>
      </x:c>
      <x:c r="G92" s="72" t="str">
        <x:v>On iPhone 17 Pro build 15 with a 2100 kcal goal and a Sep 4 meal of 500 kcal / P 20 / C 60 / F 20, open Weekly and scroll to Daily totals. Read the populated Sep 4 row.</x:v>
      </x:c>
      <x:c r="H92" s="72" t="str">
        <x:v>Calories, target and all three daily macro values remain visually readable on the supported phone through wrapping or another accessible layout, without requiring an unavailable disclosure control.</x:v>
      </x:c>
      <x:c r="I92" s="72" t="str">
        <x:v>The populated row shows an ellipsis after carbs, hiding F 20 g. The full string contains 500 kcal / 2100 · P 20 g · C 60 g · F 20 g. The paragraph has clientWidth 220, scrollWidth 248, overflow hidden and textOverflow ellipsis. The row is a plain div with no title or reveal action.</x:v>
      </x:c>
      <x:c r="J92" s="72" t="str">
        <x:v>/Users/mason/.codex/visualizations/2026/09/01/01a05def-1c0d-76d1-abc6-07c63a443582/emulator-runs/retest/ios/NUT-091-105-batch007-observations.json
/Users/mason/.codex/visualizations/2026/09/01/01a05def-1c0d-76d1-abc6-07c63a443582/emulator-runs/retest/ios/NUT-096-102-105-daily-rows.png</x:v>
      </x:c>
      <x:c r="K92" s="72" t="str">
        <x:v>The installed Weekly.vue daily-total paragraph at line 254 uses truncate inside a shrinking flex column beside a non-shrinking status column. Standard data exceeds the available width.</x:v>
      </x:c>
      <x:c r="L92" s="72" t="str">
        <x:v>In Progress</x:v>
      </x:c>
      <x:c r="M92" s="72" t="str">
        <x:v>Replace truncate with whitespace-normal on Weekly's daily nutrition paragraph so calories, effective target and all three macros wrap within the existing flexible column instead of clipping after carbs. Week and custom Range both use this single row template. Preserve the date/badge/status columns, selected-date semantics, data formatting and existing motion behavior. This is a source fix only; the build-15 iOS failure remains until rebuilt-device verification.</x:v>
      </x:c>
      <x:c r="N92" s="72" t="str">
        <x:v>/Users/mason/Sites/Buff/resources/js/Pages/Weekly.vue:253; /Users/mason/Sites/Buff/tests/weeklySummary.test.ts:43. The new focused regression failed before the change and passed after it. It checks that the shared nutrition paragraph permits normal wrapping without truncation/ellipsis/line-clamp, retains target/protein/carbs/fat, and keeps date/status column structure and selected-day semantics. Weekly, appearance and day-status tests 11/11 passed; full frontend suite 199/199 passed; pnpm run type-check and scoped git diff --check passed. Callsite trace: WeeklySummaryController.php:46 renders this shared template for both week and range. No native build or post-fix emulator run was performed.</x:v>
      </x:c>
      <x:c r="O92" s="72" t="str">
        <x:v>Failed</x:v>
      </x:c>
      <x:c r="P92" s="72" t="str">
        <x:v>Not Run</x:v>
      </x:c>
      <x:c r="Q92" s="72" t="str"/>
      <x:c r="R92" s="72" t="str">
        <x:v>DEF088 affects standard data on a supported 402 px iPhone viewport, not an artificial long-name stress case. No device retest of the new wrapping source fix occurred.</x:v>
      </x:c>
    </x:row>
    <x:row r="93" ht="150" hidden="0" customHeight="1">
      <x:c r="A93" s="72" t="str">
        <x:v>DEF-089</x:v>
      </x:c>
      <x:c r="B93" s="72" t="str">
        <x:v>ACC-078</x:v>
      </x:c>
      <x:c r="C93" s="72" t="str">
        <x:v>UX</x:v>
      </x:c>
      <x:c r="D93" s="72" t="str">
        <x:v>Android</x:v>
      </x:c>
      <x:c r="E93" s="72" t="str">
        <x:v>Medium</x:v>
      </x:c>
      <x:c r="F93" s="72" t="str">
        <x:v>Back navigation restores an obsolete sync failure after successful recovery</x:v>
      </x:c>
      <x:c r="G93" s="72" t="str">
        <x:v>Create a recipe offline, visit Home while sync has failed, reconnect and allow sync to succeed on Recipes. Confirm pending 0 and no error. Press Android Back to the cached Home entry, then tap Home for a fresh visit to the same URL.</x:v>
      </x:c>
      <x:c r="H93" s="72" t="str">
        <x:v>Returning through history must not revive an obsolete failed-sync warning or pending count after the current account has completed sync. Current failure-only banner behavior may remain unchanged; its underlying status must be current.</x:v>
      </x:c>
      <x:c r="I93" s="72" t="str">
        <x:v>Recipes showed pending 0, no error and last success 11:07:50.670523Z. Back to Home restored pending 1, Could not connect to Buff and last success 11:02:04.478591Z, despite online connectivity. Tapping Home loaded the same URL with pending 0, no error and the later success timestamp; the failure banner disappeared without a retry.</x:v>
      </x:c>
      <x:c r="J93" s="72" t="str">
        <x:v>/Users/mason/.codex/visualizations/2026/09/01/01a05def-1c0d-76d1-abc6-07c63a443582/emulator-runs/retest/android/NUT-053-cancel-preserved-both.json
/Users/mason/.codex/visualizations/2026/09/01/01a05def-1c0d-76d1-abc6-07c63a443582/emulator-runs/retest/android/ACC-020-history-back-sync-state.json
/Users/mason/.codex/visualizations/2026/09/01/01a05def-1c0d-76d1-abc6-07c63a443582/emulator-runs/retest/android/ACC-020-fresh-home-sync-state.json</x:v>
      </x:c>
      <x:c r="K93" s="72" t="str">
        <x:v>AppShell derives the banner directly from page.props.buff.sync. Android Back calls window.history.back(); Inertia 3.7.0 restores cached page props through setQuietly and emits navigate without a visitId, not success. The persistent AppShell stays mounted, its popstate handler only handles the Add drawer, and Back does not trigger the focus/online/visibility sync path. Consequently a historically failed sync snapshot can replace newer successful metadata without a new server read. This is distinct from DEF-052's pending banner-policy decision and DEF-081's nonreactive Weekly derived cards.</x:v>
      </x:c>
      <x:c r="L93" s="72" t="str">
        <x:v>In Progress</x:v>
      </x:c>
      <x:c r="M93" s="72" t="str">
        <x:v>On an Inertia history restoration, refresh only buff and flash through router.reload with preserveErrors. Normal visits and reload responses are excluded using the installed Inertia 3.7.0 visitId distinction. Reload preserves local component state and scroll; fresh flash prevents replay of an obsolete toast. Remove the listener on layout unmount. No sync POST, account cache or banner-policy change is introduced. The build 15 failure remains until rebuilt-device retest.</x:v>
      </x:c>
      <x:c r="N93" s="72" t="str">
        <x:v>/Users/mason/Sites/Buff/resources/js/Layouts/AppShell.vue; /Users/mason/Sites/Buff/tests/appShell.test.ts. Regression checks execute the source callback and installed Inertia reload helper, verifying the partial GET, dirty form/error preservation, normal-visit exclusion and listener cleanup. Full frontend suite 212/212, PHP 321/321 (2,528 assertions), TypeScript, Pint and diff checks passed. Android runtime evidence: ACC-020-history-back-sync-state.json and ACC-020-fresh-home-sync-state.json in the linked evidence directory.</x:v>
      </x:c>
      <x:c r="O93" s="72" t="str">
        <x:v>Not Run</x:v>
      </x:c>
      <x:c r="P93" s="72" t="str">
        <x:v>Failed</x:v>
      </x:c>
      <x:c r="Q93" s="72" t="str"/>
      <x:c r="R93" s="72" t="str">
        <x:v>This is distinct from DEF-052's unresolved pending/success banner visibility scope. No banner redesign is implied. The evidence filenames retain an earlier provisional ACC-020 label; the affected canonical story is ACC-078. QA meal and body-metric data were unchanged.</x:v>
      </x:c>
    </x:row>
    <x:row r="94" ht="493.20001220703125" hidden="0" customHeight="1">
      <x:c r="A94" s="72" t="str">
        <x:v>DEF-090</x:v>
      </x:c>
      <x:c r="B94" s="72" t="str">
        <x:v>HLT-029</x:v>
      </x:c>
      <x:c r="C94" s="72" t="str">
        <x:v>UX</x:v>
      </x:c>
      <x:c r="D94" s="72" t="str">
        <x:v>Both</x:v>
      </x:c>
      <x:c r="E94" s="72" t="str">
        <x:v>Medium</x:v>
      </x:c>
      <x:c r="F94" s="72" t="str">
        <x:v>Returning to a zero-column Custom macro split leaves displayed targets out of sync with the goal form</x:v>
      </x:c>
      <x:c r="G94" s="72" t="str">
        <x:v>Open Goals with the saved 2100 kcal Balanced plan. Select Custom and use the Protein and Carbs wheels to choose 0/0/100 without saving. Select Balanced, then return to Custom without moving either wheel. Compare the visible percentages and gram cards with the bound form values and Save state; allow the UI to settle.</x:v>
      </x:c>
      <x:c r="H94" s="72" t="str">
        <x:v>Selecting the remembered Custom 0/0/100 split applies matching gram values to the goal form: P 0g / C 0g / F 233.33g at 2100 kcal. The displayed cards, selected controls and form state remain consistent, and this valid change can be saved.</x:v>
      </x:c>
      <x:c r="I94" s="72" t="str">
        <x:v>Both emulators show Custom 0/0/100 selected, zero-percent Protein and Carbs wheels at scrollTop 0, and top cards of 0g / 0g / 233g. The bound form values remain Balanced's P 157.5g / C 210g / F 70g, and Save stays disabled. On iOS, the mismatch persisted in a second snapshot 37.148 seconds later. No Save was invoked; incorrect persistence is not claimed.</x:v>
      </x:c>
      <x:c r="J94" s="72" t="str">
        <x:v>/Users/mason/.codex/visualizations/2026/09/01/01a05def-1c0d-76d1-abc6-07c63a443582/emulator-runs/retest/ios/HLT-029-batch009-observations.json
/Users/mason/.codex/visualizations/2026/09/01/01a05def-1c0d-76d1-abc6-07c63a443582/emulator-runs/retest/ios/HLT-029-custom-initial304030.png
/Users/mason/.codex/visualizations/2026/09/01/01a05def-1c0d-76d1-abc6-07c63a443582/emulator-runs/retest/ios/HLT-029-custom-zero00100.png
/Users/mason/.codex/visualizations/2026/09/01/01a05def-1c0d-76d1-abc6-07c63a443582/emulator-runs/retest/ios/HLT-029-custom-reopened-model-mismatch.png
/Users/mason/.codex/visualizations/2026/09/01/01a05def-1c0d-76d1-abc6-07c63a443582/emulator-runs/retest/ios/HLT-029-custom-mismatch-visible-totals.png
/Users/mason/.codex/visualizations/2026/09/01/01a05def-1c0d-76d1-abc6-07c63a443582/emulator-runs/retest/ios/HLT-029-custom-mismatch-save-disabled.png
/Users/mason/.codex/visualizations/2026/09/01/01a05def-1c0d-76d1-abc6-07c63a443582/emulator-runs/retest/ios/HLT-029-unsaved-exit-restored-balanced.png
/Users/mason/.codex/visualizations/2026/09/01/01a05def-1c0d-76d1-abc6-07c63a443582/emulator-runs/retest/android/HLT-029-custom-initial-304030.json
/Users/mason/.codex/visualizations/2026/09/01/01a05def-1c0d-76d1-abc6-07c63a443582/emulator-runs/retest/android/HLT-029-custom-zero-zero-100.json
/Users/mason/.codex/visualizations/2026/09/01/01a05def-1c0d-76d1-abc6-07c63a443582/emulator-runs/retest/android/HLT-029-return-balanced.json
/Users/mason/.codex/visualizations/2026/09/01/01a05def-1c0d-76d1-abc6-07c63a443582/emulator-runs/retest/android/HLT-029-custom-reentry-model-mismatch.json
/Users/mason/.codex/visualizations/2026/09/01/01a05def-1c0d-76d1-abc6-07c63a443582/emulator-runs/retest/android/HLT-029-custom-reentry-zero-wheels.png</x:v>
      </x:c>
      <x:c r="K94" s="72" t="str">
        <x:v>DailyTargetsEditor.selectCustom set activePreset to null and positioned the retained custom wheels, but never called applySplit. The visible cards derive from activeSplit, while the parent form receives protein_g, carbs_g and fat_g through separate models. Returning to Custom therefore changed the displayed split without changing the parent values unless a later wheel scroll event invoked updateCustom. With retained 0/0/100 and both wheel positions already at zero, no positioning scroll event repaired the mismatch. Goals.vue binds these models to the saved form and disables Save when it remains unchanged. Onboarding.vue uses the same editor inside SetupFlow, so its submitted customization values share the same risk.</x:v>
      </x:c>
      <x:c r="L94" s="72" t="str">
        <x:v>In Progress</x:v>
      </x:c>
      <x:c r="M94" s="72" t="str">
        <x:v>Selecting Custom now calls applySplit(customSplit.value) immediately after selecting the custom mode, before the existing nextTick wheel positioning. The visible split and parent gram models now agree without a scroll event. The retained custom split, preset selection, haptics, two-decimal conversion, validation, wheel positioning and existing accessibility changes remain intact. Goals and Onboarding are the only DailyTargetsEditor callers. No caller-specific change is needed.</x:v>
      </x:c>
      <x:c r="N94" s="72" t="str">
        <x:v>/Users/mason/Sites/Buff/resources/js/Components/DailyTargetsEditor.vue:81; /Users/mason/Sites/Buff/tests/goalMacros.test.ts:9 and :36. Two new runnable regressions execute the actual applySplit, selectPreset and selectCustom callbacks with Vue 3.5.42 refs and nextTick. Each returns to retained Custom after all three presets, using zero-protein/carbs 0/0/100 and nonzero 35/45/20 splits at 2100 kcal. Both failed before the fix with stale Balanced parent grams 157.5/210/70. Afterward, parent grams update synchronously to 0/0/233.33 or 183.75/236.25/46.67, remain correct after the tick without a scroll event, and the retained split and requested wheel positions are unchanged. Goal macro tests 7/7 passed; focused goal macro and iOS UX regressions 23/23 passed; full frontend suite 214/214 passed; TypeScript and global git diff --check passed. No PHP files changed. Source verification does not replace a device retest: installed iOS and Android build 15 still lack this change, and fresh native bundles are required. No native build, install, emulator UI action or QA data change occurred. Vue nextTick only schedules work after the DOM update flush: https://vuejs.org/api/general.html#nexttick.</x:v>
      </x:c>
      <x:c r="O94" s="72" t="str">
        <x:v>Failed</x:v>
      </x:c>
      <x:c r="P94" s="72" t="str">
        <x:v>Failed</x:v>
      </x:c>
      <x:c r="Q94" s="72" t="str"/>
      <x:c r="R94" s="72" t="str">
        <x:v>Observed on iOS build 15 and Android's current test build. The iOS test discarded the unsaved state through Home and verified reopening restored the saved Balanced plan. No goal or meal data was changed. This is distinct from DEF-041's initial Custom-opening reset.</x:v>
      </x:c>
    </x:row>
    <x:row r="95" ht="1562.4000244140625" hidden="0" customHeight="1">
      <x:c r="A95" s="72" t="str">
        <x:v>DEF-091</x:v>
      </x:c>
      <x:c r="B95" s="72" t="str">
        <x:v>NUT-007, NUT-009, HLT-041, HLT-042, NUT-090, ACC-082, NUT-051, NUT-039</x:v>
      </x:c>
      <x:c r="C95" s="72" t="str">
        <x:v>UX</x:v>
      </x:c>
      <x:c r="D95" s="72" t="str">
        <x:v>Android</x:v>
      </x:c>
      <x:c r="E95" s="72" t="str">
        <x:v>Medium</x:v>
      </x:c>
      <x:c r="F95" s="72" t="str">
        <x:v>Android Today displays duplicated and overlaid screen fragments despite single DOM rows</x:v>
      </x:c>
      <x:c r="G95" s="72" t="str">
        <x:v>Observed on the signed-in disposable QA account in Android build 15 while testing workout editing. On Today for 2 September 2026, edit the manual workout to 502 kcal at 10:45 and save. Inspect the settled screen, then scroll. Capture the native framebuffer with adb as well as the existing UI capture. Tap Home to load the current day, then force-stop and relaunch Buff and inspect the settled Today screen. This sequence describes the observed session; it has not established that editing a workout is a necessary trigger or that a clean emulator reproduces it.</x:v>
      </x:c>
      <x:c r="H95" s="72" t="str">
        <x:v>Today renders one coherent view of its current date, calorie summary, meal groups and workout rows. Scrolling, closing a successful editor, navigating Home and cold launching must not leave duplicated or misplaced fragments over the current content. The visible workout result must agree with the current single persisted record and DOM row.</x:v>
      </x:c>
      <x:c r="I95" s="72" t="str">
        <x:v>The successful workout edit showed the current 502 kcal / 10:45 row, but a second Snacks strip appeared inside the workout card and another workout fragment appeared near the bottom. The recorded DOM had one workout row, while an independent adb framebuffer capture showed the same duplicated fragments, ruling out an artifact limited to the original screenshot tool. Scrolling changed the stale fragments without restoring a coherent page. Home navigation loaded the current date and fresh 500-kcal meal / 124-kcal workout summary, while misplaced fragments remained. Force-stop and relaunch created a new app PID, 27813, but the settled screen still had a cropped upper-left date area and an extra calorie-ring strip below its card. These observations establish visible rendering corruption, not duplicated records or an identified application-code cause.
Follow-up Sep 4: the Page.captureScreenshot WebView surface was coherent while the immediate native adb framebuffer still showed a cropped date area and extra calorie-ring strip, without intervening UI or style changes. An Android guest reboot also retained the corruption, including before the native advertisement appeared. Returning to QA user 10 preserved the signed-in account, meal and workout UUIDs, values and pending-sync=0. After a further cold launch and scrolling Sep 5, the correct new 1-kcal/23:59 workout still appeared with an extra Snacks strip inside its card and a duplicate workout fragment near the bottom; the read-only summary contained exactly one workout.
Meal-group follow-up Sep 4: Aug29 ordinary custom-food reclassification retained all three exact UUID/nutrition snapshots and408kcal total, but native screenshots show duplicate Dinner/Snacks fragments in the workout area. B moved first and older A correctly inserted before B in the actual Snacks data. The screen still visibly disagrees with the single keyed meal list.
Custom-food follow-up on build16: Aug23 single Breakfast save succeeded with UUID01a06d2c-c329-73e5-a0f4-9256c2b3e16b,350g,488/P45/C50/F12 and pending0. Native result, settled and post-cold-launch frames still show cropped upper-left date and extra calorie-ring strips. QA PID29424→31160 did not recover rendering; reselecting Aug23 yielded a complete summary equal to the saved result. The data save passes but NUT039 visual result fails. No new rendering root cause or fix is claimed.
RUN-0407: Complete 2026-08-23 summary independently deep-compared equal before and after build17 cold launch. Both meals retain exact IDs, portions and macros: Breakfast 488 kcal P45/C50/F12 and Dinner 165 kcal P10/C20/F5, total 653 kcal P55/C70/F17. Goal, empty workouts and streak also match. Native screenshot still shows a clipped upper-left date and duplicated calorie-ring fragments. Data persistence passes; native rendering fails under DEF-091.</x:v>
      </x:c>
      <x:c r="J95" s="72" t="str">
        <x:v>/Users/mason/.codex/visualizations/2026/09/01/01a05def-1c0d-76d1-abc6-07c63a443582/emulator-runs/retest/android/HLT-042-updated-settled.png
/Users/mason/.codex/visualizations/2026/09/01/01a05def-1c0d-76d1-abc6-07c63a443582/emulator-runs/retest/android/HLT-042-android-native-frame.png
/Users/mason/.codex/visualizations/2026/09/01/01a05def-1c0d-76d1-abc6-07c63a443582/emulator-runs/retest/android/HLT-042-scroll-repaint.png
/Users/mason/.codex/visualizations/2026/09/01/01a05def-1c0d-76d1-abc6-07c63a443582/emulator-runs/retest/android/HLT-042-navigate-home-repaint.png
/Users/mason/.codex/visualizations/2026/09/01/01a05def-1c0d-76d1-abc6-07c63a443582/emulator-runs/retest/android/HLT-042-cold-launch-settled.png
/Users/mason/.codex/visualizations/2026/09/01/01a05def-1c0d-76d1-abc6-07c63a443582/emulator-runs/retest/android/DEF-091-reopened-native-before.png
/Users/mason/.codex/visualizations/2026/09/01/01a05def-1c0d-76d1-abc6-07c63a443582/emulator-runs/retest/android/DEF-091-cdp-surface.png
/Users/mason/.codex/visualizations/2026/09/01/01a05def-1c0d-76d1-abc6-07c63a443582/emulator-runs/retest/android/DEF-091-after-cdp-native.png
/Users/mason/.codex/visualizations/2026/09/01/01a05def-1c0d-76d1-abc6-07c63a443582/emulator-runs/retest/android/DEF-091-after-emulator-reboot.png
/Users/mason/.codex/visualizations/2026/09/01/01a05def-1c0d-76d1-abc6-07c63a443582/emulator-runs/retest/android/DEF-091-reboot-data-preserved.json
/Users/mason/.codex/visualizations/2026/09/01/01a05def-1c0d-76d1-abc6-07c63a443582/inventory/defect091-rendering-environment.json
/Users/mason/.codex/visualizations/2026/09/01/01a05def-1c0d-76d1-abc6-07c63a443582/emulator-runs/retest/android/HLT-046-final-cold-launch-native.png
/Users/mason/.codex/visualizations/2026/09/01/01a05def-1c0d-76d1-abc6-07c63a443582/emulator-runs/retest/android/HLT-046-edit-cold-launch-persisted.json
/Users/mason/.codex/visualizations/2026/09/01/01a05def-1c0d-76d1-abc6-07c63a443582/emulator-runs/retest/android/NUT-090-b-first-move.png
/Users/mason/.codex/visualizations/2026/09/01/01a05def-1c0d-76d1-abc6-07c63a443582/emulator-runs/retest/android/NUT-090-a-last-move.png
/Users/mason/.codex/visualizations/2026/09/01/01a05def-1c0d-76d1-abc6-07c63a443582/emulator-runs/retest/android/NUT-090-cold-launch-persisted.json
/Users/mason/.codex/visualizations/2026/09/01/01a05def-1c0d-76d1-abc6-07c63a443582/inventory/android-custom-food-b16-evidence.json
/Users/mason/.codex/visualizations/2026/09/01/01a05def-1c0d-76d1-abc6-07c63a443582/emulator-runs/retest/android/NUT-039-b16-custom488-settled.png
/Users/mason/.codex/visualizations/2026/09/01/01a05def-1c0d-76d1-abc6-07c63a443582/emulator-runs/retest/android/NUT-039-b16-custom488-after-cold.png
/Users/mason/.codex/visualizations/2026/09/01/01a05def-1c0d-76d1-abc6-07c63a443582/emulator-runs/retest/android/NUT-039-b16-custom488-after-cold.json
/Users/mason/.codex/visualizations/2026/09/01/01a05def-1c0d-76d1-abc6-07c63a443582/emulator-runs/retest/android/DEF-097-b17-saved.png
/Users/mason/.codex/visualizations/2026/09/01/01a05def-1c0d-76d1-abc6-07c63a443582/inventory/android-custom-scroll-b17-evidence.json
/Users/mason/.codex/visualizations/2026/09/01/01a05def-1c0d-76d1-abc6-07c63a443582/emulator-runs/retest/android/NUT-039-b17-cold-before.json
/Users/mason/.codex/visualizations/2026/09/01/01a05def-1c0d-76d1-abc6-07c63a443582/emulator-runs/retest/android/NUT-039-b17-cold-aug23.json
/Users/mason/.codex/visualizations/2026/09/01/01a05def-1c0d-76d1-abc6-07c63a443582/emulator-runs/retest/android/NUT-039-b17-cold-aug23.png
/Users/mason/.codex/visualizations/2026/09/01/01a05def-1c0d-76d1-abc6-07c63a443582/inventory/android-build17-install-provenance.json
/Users/mason/.codex/visualizations/2026/09/01/01a05def-1c0d-76d1-abc6-07c63a443582/inventory/def091-renderer-comparison-b17.json</x:v>
      </x:c>
      <x:c r="K95" s="72" t="str">
        <x:v>Unconfirmed. Today has one keyed loop for meal groups and one keyed loop for workouts; the reported DOM contains one workout row. No application screenshot cloning, view-transition invocation, or repeated screen-rendering layer was found in the inspected Today/layout code. Candidate interactions requiring isolation are the emulator GPU/Android WebView compositor, the fixed translucent backdrop-blurred bottom navigation, dialog overlay blur/zoom and scroll restoration during editor closure, and the native AdMob overlay being detached/recreated while app-main padding changes. Cold relaunch did not recover in this emulator, so the issue cannot currently be attributed solely to a lingering Vue dialog or the workout PUT response. None of these candidates is a demonstrated cause.
Layer comparison narrows the discrepancy to the path after the captured WebView surface, but does not prove a specific compositor, emulator or application cause. Active renderer is ANGLE/Vulkan SwiftShader software rendering with AVD GPU auto, HWUI Skia/OpenGL; emulator 36.5.10.0 and WebView 151.0.7922.199. Guest reboot did not resolve it. No production change has been made.
Controlled renderer comparison: Lavapipe and SwiftShader both reproduced clipped dates and duplicate calorie-ring fragments; both used the same ANGLE/SwiftShader GLES path. Host GPU (Apple M4 Pro GLES/Metal) rendered cleanly. Returning to Lavapipe restored the corruption, then a fresh boot using saved hw.gpu.mode=host rendered cleanly again. All five complete Aug23 summaries equal the handoff summary, with identical APK SHA256 and WebView152.0.7977.65 throughout and pending sync0. This establishes a renderer-dependent failure in this emulator environment, not the precise software-renderer or embedding fault.</x:v>
      </x:c>
      <x:c r="L95" s="72" t="str">
        <x:v>Open</x:v>
      </x:c>
      <x:c r="M95" s="72" t="str">
        <x:v>No fix implemented. Isolate the rendering layer before changing production behavior: compare a clean emulator or physical Android device and WebView/GPU configuration, then narrowly compare backdrop-filter and native-overlay behavior if needed. Preserve the existing working data update and record the exact environment for any successful recovery or reproduction.
Verified local workaround: /Users/mason/.android/avd/Medium_Phone.avd/config.ini hw.gpu.mode changed from auto to host. Default configured launch uses Apple M4 Pro GLES and renders cleanly. No application source change.</x:v>
      </x:c>
      <x:c r="N95" s="72" t="str">
        <x:v>Read-only source leads: /Users/mason/Sites/Buff/resources/js/Pages/Today.vue:616, :774, :847 and :1044; /Users/mason/Sites/Buff/resources/js/Layouts/AppShell.vue:184, :288 and :478; /Users/mason/Sites/Buff/resources/js/Components/Card.vue:15; /Users/mason/Sites/Buff/resources/js/Components/ui/dialog/DialogOverlay.vue:21; /Users/mason/Sites/Buff/resources/js/Components/ui/dialog/DialogContent.vue:38; /Users/mason/Sites/Buff/resources/css/app.css:267; /Users/mason/Sites/Buff/resources/js/ads.ts:99 and :256; /Users/mason/Sites/Buff/native-plugins/admob/resources/android/src/AdmobFunctions.kt:224 and :270; /Users/mason/Sites/Buff/nativephp/android/app/src/main/java/com/nativephp/mobile/ui/MainActivity.kt:1355. The native renderer mounts one WebView inside SwipeRefreshLayout; AdMob attaches a separate FrameLayout to the activity content. Source review and inspection of all five supplied screenshots only; no source changes, native build, emulator control or new automated regression test was performed for this defect draft.</x:v>
      </x:c>
      <x:c r="O95" s="72" t="str">
        <x:v>Not Run</x:v>
      </x:c>
      <x:c r="P95" s="72" t="str">
        <x:v>Blocked</x:v>
      </x:c>
      <x:c r="Q95" s="72" t="str">
        <x:v>Release assessment: existing controlled evidence links rendering artifacts to emulator software GPU mode; host GPU is a QA workaround, not an app fix. Separate clean API36.1 host-GPU emulator renders signed Android24 login correctly. Prior Today-specific issue remains open; no broader display claim.</x:v>
      </x:c>
      <x:c r="R95" s="72" t="str">
        <x:v>Observed on Android 17 Medium_Phone, QA user 10, com.spacemancodes.buff 1.0.0 (15). The runtime tester supplied the single-DOM-row and new-process PID observations; the drafting agent independently inspected the screenshot files and source, without controlling an emulator. Scope is presently this Android environment; iOS and physical-device behavior are untested. This is separate from DEF-021/DEF-064 native-ad occlusion, DEF-053 workout validation feedback, and DEF-089 cached sync metadata. Link HLT-042 for the visibly corrupted post-save result without claiming that the workout data update failed. Preserve narrower successful data assertions, but do not mark affected visual behavior fully passed until the corruption is resolved or isolated. This payload adds only the defect and its story backlinks; the runtime tester owns associated run entries and story result updates.
Follow-up diagnostics: emulator guest reboot and app cold launch did not recover rendering. During an earlier /json/protocol diagnostic request, Buff PID 28297 exited in a native SIGTRAP with top frames in libwebviewchromium.so. Timing suggests a diagnostic association but no readable abort message or causal attribution was obtained; that endpoint was not retried. Ordinary CDP page discovery/read-only inspection and surface capture continued after reopening. This diagnostic crash is recorded as an investigation limitation, not a newly established user-flow defect. Layer and reboot evidence are appended above.
Meal grouping/reclassification coverage is recorded in inventory/retest-android-meal-groups-cases.json. NUT-009 and NUT-090 native visual retests fail for this existing defect; successful data preservation is recorded separately. No speculative production rendering change was made.
Build16 installed/extracted identity, APK, bundle, source and assets now match fresh output; the same native artifact persists. Evidence: /Users/mason/.codex/visualizations/2026/09/01/01a05def-1c0d-76d1-abc6-07c63a443582/emulator-runs/retest/android/build16-first-launch.png and /Users/mason/.codex/visualizations/2026/09/01/01a05def-1c0d-76d1-abc6-07c63a443582/emulator-runs/retest/android/DEF-092-b16-edit-input.png. Only API37 Medium_Phone image is installed. Current generated GPU configuration resolves auto to lavapipe. A separate API36 Google Play ARM64/16KB AVD would allow an OS comparison but requires a system-image download; no new device/config was created and no cause is established.
Read-only source audit 2026-09-04: MainActivity.kt:1354-1381 mounts one content WebView; WebRenderer.kt:26 owns one renderer. No duplicate app content renderer found. AppShell.vue:478 backdrop-blurred fixed navigation and Card.vue:15 rounded clipping/shadows are only compositing candidates, not a diagnosed cause. AdmobFunctions.kt:223 removes its prior native slot before reattachment. The coherent CDP/corrupt native-framebuffer mismatch still points to embedding/HWUI/emulator composition as an investigation area, not proof of an environment-only fault. Next proposed isolation is the same APK/provider/QA state with an explicitly different supported emulator graphics backend (lavapipe versus SwiftShader), without wipe. This was not performed. Do not ship a speculative software-layer workaround. Primary references: https://developer.android.com/studio/run/emulator-acceleration#accel-graphics and https://chromium.googlesource.com/chromium/src/+/HEAD/android_webview/docs/software_draw_deprecated.md
Custom-food follow-up on build16: Aug23 single Breakfast save succeeded with UUID01a06d2c-c329-73e5-a0f4-9256c2b3e16b,350g,488/P45/C50/F12 and pending0. Native result, settled and post-cold-launch frames still show cropped upper-left date and extra calorie-ring strips. QA PID29424→31160 did not recover rendering; reselecting Aug23 yielded a complete summary equal to the saved result. The data save passes but NUT039 visual result fails. No new rendering root cause or fix is claimed.
Build17 recurrence: date remains cropped and calorie-ring fragments repeat after in-place update and new165kcal custom Dinner. Today data correctly totals653 with exactly two entries. Kept Open; renderer root cause remains unproven.
RUN-0407: Complete 2026-08-23 summary independently deep-compared equal before and after build17 cold launch. Both meals retain exact IDs, portions and macros: Breakfast 488 kcal P45/C50/F12 and Dinner 165 kcal P10/C20/F5, total 653 kcal P55/C70/F17. Goal, empty workouts and streak also match. Native screenshot still shows a clipped upper-left date and duplicated calorie-ring fragments. Data persistence passes; native rendering fails under DEF-091.
Controlled renderer comparison: Lavapipe and SwiftShader both reproduced clipped dates and duplicate calorie-ring fragments; both used the same ANGLE/SwiftShader GLES path. Host GPU (Apple M4 Pro GLES/Metal) rendered cleanly. Returning to Lavapipe restored the corruption, then a fresh boot using saved hw.gpu.mode=host rendered cleanly again. All five complete Aug23 summaries equal the handoff summary, with identical APK SHA256 and WebView152.0.7977.65 throughout and pending sync0. This establishes a renderer-dependent failure in this emulator environment, not the precise software-renderer or embedding fault.
RUN-0418: build20 native g/ml manual saves and cold persistence pass under saved host GPU. No application renderer fix; defect remains Open.</x:v>
      </x:c>
    </x:row>
    <x:row r="96" ht="255.60000610351562" hidden="0" customHeight="1">
      <x:c r="A96" s="72" t="str">
        <x:v>DEF-092</x:v>
      </x:c>
      <x:c r="B96" s="72" t="str">
        <x:v>HLT-040, HLT-042, HLT-046</x:v>
      </x:c>
      <x:c r="C96" s="72" t="str">
        <x:v>UX</x:v>
      </x:c>
      <x:c r="D96" s="72" t="str">
        <x:v>iOS</x:v>
      </x:c>
      <x:c r="E96" s="72" t="str">
        <x:v>Low</x:v>
      </x:c>
      <x:c r="F96" s="72" t="str">
        <x:v>Native workout time inputs overflow their column and render too tall on iOS</x:v>
      </x:c>
      <x:c r="G96" s="72" t="str">
        <x:v>On iPhone 17 Pro build 15, open Add workout for 31 August 2026 and compare Time with the adjacent Calories burnt control. Open an existing workout's Edit dialog and compare the same controls. The overflow occurs both with required-field errors visible and after correcting them; no invalid save is needed to observe it.</x:v>
      </x:c>
      <x:c r="H96" s="72" t="str">
        <x:v>The native time input stays within its form column and card or dialog, matches the adjacent 48 px input height, and keeps its value fully readable. Tapping it continues to open the native time picker. Validation feedback, entered values and save behavior remain unchanged.</x:v>
      </x:c>
      <x:c r="I96" s="72" t="str">
        <x:v>Both Add and Edit render the time input at 191 × 74 CSS pixels inside a 161 px column, while the adjacent number input is 161 × 48. The time control extends 30 px beyond its label and 10 px beyond the card or dialog boundary, where overflow hidden clips it. The live 402 × 874 viewport observations show CSS width 161 px and height 48 px for both inputs, but Time uses content-box with 12 px vertical padding, 14 px horizontal padding and 1 px borders. Time also has a native 70 px minimum width and 15 px minimum height despite the shared min-w-0 utility.</x:v>
      </x:c>
      <x:c r="J96" s="72" t="str">
        <x:v>/Users/mason/.codex/visualizations/2026/09/01/01a05def-1c0d-76d1-abc6-07c63a443582/emulator-runs/retest/ios/HLT-046-add-required-errors.png
/Users/mason/.codex/visualizations/2026/09/01/01a05def-1c0d-76d1-abc6-07c63a443582/emulator-runs/retest/ios/HLT-046-edit-errors-cleared.png
/Users/mason/.codex/visualizations/2026/09/01/01a05def-1c0d-76d1-abc6-07c63a443582/emulator-runs/retest/ios/DEF-092-add-time-layout.json
/Users/mason/.codex/visualizations/2026/09/01/01a05def-1c0d-76d1-abc6-07c63a443582/emulator-runs/retest/ios/DEF-092-add-time-layout.png
/Users/mason/.codex/visualizations/2026/09/01/01a05def-1c0d-76d1-abc6-07c63a443582/emulator-runs/retest/ios/DEF-092-edit-time-layout.json
/Users/mason/.codex/visualizations/2026/09/01/01a05def-1c0d-76d1-abc6-07c63a443582/emulator-runs/retest/ios/DEF-092-edit-time-layout.png</x:v>
      </x:c>
      <x:c r="K96" s="72" t="str">
        <x:v>The shared Input combines percentage width and a fixed 48 px height with native appearance auto. On the tested iOS WebView, native time-control styling changes the otherwise border-box input to content-box, so its padding and borders enlarge both outer dimensions. Current WebKit RenderThemeIOS::adjustInputElementButtonStyle contains a matching date/time theme path that applies a native minimum width and content-box when width is not a fixed length. This source cross-check agrees with the live measurements but is not a symbol-level mapping of the installed WebKit binary. Tailwind 4.3.3 already supplies border-box and date/time pseudo-element spacing resets, so duplicating min-width or pseudo-element rules would not address the demonstrated theme override.</x:v>
      </x:c>
      <x:c r="L96" s="72" t="str">
        <x:v>Fixed</x:v>
      </x:c>
      <x:c r="M96" s="72" t="str">
        <x:v>Add the type-scoped [&amp;[type=time]]:appearance-none utility to the shared Input component. This suppresses native theme sizing only for time inputs, allowing the existing border-box, height, width, padding and minimum-width utilities to apply. Preserve type=time, native picker activation, v-model input handling, focus styling and disabled styling. No page markup, custom picker, JavaScript branch, additional CSS rule or dependency is introduced.</x:v>
      </x:c>
      <x:c r="N96" s="72" t="str">
        <x:v>/Users/mason/Sites/Buff/resources/js/Components/ui/input/Input.vue:40; /Users/mason/Sites/Buff/tests/iosUxRegressions.test.ts:48 and :58. The new sizing regression compiles the actual shared utility through installed Tailwind 4.3.3 in memory and checks that appearance none is emitted only for type=time. It failed before the source change and passed afterward. A second regression checks that Add, Today and Settings/Reminders still use the shared native time input and that the reminder's fixed width and autosave event remain intact. Affected frontend tests 33/33 passed; full frontend suite 216/216 passed; TypeScript and git diff --check passed. No PHP files changed and no native build or emulator mutation was performed.</x:v>
      </x:c>
      <x:c r="O96" s="72" t="str">
        <x:v>Passed</x:v>
      </x:c>
      <x:c r="P96" s="72" t="str">
        <x:v>Passed</x:v>
      </x:c>
      <x:c r="Q96" s="72" t="str">
        <x:v>Original iOS content-box overflow is fixed in extracted build 16: Add/Edit match their 161 × 48 px columns, including reachable required-error layout, and native pickers remain available. Android shared-control regression passes, including native-cleared empty time and required feedback. Both platforms retain 120 × 48 px reminder controls and unchanged values after picker cancel. Closure is scoped to layout/picker regression; full workout and reminders workflows remain incomplete. iOS empty-time state was not reachable through the observed native controls.</x:v>
      </x:c>
      <x:c r="R96" s="72" t="str">
        <x:v>History: build 15 failed with 191 × 74 px time controls; the source fix was initially awaiting rebuild. Build 16 now passes the original Add/Edit layout and native-picker regression on iOS, with 161 × 48 px border-box controls. Reachable required-title/calorie errors remain aligned. Android also passes populated, native-cleared empty-time and required-error layouts at 165.714 × 48 px. Both platforms preserve 120 × 48 px reminder inputs, picker cancellation, times and disabled toggles. No valid workout/reminder save was repeated. iOS Reset/keyboard clearing retained valid time, so empty-time geometry is not claimed. This is separate from DEF-053 validation and DEF-091 rendering. Full evidence and screenshots: RUN-0372–0375 and RUN-0376–0379; /Users/mason/.codex/visualizations/2026/09/01/01a05def-1c0d-76d1-abc6-07c63a443582/emulator-runs/retest/ios/DEF-092-b16-validation-supplement.json.</x:v>
      </x:c>
    </x:row>
    <x:row r="97" ht="268.79998779296875" hidden="0" customHeight="1">
      <x:c r="A97" s="72" t="str">
        <x:v>DEF-093</x:v>
      </x:c>
      <x:c r="B97" s="72" t="str">
        <x:v>NUT-083, NUT-084, NUT-090</x:v>
      </x:c>
      <x:c r="C97" s="72" t="str">
        <x:v>Logic</x:v>
      </x:c>
      <x:c r="D97" s="72" t="str">
        <x:v>Both</x:v>
      </x:c>
      <x:c r="E97" s="72" t="str">
        <x:v>Medium</x:v>
      </x:c>
      <x:c r="F97" s="72" t="str">
        <x:v>Metadata-only meal edits silently replace saved nutrition snapshots</x:v>
      </x:c>
      <x:c r="G97" s="72" t="str">
        <x:v>Source-derived reproduction, not yet performed on an emulator: save a barcode meal at 100 g, explicitly edit its macros to P 20 / C 60 / F 20 and 500 kcal while its linked product remains 200 kcal per 100 g. Reopen Edit, leave the default Portion mode and quantity/unit unchanged, change only meal type or name, and save. An equivalent case occurs after catalogue nutrition changes. A no-portion meal can also change calories when its default Macros mode submits unchanged P/C/F but the stored calories differ from their 4/4/9 sum.</x:v>
      </x:c>
      <x:c r="H97" s="72" t="str">
        <x:v>Changing meal type, name or other metadata without changing nutrition inputs preserves the same meal's saved calories, macros, portion and source relations. Actual portion or macro edits still use their established calculations and validation. Repeating a meal retains its existing snapshot or explicit-portion behavior.</x:v>
      </x:c>
      <x:c r="I97" s="72" t="str">
        <x:v>Three isolated endpoint regressions failed before the fix: an explicitly macro-edited barcode meal changed from 500 to 200 kcal on metadata save; a historical 200 kcal barcode snapshot changed to the catalogue's new 350 kcal; and a no-portion 450 kcal snapshot changed to 455 kcal despite unchanged macros. These are persisted source-test results, not native observations. Both emulator reproductions remain untested.</x:v>
      </x:c>
      <x:c r="J97" s="72" t="str">
        <x:v>/Users/mason/.codex/visualizations/2026/09/01/01a05def-1c0d-76d1-abc6-07c63a443582/inventory/defect093-meal-snapshot-source-proof.json</x:v>
      </x:c>
      <x:c r="K97" s="72" t="str">
        <x:v>Today preselects Portion mode for any meal with a non-null saved portion and Macros otherwise. MealController::update previously recalculated unconditionally after validating and filling metadata. The Portion branch invoked applyPortion even when quantity/unit were unchanged, causing a linked product's current nutrition to overwrite the meal snapshot. The Macros branch recomputed 4/4/9 calories even when all three submitted macro values matched the stored values. Metadata and nutrition edits were not distinguished.</x:v>
      </x:c>
      <x:c r="L97" s="72" t="str">
        <x:v>Fixed</x:v>
      </x:c>
      <x:c r="M97" s="72" t="str">
        <x:v>After normal validation, compare numeric portion quantity and the nullable unit with the saved entry before applying portion calculations. In Macros mode, recalculate only when at least one numeric protein/carbohydrate/fat value differs from the stored value. Equivalent numeric strings and numbers are treated as unchanged. Preserve metadata saving, source relations and sync behavior. Leave applyPortion and repeat unchanged, including current-product calculations for explicit replacement portions and snapshot copies when no replacement portion is submitted.</x:v>
      </x:c>
      <x:c r="N97" s="72" t="str">
        <x:v>/Users/mason/Sites/Buff/app/Http/Controllers/MealController.php:245; /Users/mason/Sites/Buff/tests/Feature/MealEntryTest.php:491. Nine new feature cases cover the three snapshot failures, genuine barcode quantity changes, invalid unit-only changes, each macro changed independently and barcode repeat snapshots. MealEntryTest passes 29/29 tests with 258 assertions after the fix, versus three failures before it. Complete current PHP suite passes 362/362 tests with 2,895 assertions. Pint dirty and git diff --check passed. Independent review found no actionable issues and repeated the passing MealEntry subset. No native build, emulator test or workbook write was performed.</x:v>
      </x:c>
      <x:c r="O97" s="72" t="str">
        <x:v>Passed</x:v>
      </x:c>
      <x:c r="P97" s="72" t="str">
        <x:v>Passed</x:v>
      </x:c>
      <x:c r="Q97" s="72" t="str">
        <x:v>2026-09-08 focused native retest Passed on both platforms. A real barcode product has539kcal/100g; its explicitly edited100g snapshot remains500kcal/P20/C60/F20 after Android rename/reclassification and iOS reclassification, cold relaunch and cross-device sync. A genuine150g edit recalculates to809kcal/P9.45/C86.25/F46.35. After DEF-103's field-precision fix, unchanged Macros-mode saves move the meal to Breakfast on Android and Lunch on iOS while preserving809kcal (not the800kcal 4/4/9 result). Android independently receives the exact iOS final record. Catalogue mutation and no-portion variants remain automated-only; the common preservation branches are now exercised natively.</x:v>
      </x:c>
      <x:c r="R97" s="72" t="str">
        <x:v>Historical source-only and blocked observations above predate this release pass. Native evidence: /Users/mason/.codex/visualizations/2026/09/06/01a07722-2d43-7910-aa74-f3a7d9489dc2/release-qa/DEF-093-ios-synced-preserved.json; /Users/mason/.codex/visualizations/2026/09/06/01a07722-2d43-7910-aa74-f3a7d9489dc2/release-qa/DEF-093-ios-relaunch-preserved.png; /Users/mason/.codex/visualizations/2026/09/06/01a07722-2d43-7910-aa74-f3a7d9489dc2/release-qa/DEF-093-103-android-saved.json; /Users/mason/.codex/visualizations/2026/09/06/01a07722-2d43-7910-aa74-f3a7d9489dc2/release-qa/DEF-093-103-ios-saved.png; /Users/mason/.codex/visualizations/2026/09/06/01a07722-2d43-7910-aa74-f3a7d9489dc2/release-qa/DEF-093-103-ios-cloud-confirmed.json. Existing QA records were preserved. Broad story matrices remain partial.</x:v>
      </x:c>
    </x:row>
    <x:row r="98" ht="229.1999969482422" hidden="0" customHeight="1">
      <x:c r="A98" s="72" t="str">
        <x:v>DEF-094</x:v>
      </x:c>
      <x:c r="B98" s="72" t="str">
        <x:v>ACC-082, NUT-009</x:v>
      </x:c>
      <x:c r="C98" s="72" t="str">
        <x:v>UX</x:v>
      </x:c>
      <x:c r="D98" s="72" t="str">
        <x:v>iOS</x:v>
      </x:c>
      <x:c r="E98" s="72" t="str">
        <x:v>Medium</x:v>
      </x:c>
      <x:c r="F98" s="72" t="str">
        <x:v>Scrolled page headings and actions collide with the iOS status bar</x:v>
      </x:c>
      <x:c r="G98" s="72" t="str">
        <x:v>On iOS build 15, open Today and scroll to the Meals section. Observe the native status bar while the Meals heading and Add food action reach the top of the viewport. The recorded screenshot was captured after a meal move, but no further data mutation is needed to observe the layout failure.</x:v>
      </x:c>
      <x:c r="H98" s="72" t="str">
        <x:v>The native clock, Wi-Fi and battery remain readable while content scrolls. Page headings and actions must not paint behind status-bar text or icons. The app retains its full-bleed themed background and existing content spacing; offline messages, dialogs, sheets and toasts remain above the protective backing.</x:v>
      </x:c>
      <x:c r="I98" s="72" t="str">
        <x:v>The iOS screenshot shows the Meals heading overlapping the 2:18 clock and Add food overlapping the Wi-Fi and battery area. Initial top padding does not protect the status bar once the page scrolls.</x:v>
      </x:c>
      <x:c r="J98" s="72" t="str">
        <x:v>/Users/mason/.codex/visualizations/2026/09/01/01a05def-1c0d-76d1-abc6-07c63a443582/emulator-runs/retest/ios/NUT-090-after-newer-move.png
/Users/mason/.codex/visualizations/2026/09/01/01a05def-1c0d-76d1-abc6-07c63a443582/inventory/defect094-status-bar-source-proof.json</x:v>
      </x:c>
      <x:c r="K98" s="72" t="str">
        <x:v>The native WebView intentionally ignores the safe area and disables automatic content insets, while the Blade viewport uses viewport-fit=cover. Shared .app-main padding protects content only at its initial scroll position. AppShell has no persistent online background behind the top safe area, so scrolled content remains visible beneath the native status bar. The offline banner supplies such backing only when offline. Standalone Account, Onboarding and McpApproval bypass AppShell but share the same Inertia root.</x:v>
      </x:c>
      <x:c r="L98" s="72" t="str">
        <x:v>Fixed</x:v>
      </x:c>
      <x:c r="M98" s="72" t="str">
        <x:v>Add one shared #app::before CSS rule: empty content, fixed top inset, height env(safe-area-inset-top, 0px), opaque background var(--background), pointer-events none and z-index 30. It protects both AppShell and standalone pages without extra padding or JavaScript. Existing light, dark and system themes apply automatically; zero-inset environments receive a zero-height backing. Offline feedback remains at z-40 and modal/toast layers at z-50 or higher.</x:v>
      </x:c>
      <x:c r="N98" s="72" t="str">
        <x:v>/Users/mason/Sites/Buff/resources/css/app.css:263; /Users/mason/Sites/Buff/tests/appShell.test.ts:71. Two source-contract regressions cover the fixed, themed, non-interactive safe-area rule and its ordering beneath existing offline and modal overlays. Both failed before the CSS change. Affected frontend tests 32/32 passed; full frontend suite 218/218 passed; TypeScript and git diff --check passed. Independent review found no actionable issue and reran the affected 32 tests successfully. No native-generated files, Vue logic, page spacing, dependencies or bottom navigation/ad layout changed.</x:v>
      </x:c>
      <x:c r="O98" s="72" t="str">
        <x:v>Passed</x:v>
      </x:c>
      <x:c r="P98" s="72" t="str">
        <x:v>Passed</x:v>
      </x:c>
      <x:c r="Q98" s="72" t="str">
        <x:v>Original iOS status-area collision is resolved on actual extracted build16 at both reproduced scroll positions, across System/Light/Dark and sheet/Weekly checks. Android shared-rule regression shows24px themed backing with legible status icons and usable forms/pickers. This closes DEF-094 only; wider ACC-082 shell/integration/theme/overlay coverage remains incomplete.</x:v>
      </x:c>
      <x:c r="R98" s="72" t="str">
        <x:v>Build 16 passes the reproduced iOS Breakfast/Meals collision positions: a 62 px fixed, non-interactive backing keeps status text readable in System, Light and Dark. Meal detail/edit cancellation and dark Weekly scrolling pass; the meal summary is unchanged and System restored. Android's shared-rule regression shows a 24 px themed backing and usable forms/pickers. Closure is limited to the original status-area defect. Offline/camera/toast layers, standalone auth/onboarding/MCP and zero-inset native environments remain untested. DEF-091 is separate Android pixel corruption. Detailed evidence and screenshots: RUN-0369–0371; /Users/mason/.codex/visualizations/2026/09/01/01a05def-1c0d-76d1-abc6-07c63a443582/emulator-runs/retest/ios/DEF-094-b16-postfix-observations.json.</x:v>
      </x:c>
    </x:row>
    <x:row r="99" ht="572.4000244140625" hidden="0" customHeight="1">
      <x:c r="A99" s="72" t="str">
        <x:v>DEF-095</x:v>
      </x:c>
      <x:c r="B99" s="72" t="str">
        <x:v>NUT-048, NUT-056</x:v>
      </x:c>
      <x:c r="C99" s="72" t="str">
        <x:v>Logistical</x:v>
      </x:c>
      <x:c r="D99" s="72" t="str">
        <x:v>iOS</x:v>
      </x:c>
      <x:c r="E99" s="72" t="str">
        <x:v>Medium</x:v>
      </x:c>
      <x:c r="F99" s="72" t="str">
        <x:v>Debug remote-inspector crashes terminate the app during draft and saved-page QA</x:v>
      </x:c>
      <x:c r="G99" s="72" t="str">
        <x:v>On the iPhone 17 Pro simulator running build 16, prepare the 281-kcal, four-serving recipe draft. A read-only WIR inspection completed at 14:22:00.723 UTC. The app terminated before Save was tapped. This is the observed diagnostic session, not a proven recipe-only reproduction.
Second observed session: after a successful saved-recipe update and cold launch, inspect saved Today Aug26 with read-only WIR. The inspection completed at15:43:58.958UTC; the crash report is44ms later. No unsaved draft was open. This documents observed timing, not a proven deterministic recipe-only trigger.</x:v>
      </x:c>
      <x:c r="H99" s="72" t="str">
        <x:v>Read-only debugging should not terminate the app. Recipe completion must remain usable without the inspector.</x:v>
      </x:c>
      <x:c r="I99" s="72" t="str">
        <x:v>NativePHP-simulator PID 36281 aborted at 14:22:00.728 UTC. Relaunch returned to Today; the new recipe was absent and Aug 28 remained empty. The unsaved draft was lost. Recreating and saving through native-only input succeeded.
Build16 recurrence on saved Today Aug26: read-only WIR completed at 15:43:58.958 UTC; PID33475 crashed at 15:43:59.0016 UTC, approximately44ms later. No unsaved draft existed and no saved data was lost. The crash report records EXC_BAD_ACCESS/KERN_PROTECTION_FAILURE (exception signal SIGILL; termination indicator Bus error:10), on com.apple.JavaScriptCore.remote-inspector-xpc. Frames include CFGetTypeID, recursive __writeObject15, _CFXPCCreateXPCMessageWithCFObject, RemoteInspectorXPCConnection::sendMessage and RemoteInspector::pushListingsNow. This is a different exception signature from the first SIGABRT, grouped by the same inspector-listing/XPC subsystem; the precise upstream cause remains unknown. Native-only relaunch and remaining edits/Cancel passed; no further WIR was used.</x:v>
      </x:c>
      <x:c r="J99" s="72" t="str">
        <x:v>/Users/mason/.codex/visualizations/2026/09/01/01a05def-1c0d-76d1-abc6-07c63a443582/inventory/ios-build16-remote-inspector-crash.json
/Users/mason/.codex/visualizations/2026/09/01/01a05def-1c0d-76d1-abc6-07c63a443582/emulator-runs/retest/ios/NUT-051-b16-unsaved-draft-termination-observation.json
/Users/mason/.codex/visualizations/2026/09/01/01a05def-1c0d-76d1-abc6-07c63a443582/emulator-runs/retest/ios/batch-016-case-manifest.json
/Users/mason/.codex/visualizations/2026/09/01/01a05def-1c0d-76d1-abc6-07c63a443582/emulator-runs/retest/ios/batch-016-observations.json
/Users/mason/.codex/visualizations/2026/09/01/01a05def-1c0d-76d1-abc6-07c63a443582/emulator-runs/retest/ios/NUT-056-b16-post-cold-inspector-home.png
/Users/mason/Library/Logs/DiagnosticReports/NativePHP-simulator-2026-09-04-164406.ips</x:v>
      </x:c>
      <x:c r="K99" s="72" t="str">
        <x:v>Confirmed NSInvalidArgumentException: NSDictionaryM setObject:forKey received a nil key. Faulting queue is JavaScriptCore remote-inspector XPC, with RemoteInspector::pushListingsNow in the stack. Association with inspection is strong; the malformed listing and upstream cause are unknown. No recipe/PHP root cause is established.
The second report instead has EXC_BAD_ACCESS/KERN_PROTECTION_FAILURE in recursive binary-plist serialization on the same RemoteInspector listing/XPC path. The shared subsystem is confirmed; a common precise cause is not. Do not classify this as a production recipe or PHP failure without further evidence.</x:v>
      </x:c>
      <x:c r="L99" s="72" t="str">
        <x:v>Open</x:v>
      </x:c>
      <x:c r="M99" s="72" t="str">
        <x:v>No source change. Avoid all WIR inspection in further iOS QA, including saved screens, while isolating this debug-only failure; use native UI and scoped read-only persistence evidence.</x:v>
      </x:c>
      <x:c r="N99" s="72" t="str"/>
      <x:c r="O99" s="72" t="str">
        <x:v>Failed</x:v>
      </x:c>
      <x:c r="P99" s="72" t="str">
        <x:v>Not Applicable</x:v>
      </x:c>
      <x:c r="Q99" s="72" t="str">
        <x:v>Open diagnostic-path limitation, reproduced twice with different exception signatures. Saved recipe behavior is tested independently; upstream cause and fix remain unproven.</x:v>
      </x:c>
      <x:c r="R99" s="72" t="str">
        <x:v>Native-only draft recreation and save passed, but inspector-path isolation remains incomplete. No saved user data was lost. No reset, reinstall, dependency change or global simulator action was performed.
Build16 yield checkpoint: native-only creation at yields0.1/1/100, exact saved snapshots and cold persistence passed. NUT-048's functional retest can pass while this separately scoped inspector crash remains Open. No unsaved-draft inspector session or upstream fix was attempted.
Build16 recurrence on saved Today Aug26: read-only WIR completed at 15:43:58.958 UTC; PID33475 crashed at 15:43:59.0016 UTC, approximately44ms later. No unsaved draft existed and no saved data was lost. The crash report records EXC_BAD_ACCESS/KERN_PROTECTION_FAILURE (exception signal SIGILL; termination indicator Bus error:10), on com.apple.JavaScriptCore.remote-inspector-xpc. Frames include CFGetTypeID, recursive __writeObject15, _CFXPCCreateXPCMessageWithCFObject, RemoteInspectorXPCConnection::sendMessage and RemoteInspector::pushListingsNow. This is a different exception signature from the first SIGABRT, grouped by the same inspector-listing/XPC subsystem; the precise upstream cause remains unknown. Native-only relaunch and remaining edits/Cancel passed; no further WIR was used.
User reported iOS crashed at approximately15:57UTC. Read-only native follow-up found QA Pro running PID34567 on saved Recipes with no draft/dialog; the newest matching report was still the known15:43:59UTC occurrence. No new crash is confirmed from that report alone. Screenshot: /Users/mason/.codex/visualizations/2026/09/01/01a05def-1c0d-76d1-abc6-07c63a443582/emulator-runs/retest/ios/DEF-095-native-state-1557-paused.png. The next iOS custom-food batch was paused before any new actions; clarification requested, no response yet.</x:v>
      </x:c>
    </x:row>
    <x:row r="100" ht="1562.4000244140625" hidden="0" customHeight="1">
      <x:c r="A100" s="72" t="str">
        <x:v>DEF-096</x:v>
      </x:c>
      <x:c r="B100" s="72" t="str">
        <x:v>NUT-052</x:v>
      </x:c>
      <x:c r="C100" s="72" t="str">
        <x:v>UX</x:v>
      </x:c>
      <x:c r="D100" s="72" t="str">
        <x:v>Android</x:v>
      </x:c>
      <x:c r="E100" s="72" t="str">
        <x:v>Low</x:v>
      </x:c>
      <x:c r="F100" s="72" t="str">
        <x:v>Recipe serving step-validation guidance is obscured by the keyboard</x:v>
      </x:c>
      <x:c r="G100" s="72" t="str">
        <x:v>Open recipe A on Aug 27 in build 16, enter 0.15 servings, hide the keyboard, then tap Log recipe. Native validation focuses the field and reopens the keyboard.</x:v>
      </x:c>
      <x:c r="H100" s="72" t="str">
        <x:v>The invalid value is rejected and the corrective guidance remains readable.</x:v>
      </x:c>
      <x:c r="I100" s="72" t="str">
        <x:v>The value is correctly rejected with no recipe-log request or meal. The bubble starts Please enter a valid value, but the keyboard hides the suggested nearest valid values 0.1 and 0.2.</x:v>
      </x:c>
      <x:c r="J100" s="72" t="str">
        <x:v>/Users/mason/.codex/visualizations/2026/09/01/01a05def-1c0d-76d1-abc6-07c63a443582/emulator-runs/retest/android/NUT-052-b16-step-feedback.png
/Users/mason/.codex/visualizations/2026/09/01/01a05def-1c0d-76d1-abc6-07c63a443582/emulator-runs/retest/android/NUT-052-b16-step-after-submit.json
/Users/mason/.codex/visualizations/2026/09/01/01a05def-1c0d-76d1-abc6-07c63a443582/emulator-runs/retest/android/NUT-052-b16-step-no-request.json
/Users/mason/.codex/visualizations/2026/09/01/01a05def-1c0d-76d1-abc6-07c63a443582/emulator-runs/retest/android/NUT-052-b16-after-step-empty.json
/Users/mason/.codex/visualizations/2026/09/01/01a05def-1c0d-76d1-abc6-07c63a443582/emulator-runs/retest/android/DEF-096-b21-blank.json
/Users/mason/.codex/visualizations/2026/09/01/01a05def-1c0d-76d1-abc6-07c63a443582/emulator-runs/retest/android/DEF-096-b21-blank.png
/Users/mason/.codex/visualizations/2026/09/01/01a05def-1c0d-76d1-abc6-07c63a443582/emulator-runs/retest/android/DEF-096-b21-confirmation.png
/Users/mason/.codex/visualizations/2026/09/01/01a05def-1c0d-76d1-abc6-07c63a443582/emulator-runs/retest/android/DEF-096-b21-corrected.json
/Users/mason/.codex/visualizations/2026/09/01/01a05def-1c0d-76d1-abc6-07c63a443582/emulator-runs/retest/android/DEF-096-b21-keyboard-step.json
/Users/mason/.codex/visualizations/2026/09/01/01a05def-1c0d-76d1-abc6-07c63a443582/emulator-runs/retest/android/DEF-096-b21-keyboard-step.png
/Users/mason/.codex/visualizations/2026/09/01/01a05def-1c0d-76d1-abc6-07c63a443582/emulator-runs/retest/android/DEF-096-b21-maximum.json
/Users/mason/.codex/visualizations/2026/09/01/01a05def-1c0d-76d1-abc6-07c63a443582/emulator-runs/retest/android/DEF-096-b21-maximum.png
/Users/mason/.codex/visualizations/2026/09/01/01a05def-1c0d-76d1-abc6-07c63a443582/emulator-runs/retest/android/DEF-096-b21-minimum.json
/Users/mason/.codex/visualizations/2026/09/01/01a05def-1c0d-76d1-abc6-07c63a443582/emulator-runs/retest/android/DEF-096-b21-minimum.png
/Users/mason/.codex/visualizations/2026/09/01/01a05def-1c0d-76d1-abc6-07c63a443582/emulator-runs/retest/android/DEF-096-b21-preserved-day.png
/Users/mason/.codex/visualizations/2026/09/01/01a05def-1c0d-76d1-abc6-07c63a443582/emulator-runs/retest/android/DEF-096-b21-save.mp4
/Users/mason/.codex/visualizations/2026/09/01/01a05def-1c0d-76d1-abc6-07c63a443582/emulator-runs/retest/android/DEF-096-b21-saved.json
/Users/mason/.codex/visualizations/2026/09/01/01a05def-1c0d-76d1-abc6-07c63a443582/emulator-runs/retest/android/DEF-096-b21-saved.png
/Users/mason/.codex/visualizations/2026/09/01/01a05def-1c0d-76d1-abc6-07c63a443582/emulator-runs/retest/android/DEF-096-b21-step.json
/Users/mason/.codex/visualizations/2026/09/01/01a05def-1c0d-76d1-abc6-07c63a443582/emulator-runs/retest/android/DEF-096-b21-step.png
/Users/mason/.codex/visualizations/2026/09/01/01a05def-1c0d-76d1-abc6-07c63a443582/inventory/android-build21-apk-verified.json
/Users/mason/.codex/visualizations/2026/09/01/01a05def-1c0d-76d1-abc6-07c63a443582/inventory/android-build21-install-provenance.json
/Users/mason/.codex/visualizations/2026/09/01/01a05def-1c0d-76d1-abc6-07c63a443582/inventory/android-build21-ui-before.json
/Users/mason/.codex/visualizations/2026/09/01/01a05def-1c0d-76d1-abc6-07c63a443582/inventory/android-build21-ui-after.json
/Users/mason/.codex/visualizations/2026/09/01/01a05def-1c0d-76d1-abc6-07c63a443582/emulator-runs/retest/ios/DEF-096-b21-before.png
/Users/mason/.codex/visualizations/2026/09/01/01a05def-1c0d-76d1-abc6-07c63a443582/emulator-runs/retest/ios/DEF-096-b21-blank.png
/Users/mason/.codex/visualizations/2026/09/01/01a05def-1c0d-76d1-abc6-07c63a443582/emulator-runs/retest/ios/DEF-096-b21-confirmation-settled.png
/Users/mason/.codex/visualizations/2026/09/01/01a05def-1c0d-76d1-abc6-07c63a443582/emulator-runs/retest/ios/DEF-096-b21-confirmation.png
/Users/mason/.codex/visualizations/2026/09/01/01a05def-1c0d-76d1-abc6-07c63a443582/emulator-runs/retest/ios/DEF-096-b21-corrected.png
/Users/mason/.codex/visualizations/2026/09/01/01a05def-1c0d-76d1-abc6-07c63a443582/emulator-runs/retest/ios/DEF-096-b21-maximum.png
/Users/mason/.codex/visualizations/2026/09/01/01a05def-1c0d-76d1-abc6-07c63a443582/emulator-runs/retest/ios/DEF-096-b21-minimum.png
/Users/mason/.codex/visualizations/2026/09/01/01a05def-1c0d-76d1-abc6-07c63a443582/emulator-runs/retest/ios/DEF-096-b21-save.mov
/Users/mason/.codex/visualizations/2026/09/01/01a05def-1c0d-76d1-abc6-07c63a443582/emulator-runs/retest/ios/DEF-096-b21-saved.png
/Users/mason/.codex/visualizations/2026/09/01/01a05def-1c0d-76d1-abc6-07c63a443582/emulator-runs/retest/ios/DEF-096-b21-step.png
/Users/mason/.codex/visualizations/2026/09/01/01a05def-1c0d-76d1-abc6-07c63a443582/inventory/ios-build21-before.json
/Users/mason/.codex/visualizations/2026/09/01/01a05def-1c0d-76d1-abc6-07c63a443582/inventory/ios-build21-after.json
/Users/mason/.codex/visualizations/2026/09/01/01a05def-1c0d-76d1-abc6-07c63a443582/inventory/ios-recipe-guidance-b21-before.json
/Users/mason/.codex/visualizations/2026/09/01/01a05def-1c0d-76d1-abc6-07c63a443582/inventory/ios-recipe-guidance-b21-rejected.json
/Users/mason/.codex/visualizations/2026/09/01/01a05def-1c0d-76d1-abc6-07c63a443582/inventory/ios-recipe-guidance-b21-saved.json</x:v>
      </x:c>
      <x:c r="K100" s="72" t="str">
        <x:v>The servings input delegates invalid presentation to the WebView native popup,which focuses the field and reopens the IME over the correction guidance. The existing inline form error is populated only for server errors.</x:v>
      </x:c>
      <x:c r="L100" s="72" t="str">
        <x:v>Fixed</x:v>
      </x:c>
      <x:c r="M100" s="72" t="str">
        <x:v>Use the existing servings error surface for the native validationMessage via @invalid.prevent;clear only servings errors on model update. Keep required,min0.1,max100,and step0.1 unchanged. No shared input component or dependency change.</x:v>
      </x:c>
      <x:c r="N100" s="72" t="str">
        <x:v>/Users/mason/Sites/Buff/resources/js/Components/RecipeMode.vue:506
/Users/mason/Sites/Buff/tests/recipeDesign.test.ts:74
16 focused frontend tests, TypeScript and diff check Passed; new regression failed before fix. Native build 21 verification passed on both platforms.</x:v>
      </x:c>
      <x:c r="O100" s="72" t="str">
        <x:v>Passed</x:v>
      </x:c>
      <x:c r="P100" s="72" t="str">
        <x:v>Passed</x:v>
      </x:c>
      <x:c r="Q100" s="72" t="str">
        <x:v>Fixed: Android correction guidance stays visible with the keyboard hidden or open; native validity constraints and exactly-once valid logging remain intact. iOS shared-form regression passes.</x:v>
      </x:c>
      <x:c r="R100" s="72" t="str">
        <x:v>Scoped to this recipe step-validation case. Do not generalize to all fields or iOS. Independent ledger review found no matching existing defect.
RUN-0423:Android build20 reproduces DEF096. RecipeA0.15 is rejected without a meal request; keyboard reopens over nearest-valid-values0.1/0.2. Cancel/back preserves exact14August39kcal summary. Root is default native invalid UI focusing input beneath keyboard while existing inline error is unused. Source now handles @invalid.prevent by setting logForm.servings error from native validationMessage; editing clears only that field. Required/min/max/step unchanged. One behavior test failed before fix;16focused frontend tests,TypeScript,diffcheck pass. Build21 native verification pending;keep In Progress.
RUN-0424/0425: both installed build 21. DEF-096 is Fixed after native Android validation/IME and iOS regression checks, field correction and exactly-once valid saves. The wider NUT-052 case matrix remains incomplete; initial iOS cell is not backfilled.</x:v>
      </x:c>
    </x:row>
    <x:row r="101" ht="334.79998779296875" hidden="0" customHeight="1">
      <x:c r="A101" s="72" t="str">
        <x:v>DEF-097</x:v>
      </x:c>
      <x:c r="B101" s="72" t="str">
        <x:v>NUT-040</x:v>
      </x:c>
      <x:c r="C101" s="72" t="str">
        <x:v>UX</x:v>
      </x:c>
      <x:c r="D101" s="72" t="str">
        <x:v>Android</x:v>
      </x:c>
      <x:c r="E101" s="72" t="str">
        <x:v>Medium</x:v>
      </x:c>
      <x:c r="F101" s="72" t="str">
        <x:v>Custom-food validation scrolls above the form and hides rendered errors</x:v>
      </x:c>
      <x:c r="G101" s="72" t="str">
        <x:v>On Android build16 with seven recent custom foods, open Custom food for Aug23 Breakfast. Scroll down to the form and submit a blank name, a121-character name, quantity10001, or macros1001. After the rejected submission, inspect the native viewport before scrolling manually.</x:v>
      </x:c>
      <x:c r="H101" s="72" t="str">
        <x:v>Rejected submissions keep the custom-food form and validation feedback in view so the user can correct the entered value. Successful submissions retain normal dated Today navigation.</x:v>
      </x:c>
      <x:c r="I101" s="72" t="str">
        <x:v>All four invalid submissions returned to the top of the long Custom page. The viewport showed recent foods and only the Name label near the bottom; inline errors were below the fixed bottom navigation and outside the visible form area. Scrolling down revealed the correct errors and retained values. No invalid meal was created.</x:v>
      </x:c>
      <x:c r="J101" s="72" t="str">
        <x:v>/Users/mason/.codex/visualizations/2026/09/01/01a05def-1c0d-76d1-abc6-07c63a443582/inventory/android-custom-food-b16-evidence.json
/Users/mason/.codex/visualizations/2026/09/01/01a05def-1c0d-76d1-abc6-07c63a443582/emulator-runs/retest/android/NUT-040-b16-blank-name.png
/Users/mason/.codex/visualizations/2026/09/01/01a05def-1c0d-76d1-abc6-07c63a443582/emulator-runs/retest/android/NUT-040-b16-long-name-returned-top.png
/Users/mason/.codex/visualizations/2026/09/01/01a05def-1c0d-76d1-abc6-07c63a443582/emulator-runs/retest/android/NUT-040-b16-long-name-returned-top.json
/Users/mason/.codex/visualizations/2026/09/01/01a05def-1c0d-76d1-abc6-07c63a443582/emulator-runs/retest/android/NUT-040-b16-all-macro-errors-top.json
/Users/mason/.codex/visualizations/2026/09/01/01a05def-1c0d-76d1-abc6-07c63a443582/emulator-runs/retest/android/NUT-040-b16-all-macro-errors-visible.png
/Users/mason/.codex/visualizations/2026/09/01/01a05def-1c0d-76d1-abc6-07c63a443582/inventory/android-custom-scroll-b17-evidence.json
/Users/mason/.codex/visualizations/2026/09/01/01a05def-1c0d-76d1-abc6-07c63a443582/inventory/android-build17-install-provenance.json</x:v>
      </x:c>
      <x:c r="K101" s="72" t="str">
        <x:v>The shared addCustomMeal callback posted without a preserveScroll option. Rejected Inertia visits therefore reset the document to the top; the recent-food list precedes the form. Macro error markup exists in build16 (DEF022) but the viewport reset hides it. The same callback serves custom food and photo-analysis review.</x:v>
      </x:c>
      <x:c r="L101" s="72" t="str">
        <x:v>Fixed</x:v>
      </x:c>
      <x:c r="M101" s="72" t="str">
        <x:v>Source change: use .post('/meals/custom', { preserveScroll: 'errors' }) so only failed validation retains scroll; successful visits keep normal reset/navigation. No new helper or dependency.</x:v>
      </x:c>
      <x:c r="N101" s="72" t="str">
        <x:v>/Users/mason/Sites/Buff/resources/js/Pages/Add.vue:733; /Users/mason/Sites/Buff/tests/recipeDesign.test.ts:73. Actual callback with real useForm checks error-only request option, ordinary/photo-review payloads, numeric transforms and retained errors/data. Test failed before and passed after. Full frontend219/219, focused14/14 and TypeScript passed; independent review and diff check passed.</x:v>
      </x:c>
      <x:c r="O101" s="72" t="str">
        <x:v>Not Run</x:v>
      </x:c>
      <x:c r="P101" s="72" t="str">
        <x:v>Passed</x:v>
      </x:c>
      <x:c r="Q101" s="72" t="str">
        <x:v>Android reported defect fixed and natively verified in build17. All four original invalid-submission cases retain exact scroll positions with visible errors. Macro errors clear individually; valid save returns to dated Today at scrollY0. iOS and photo-review native paths remain untested, so no cross-platform completion is claimed.</x:v>
      </x:c>
      <x:c r="R101" s="72" t="str">
        <x:v>Separate from DEF022 (missing macro-error markup) and DEF091 (native rendering corruption). Reproduced on Android only; iOS custom-food batch was paused before it began. No speculative renderer change or native rebuild was performed.
Build17 checkpoint supersedes the source-only installation note: Android compiled and extracted option matches source; four native regressions and normal successful navigation pass. iOS remains build16 and paused. No renderer workaround.</x:v>
      </x:c>
    </x:row>
    <x:row r="102" ht="1404" hidden="0" customHeight="1">
      <x:c r="A102" s="72" t="str">
        <x:v>DEF-098</x:v>
      </x:c>
      <x:c r="B102" s="72" t="str">
        <x:v>NUT-039</x:v>
      </x:c>
      <x:c r="C102" s="72" t="str">
        <x:v>UX</x:v>
      </x:c>
      <x:c r="D102" s="72" t="str">
        <x:v>iOS</x:v>
      </x:c>
      <x:c r="E102" s="72" t="str">
        <x:v>Medium</x:v>
      </x:c>
      <x:c r="F102" s="72" t="str">
        <x:v>Native banner ad obscures the custom-food success toast</x:v>
      </x:c>
      <x:c r="G102" s="72" t="str">
        <x:v>On QA Pro build16, open 22 August 2026, add custom food QA grams 0905 with 350g and P45/C50/F12 to Breakfast, and observe the success toast while the Today banner loads. The settled native video frame at 11.0s shows overlap. Timing varies: the later ml save kept the banner absent during the observed toast.</x:v>
      </x:c>
      <x:c r="H102" s="72" t="str">
        <x:v>The complete success message and its container remain readable for the confirmation duration, regardless of banner load timing.</x:v>
      </x:c>
      <x:c r="I102" s="72" t="str">
        <x:v>The grams meal saved correctly at 488 kcal, but the native banner covers the bottom of the settled Custom food added. toast and clips the text. The ml meal later saved at 410 kcal with a fully visible toast before the banner appeared.
Build18 position-only fix moved the native toast below the top safe area, away from the banner. Both new21Aug saves passed: QA toast g0906 Breakfast350g488kcal and QA toast ml0906 Lunch200ml410kcal, combined898/P65/C110/F22. However the date heading remains visible through the translucent toast and interferes with its text, including the video sample returned at14.243s. This failed readability retest prompted an opaque background correction. No draft remains. Build18 install preserved all checked QA records and Aug22 totals898 exactly.
Build 19 native retest passed both custom-food saves on 20 August: QA b19 grams, Breakfast 350 g, 488 kcal, P45/C50/F12; QA b19 ml, Lunch 200 ml, 410 kcal, P20/C60/F10. Each was submitted once and showed Adding meal, then one saved row. Both native confirmations were fully readable with a banner present: opaque background, no heading bleed, clear of the status bar and bottom banner. Combined total 898 kcal, P65/C110/F22, 1202 remaining. After a cold app relaunch, both UUIDs, dates, types, portions and values matched exactly; all checked stable record hashes/account binding were unchanged, with 23 meals and pending sync 0. Native Today showed both rows and matching totals.</x:v>
      </x:c>
      <x:c r="J102" s="72" t="str">
        <x:v>/Users/mason/.codex/visualizations/2026/09/01/01a05def-1c0d-76d1-abc6-07c63a443582/emulator-runs/retest/ios/NUT-039-b16-aug22-before.png
/Users/mason/.codex/visualizations/2026/09/01/01a05def-1c0d-76d1-abc6-07c63a443582/emulator-runs/retest/ios/NUT-039-b16-grams-ready.png
/Users/mason/.codex/visualizations/2026/09/01/01a05def-1c0d-76d1-abc6-07c63a443582/emulator-runs/retest/ios/NUT-039-b16-grams-save.mov
/Users/mason/.codex/visualizations/2026/09/01/01a05def-1c0d-76d1-abc6-07c63a443582/emulator-runs/retest/ios/NUT-039-b16-grams-saved.png
/Users/mason/.codex/visualizations/2026/09/01/01a05def-1c0d-76d1-abc6-07c63a443582/emulator-runs/retest/ios/NUT-039-b16-grams-toast-settled.png
/Users/mason/.codex/visualizations/2026/09/01/01a05def-1c0d-76d1-abc6-07c63a443582/inventory/ios-pro-build16-install-provenance.json
/Users/mason/.codex/visualizations/2026/09/01/01a05def-1c0d-76d1-abc6-07c63a443582/emulator-runs/retest/ios/NUT-039-b16-ml-toast-settled.png
/Users/mason/.codex/visualizations/2026/09/01/01a05def-1c0d-76d1-abc6-07c63a443582/emulator-runs/retest/ios/DEF-098-b18-aug21-before.png
/Users/mason/.codex/visualizations/2026/09/01/01a05def-1c0d-76d1-abc6-07c63a443582/emulator-runs/retest/ios/DEF-098-b18-grams-ready.png
/Users/mason/.codex/visualizations/2026/09/01/01a05def-1c0d-76d1-abc6-07c63a443582/emulator-runs/retest/ios/DEF-098-b18-grams-save.mov
/Users/mason/.codex/visualizations/2026/09/01/01a05def-1c0d-76d1-abc6-07c63a443582/emulator-runs/retest/ios/DEF-098-b18-grams-frame8.png
/Users/mason/.codex/visualizations/2026/09/01/01a05def-1c0d-76d1-abc6-07c63a443582/emulator-runs/retest/ios/DEF-098-b18-ml-ready.png
/Users/mason/.codex/visualizations/2026/09/01/01a05def-1c0d-76d1-abc6-07c63a443582/emulator-runs/retest/ios/DEF-098-b18-ml-save.mov
/Users/mason/.codex/visualizations/2026/09/01/01a05def-1c0d-76d1-abc6-07c63a443582/emulator-runs/retest/ios/DEF-098-b18-ml-exact15.png
/Users/mason/.codex/visualizations/2026/09/01/01a05def-1c0d-76d1-abc6-07c63a443582/emulator-runs/retest/ios/DEF-098-b18-ml-saved.png
/Users/mason/.codex/visualizations/2026/09/01/01a05def-1c0d-76d1-abc6-07c63a443582/emulator-runs/retest/ios/NUT-039-b18-preserved-aug22.png
/Users/mason/.codex/visualizations/2026/09/01/01a05def-1c0d-76d1-abc6-07c63a443582/inventory/ios-build18-before.json
/Users/mason/.codex/visualizations/2026/09/01/01a05def-1c0d-76d1-abc6-07c63a443582/inventory/ios-build18-after.json
/Users/mason/.codex/visualizations/2026/09/01/01a05def-1c0d-76d1-abc6-07c63a443582/inventory/def098-native-hook-after.log
/Users/mason/.codex/visualizations/2026/09/01/01a05def-1c0d-76d1-abc6-07c63a443582/inventory/def098-opaque-hook-after.log
/Users/mason/.codex/visualizations/2026/09/01/01a05def-1c0d-76d1-abc6-07c63a443582/emulator-runs/retest/ios/DEF-098-b19-aug20-before.png
/Users/mason/.codex/visualizations/2026/09/01/01a05def-1c0d-76d1-abc6-07c63a443582/emulator-runs/retest/ios/DEF-098-b19-grams-ready.png
/Users/mason/.codex/visualizations/2026/09/01/01a05def-1c0d-76d1-abc6-07c63a443582/emulator-runs/retest/ios/DEF-098-b19-grams-save.mov
/Users/mason/.codex/visualizations/2026/09/01/01a05def-1c0d-76d1-abc6-07c63a443582/emulator-runs/retest/ios/DEF-098-b19-grams-toast-settled.png
/Users/mason/.codex/visualizations/2026/09/01/01a05def-1c0d-76d1-abc6-07c63a443582/emulator-runs/retest/ios/DEF-098-b19-grams-saved.png
/Users/mason/.codex/visualizations/2026/09/01/01a05def-1c0d-76d1-abc6-07c63a443582/emulator-runs/retest/ios/DEF-098-b19-ml-ready.png
/Users/mason/.codex/visualizations/2026/09/01/01a05def-1c0d-76d1-abc6-07c63a443582/emulator-runs/retest/ios/DEF-098-b19-ml-save.mov
/Users/mason/.codex/visualizations/2026/09/01/01a05def-1c0d-76d1-abc6-07c63a443582/emulator-runs/retest/ios/DEF-098-b19-ml-toast-settled.png
/Users/mason/.codex/visualizations/2026/09/01/01a05def-1c0d-76d1-abc6-07c63a443582/emulator-runs/retest/ios/DEF-098-b19-ml-saved.png
/Users/mason/.codex/visualizations/2026/09/01/01a05def-1c0d-76d1-abc6-07c63a443582/emulator-runs/retest/ios/DEF-098-b19-cold-aug20.png
/Users/mason/.codex/visualizations/2026/09/01/01a05def-1c0d-76d1-abc6-07c63a443582/inventory/ios-build19-before.json
/Users/mason/.codex/visualizations/2026/09/01/01a05def-1c0d-76d1-abc6-07c63a443582/inventory/ios-build19-after.json
/Users/mason/.codex/visualizations/2026/09/01/01a05def-1c0d-76d1-abc6-07c63a443582/inventory/ios-toast-b19-cold-before.json
/Users/mason/.codex/visualizations/2026/09/01/01a05def-1c0d-76d1-abc6-07c63a443582/inventory/ios-toast-b19-cold-after.json
/Users/mason/.codex/visualizations/2026/09/01/01a05def-1c0d-76d1-abc6-07c63a443582/inventory/def098-opaque-hook-after.log</x:v>
      </x:c>
      <x:c r="K102" s="72" t="str">
        <x:v>Installed NativePHP 4.3.0 ToastManager positions every iOS toast at window height minus bottom safe area, toast height and a fixed 100-point offset. It does not account for the native banner above the web navigation. AppShell calls Dialog.toast while reconciling the banner on the same successful navigation. Native bridge accepts only message and duration. Exact banner arrival timing controls whether overlap is visible.
The same toast also uses a translucent black background, allowing high-contrast page text to interfere with confirmation text when placed at the top.</x:v>
      </x:c>
      <x:c r="L102" s="72" t="str">
        <x:v>Fixed</x:v>
      </x:c>
      <x:c r="M102" s="72" t="str">
        <x:v>The existing native-refresh install hook patches the shared iOS ToastManager to safeAreaInsets.top + 16 and an opaque native darkGray background. Every Dialog.Toast caller uses this manager. The real vendor template and repeated hook application are regression-tested. Build 19 native g/ml saves verify clear confirmations while banner ads are present.</x:v>
      </x:c>
      <x:c r="N102" s="72" t="str">
        <x:v>/Users/mason/Sites/Buff/native-plugins/native-refresh/src/Commands/InstallNativeShellIntegrationsCommand.php:192
/Users/mason/Sites/Buff/tests/Feature/NativePluginHooksTest.php:231
NativePluginHooksTest8/8,138assertions. Test applies the real hook to vendor Toast.swift and reapplies it to verify stable output. Both placement and opacity assertions failed before their fixes. Pint and diff check passed.</x:v>
      </x:c>
      <x:c r="O102" s="72" t="str">
        <x:v>Passed</x:v>
      </x:c>
      <x:c r="P102" s="72" t="str">
        <x:v>Not Applicable</x:v>
      </x:c>
      <x:c r="Q102" s="72" t="str">
        <x:v>Fixed in iOS build 19. Automated regression and two native saves pass; exact saved-record persistence also passes. Historical build 16 and build 18 failures remain unchanged. This iOS-only native patch does not change Android toast behavior.</x:v>
      </x:c>
      <x:c r="R102" s="72" t="str">
        <x:v>Observed with native UI, simctl video and extracted native frames. No iOS remote inspector used. No app fix or cold-persistence verification yet. Preserve both QA meals. Other shared flash callers have not been individually tested.
Build18 position-only fix moved the native toast below the top safe area, away from the banner. Both new21Aug saves passed: QA toast g0906 Breakfast350g488kcal and QA toast ml0906 Lunch200ml410kcal, combined898/P65/C110/F22. However the date heading remains visible through the translucent toast and interferes with its text, including the video sample returned at14.243s. This failed readability retest prompted an opaque background correction. No draft remains. Build18 install preserved all checked QA records and Aug22 totals898 exactly.
RUN-0413: Build 19 native retest passed both custom-food saves on 20 August: QA b19 grams, Breakfast 350 g, 488 kcal, P45/C50/F12; QA b19 ml, Lunch 200 ml, 410 kcal, P20/C60/F10. Each was submitted once and showed Adding meal, then one saved row. Both native confirmations were fully readable with a banner present: opaque background, no heading bleed, clear of the status bar and bottom banner. Combined total 898 kcal, P65/C110/F22, 1202 remaining. After a cold app relaunch, both UUIDs, dates, types, portions and values matched exactly; all checked stable record hashes/account binding were unchanged, with 23 meals and pending sync 0. Native Today showed both rows and matching totals.</x:v>
      </x:c>
    </x:row>
    <x:row r="103" ht="2829.60009765625" hidden="0" customHeight="1">
      <x:c r="A103" s="72" t="str">
        <x:v>DEF-099</x:v>
      </x:c>
      <x:c r="B103" s="72" t="str">
        <x:v>NUT-040</x:v>
      </x:c>
      <x:c r="C103" s="72" t="str">
        <x:v>UX</x:v>
      </x:c>
      <x:c r="D103" s="72" t="str">
        <x:v>Both</x:v>
      </x:c>
      <x:c r="E103" s="72" t="str">
        <x:v>Medium</x:v>
      </x:c>
      <x:c r="F103" s="72" t="str">
        <x:v>Custom-food name and portion errors remain after their values change</x:v>
      </x:c>
      <x:c r="G103" s="72" t="str">
        <x:v>On iOS build 19, submit a blank custom-food name; enter a 121-character name and observe the previous Required message remain. Submit to obtain the maximum-120 error, correct the name and submit portion 10001. Change the rejected portion to 0 and submit again: the native minimum-0.1 popup appears while the obsolete maximum-10000 error remains inline.</x:v>
      </x:c>
      <x:c r="H103" s="72" t="str">
        <x:v>Changing a field clears its obsolete server validation message without clearing unrelated errors or input values. The next submission validates the current value.</x:v>
      </x:c>
      <x:c r="I103" s="72" t="str">
        <x:v>iOS build 19, 18 August: blank name, 121-character name input and portion 10001 each show the appropriate required/maximum inline error while preserving the rest of the draft and keeping the form in view. Portion 0 triggers the native minimum-0.1 popup. None of these attempts saved a meal: total 24, selected day 0, outbox 0. New DEF-099: editing name leaves the old required/maximum message; changing portion from 10001 to 0 retains the obsolete maximum-10000 message alongside the native minimum popup. The old message describes the previous value and remains until another valid-browser submission replaces the server errors.
Build 20 passes the iOS stale-error regression: blank name plus portion 10001 display both errors; correcting name clears only its error, leaving the portion error. An overlength name is still rejected. Correcting name and changing portion to 0 clears both obsolete messages; submission shows only the correct native minimum-0.1 popup. Protein, carbs and fat at -1 each show a visible native minimum-zero popup. All rejected cases leave 24 meals, zero meals on 18 August and pending sync 0. Accepted minimum: QA b20 min, Breakfast 0.1 g with all macros cleared, saves once as 0 kcal/P0/C0/F0. Accepted maximum: QA b20 max, Lunch 10000 ml/P1000/C1000/F1000, saves once as 17000 kcal. Both dates/units/values/UUIDs verified in read-only QA storage; total 26 meals, selected day 2, pending 0. Native Today rows and totals match, with readable success confirmations. No draft remains.
Android build 20 passes independent field feedback: blank name plus portion 10001 show both errors; entering a valid name clears only its error. Exactly 121 characters remain rejected. Correcting portion to 0 clears only the obsolete portion error, preserving the overlength-name error. After correcting name, submitting 0 shows the proper native minimum-0.1 popup with no stale server error. Each macro at -1 shows its own native minimum-zero popup. The initially empty 17 August day has only the two deliberately accepted saves: QA b20 Android min, Breakfast 0.1 g, blank macros persisted as P0/C0/F0 and 0 kcal; QA b20 Android max, Lunch 10000 ml, P1000/C1000/F1000 and 17000 kcal. Both saved once with distinct UUIDs, dated totals/rows match, scroll returns to 0 and pending sync is 0. Native confirmation videos were reviewed. No unsaved draft remains.</x:v>
      </x:c>
      <x:c r="J103" s="72" t="str">
        <x:v>/Users/mason/.codex/visualizations/2026/09/01/01a05def-1c0d-76d1-abc6-07c63a443582/emulator-runs/retest/ios/NUT-040-b19-blank-name-ready.png
/Users/mason/.codex/visualizations/2026/09/01/01a05def-1c0d-76d1-abc6-07c63a443582/emulator-runs/retest/ios/NUT-040-b19-blank-name-error.png
/Users/mason/.codex/visualizations/2026/09/01/01a05def-1c0d-76d1-abc6-07c63a443582/emulator-runs/retest/ios/NUT-040-b19-long-name-error.png
/Users/mason/.codex/visualizations/2026/09/01/01a05def-1c0d-76d1-abc6-07c63a443582/emulator-runs/retest/ios/NUT-040-b19-portion-max-error.png
/Users/mason/.codex/visualizations/2026/09/01/01a05def-1c0d-76d1-abc6-07c63a443582/emulator-runs/retest/ios/NUT-040-b19-portion-min-native-error.png
/Users/mason/.codex/visualizations/2026/09/01/01a05def-1c0d-76d1-abc6-07c63a443582/inventory/ios-boundaries-b19-rejected.json
/Users/mason/.codex/visualizations/2026/09/01/01a05def-1c0d-76d1-abc6-07c63a443582/inventory/def099-before.log
/Users/mason/.codex/visualizations/2026/09/01/01a05def-1c0d-76d1-abc6-07c63a443582/inventory/def099-after.log
/Users/mason/.codex/visualizations/2026/09/01/01a05def-1c0d-76d1-abc6-07c63a443582/inventory/def099-types.log
/Users/mason/.codex/visualizations/2026/09/01/01a05def-1c0d-76d1-abc6-07c63a443582/inventory/ios-build19-after.json
/Users/mason/.codex/visualizations/2026/09/01/01a05def-1c0d-76d1-abc6-07c63a443582/emulator-runs/retest/ios/DEF-099-b20-paired-errors-ready.png
/Users/mason/.codex/visualizations/2026/09/01/01a05def-1c0d-76d1-abc6-07c63a443582/emulator-runs/retest/ios/DEF-099-b20-paired-errors.png
/Users/mason/.codex/visualizations/2026/09/01/01a05def-1c0d-76d1-abc6-07c63a443582/emulator-runs/retest/ios/DEF-099-b20-name-error-cleared.png
/Users/mason/.codex/visualizations/2026/09/01/01a05def-1c0d-76d1-abc6-07c63a443582/emulator-runs/retest/ios/DEF-099-b20-long-name-error.png
/Users/mason/.codex/visualizations/2026/09/01/01a05def-1c0d-76d1-abc6-07c63a443582/emulator-runs/retest/ios/DEF-099-b20-portion-error-cleared.png
/Users/mason/.codex/visualizations/2026/09/01/01a05def-1c0d-76d1-abc6-07c63a443582/emulator-runs/retest/ios/DEF-099-b20-correct-minimum-popup.png
/Users/mason/.codex/visualizations/2026/09/01/01a05def-1c0d-76d1-abc6-07c63a443582/emulator-runs/retest/ios/NUT-040-b20-protein-min-popup.png
/Users/mason/.codex/visualizations/2026/09/01/01a05def-1c0d-76d1-abc6-07c63a443582/emulator-runs/retest/ios/NUT-040-b20-carbs-min-popup.png
/Users/mason/.codex/visualizations/2026/09/01/01a05def-1c0d-76d1-abc6-07c63a443582/emulator-runs/retest/ios/NUT-040-b20-fat-min-popup.png
/Users/mason/.codex/visualizations/2026/09/01/01a05def-1c0d-76d1-abc6-07c63a443582/emulator-runs/retest/ios/NUT-040-b20-minimum-ready.png
/Users/mason/.codex/visualizations/2026/09/01/01a05def-1c0d-76d1-abc6-07c63a443582/emulator-runs/retest/ios/NUT-040-b20-minimum-save.mov
/Users/mason/.codex/visualizations/2026/09/01/01a05def-1c0d-76d1-abc6-07c63a443582/emulator-runs/retest/ios/NUT-040-b20-minimum-toast.png
/Users/mason/.codex/visualizations/2026/09/01/01a05def-1c0d-76d1-abc6-07c63a443582/emulator-runs/retest/ios/NUT-040-b20-minimum-saved.png
/Users/mason/.codex/visualizations/2026/09/01/01a05def-1c0d-76d1-abc6-07c63a443582/emulator-runs/retest/ios/NUT-040-b20-maximum-ready.png
/Users/mason/.codex/visualizations/2026/09/01/01a05def-1c0d-76d1-abc6-07c63a443582/emulator-runs/retest/ios/NUT-040-b20-maximum-save.mov
/Users/mason/.codex/visualizations/2026/09/01/01a05def-1c0d-76d1-abc6-07c63a443582/emulator-runs/retest/ios/NUT-040-b20-maximum-toast.png
/Users/mason/.codex/visualizations/2026/09/01/01a05def-1c0d-76d1-abc6-07c63a443582/emulator-runs/retest/ios/NUT-040-b20-maximum-saved.png
/Users/mason/.codex/visualizations/2026/09/01/01a05def-1c0d-76d1-abc6-07c63a443582/emulator-runs/retest/ios/NUT-040-b20-boundary-meals.png
/Users/mason/.codex/visualizations/2026/09/01/01a05def-1c0d-76d1-abc6-07c63a443582/inventory/ios-build20-before.json
/Users/mason/.codex/visualizations/2026/09/01/01a05def-1c0d-76d1-abc6-07c63a443582/inventory/ios-build20-after.json
/Users/mason/.codex/visualizations/2026/09/01/01a05def-1c0d-76d1-abc6-07c63a443582/inventory/ios-boundaries-b20-rejected.json
/Users/mason/.codex/visualizations/2026/09/01/01a05def-1c0d-76d1-abc6-07c63a443582/inventory/ios-boundaries-b20-minimum.json
/Users/mason/.codex/visualizations/2026/09/01/01a05def-1c0d-76d1-abc6-07c63a443582/inventory/ios-boundaries-b20-saved.json
/Users/mason/.codex/visualizations/2026/09/01/01a05def-1c0d-76d1-abc6-07c63a443582/inventory/def099-before.log
/Users/mason/.codex/visualizations/2026/09/01/01a05def-1c0d-76d1-abc6-07c63a443582/inventory/def099-after.log
/Users/mason/.codex/visualizations/2026/09/01/01a05def-1c0d-76d1-abc6-07c63a443582/inventory/def099-types.log
/Users/mason/.codex/visualizations/2026/09/01/01a05def-1c0d-76d1-abc6-07c63a443582/emulator-runs/retest/android/NUT-040-b20-aug17-before.json
/Users/mason/.codex/visualizations/2026/09/01/01a05def-1c0d-76d1-abc6-07c63a443582/emulator-runs/retest/android/DEF-099-b20-paired-errors.json
/Users/mason/.codex/visualizations/2026/09/01/01a05def-1c0d-76d1-abc6-07c63a443582/emulator-runs/retest/android/DEF-099-b20-paired-errors.png
/Users/mason/.codex/visualizations/2026/09/01/01a05def-1c0d-76d1-abc6-07c63a443582/emulator-runs/retest/android/DEF-099-b20-name-cleared.json
/Users/mason/.codex/visualizations/2026/09/01/01a05def-1c0d-76d1-abc6-07c63a443582/emulator-runs/retest/android/DEF-099-b20-name-cleared.png
/Users/mason/.codex/visualizations/2026/09/01/01a05def-1c0d-76d1-abc6-07c63a443582/emulator-runs/retest/android/NUT-040-b20-long-name.json
/Users/mason/.codex/visualizations/2026/09/01/01a05def-1c0d-76d1-abc6-07c63a443582/emulator-runs/retest/android/NUT-040-b20-long-name.png
/Users/mason/.codex/visualizations/2026/09/01/01a05def-1c0d-76d1-abc6-07c63a443582/emulator-runs/retest/android/DEF-099-b20-portion-cleared.json
/Users/mason/.codex/visualizations/2026/09/01/01a05def-1c0d-76d1-abc6-07c63a443582/emulator-runs/retest/android/DEF-099-b20-portion-cleared.png
/Users/mason/.codex/visualizations/2026/09/01/01a05def-1c0d-76d1-abc6-07c63a443582/emulator-runs/retest/android/NUT-040-b20-portion-min.json
/Users/mason/.codex/visualizations/2026/09/01/01a05def-1c0d-76d1-abc6-07c63a443582/emulator-runs/retest/android/NUT-040-b20-portion-min.png
/Users/mason/.codex/visualizations/2026/09/01/01a05def-1c0d-76d1-abc6-07c63a443582/emulator-runs/retest/android/NUT-040-b20-protein-min.json
/Users/mason/.codex/visualizations/2026/09/01/01a05def-1c0d-76d1-abc6-07c63a443582/emulator-runs/retest/android/NUT-040-b20-protein-min.png
/Users/mason/.codex/visualizations/2026/09/01/01a05def-1c0d-76d1-abc6-07c63a443582/emulator-runs/retest/android/NUT-040-b20-carbs-min.json
/Users/mason/.codex/visualizations/2026/09/01/01a05def-1c0d-76d1-abc6-07c63a443582/emulator-runs/retest/android/NUT-040-b20-carbs-min.png
/Users/mason/.codex/visualizations/2026/09/01/01a05def-1c0d-76d1-abc6-07c63a443582/emulator-runs/retest/android/NUT-040-b20-fat-min.json
/Users/mason/.codex/visualizations/2026/09/01/01a05def-1c0d-76d1-abc6-07c63a443582/emulator-runs/retest/android/NUT-040-b20-fat-min.png
/Users/mason/.codex/visualizations/2026/09/01/01a05def-1c0d-76d1-abc6-07c63a443582/emulator-runs/retest/android/NUT-040-b20-minimum-ready.json
/Users/mason/.codex/visualizations/2026/09/01/01a05def-1c0d-76d1-abc6-07c63a443582/emulator-runs/retest/android/NUT-040-b20-minimum-ready.png
/Users/mason/.codex/visualizations/2026/09/01/01a05def-1c0d-76d1-abc6-07c63a443582/emulator-runs/retest/android/NUT-040-b20-minimum-save.mp4
/Users/mason/.codex/visualizations/2026/09/01/01a05def-1c0d-76d1-abc6-07c63a443582/emulator-runs/retest/android/NUT-040-b20-minimum-confirmation.png
/Users/mason/.codex/visualizations/2026/09/01/01a05def-1c0d-76d1-abc6-07c63a443582/emulator-runs/retest/android/NUT-040-b20-minimum-saved.json
/Users/mason/.codex/visualizations/2026/09/01/01a05def-1c0d-76d1-abc6-07c63a443582/emulator-runs/retest/android/NUT-040-b20-maximum-ready.json
/Users/mason/.codex/visualizations/2026/09/01/01a05def-1c0d-76d1-abc6-07c63a443582/emulator-runs/retest/android/NUT-040-b20-maximum-ready.png
/Users/mason/.codex/visualizations/2026/09/01/01a05def-1c0d-76d1-abc6-07c63a443582/emulator-runs/retest/android/NUT-040-b20-maximum-save.mp4
/Users/mason/.codex/visualizations/2026/09/01/01a05def-1c0d-76d1-abc6-07c63a443582/emulator-runs/retest/android/NUT-040-b20-maximum-confirmation.png
/Users/mason/.codex/visualizations/2026/09/01/01a05def-1c0d-76d1-abc6-07c63a443582/emulator-runs/retest/android/NUT-040-b20-maximum-saved.json
/Users/mason/.codex/visualizations/2026/09/01/01a05def-1c0d-76d1-abc6-07c63a443582/emulator-runs/retest/android/DEF-099-b20-preserved-aug23.png
/Users/mason/.codex/visualizations/2026/09/01/01a05def-1c0d-76d1-abc6-07c63a443582/inventory/android-build20-before.json
/Users/mason/.codex/visualizations/2026/09/01/01a05def-1c0d-76d1-abc6-07c63a443582/inventory/android-build20-install-provenance.json
/Users/mason/.codex/visualizations/2026/09/01/01a05def-1c0d-76d1-abc6-07c63a443582/inventory/android-build20-ui-before.json
/Users/mason/.codex/visualizations/2026/09/01/01a05def-1c0d-76d1-abc6-07c63a443582/inventory/android-build20-ui-after.json
/Users/mason/.codex/visualizations/2026/09/01/01a05def-1c0d-76d1-abc6-07c63a443582/inventory/def099-after.log
/Users/mason/.codex/visualizations/2026/09/01/01a05def-1c0d-76d1-abc6-07c63a443582/inventory/def099-types.log
/Users/mason/.codex/visualizations/2026/09/01/01a05def-1c0d-76d1-abc6-07c63a443582/inventory/android-custom-scroll-b17-evidence.json</x:v>
      </x:c>
      <x:c r="K103" s="72" t="str">
        <x:v>The shared custom/photo-review form attaches field-specific clearErrors only to macros. Name, portion_quantity and portion_unit have no model-update error-clearing handlers; Inertia retains those previous server errors while their values change.</x:v>
      </x:c>
      <x:c r="L103" s="72" t="str">
        <x:v>Fixed</x:v>
      </x:c>
      <x:c r="M103" s="72" t="str">
        <x:v>Reuse the existing macro-input pattern: add field-specific clearErrors handlers to name, portion quantity and unit in the shared custom/photo-review form. No new watcher, helper or validation rules.</x:v>
      </x:c>
      <x:c r="N103" s="72" t="str">
        <x:v>/Users/mason/Sites/Buff/resources/js/Pages/Add.vue:1394
/Users/mason/Sites/Buff/tests/recipeDesign.test.ts:73
New regression executes the actual template callbacks with real useForm errors and verifies only the edited field clears while all input values remain. It failed before the fix. Focused 15/15, TypeScript and diff check pass.</x:v>
      </x:c>
      <x:c r="O103" s="72" t="str">
        <x:v>Passed</x:v>
      </x:c>
      <x:c r="P103" s="72" t="str">
        <x:v>Passed</x:v>
      </x:c>
      <x:c r="Q103" s="72" t="str">
        <x:v>Fixed in shared Add.vue, installed in build20 on both platforms. Focused regression failed before the fix and passes after it; independent native name/portion correction passes on iOS RUN0416 and Android RUN0417. Photo-review template shares these handlers; its separate native journey remains outside these runs.</x:v>
      </x:c>
      <x:c r="R103" s="72" t="str">
        <x:v>Observed on iOS; shared source affects both custom food and photo-review forms on both platforms. Android and photo-review native reproduction remain untested. Do not mark Fixed from source checks alone.
RUN-0416: iOS custom-food form passes. No direct photo-review native test or Android pass is claimed.
RUN-0417: Android native retest passes; both applicable defect retest cells Passed. Historical failed runs are preserved.</x:v>
      </x:c>
    </x:row>
    <x:row r="104" ht="255.60000610351562" hidden="0" customHeight="1">
      <x:c r="A104" s="72" t="str">
        <x:v>DEF-100</x:v>
      </x:c>
      <x:c r="B104" s="72" t="str">
        <x:v>NUT-020, NUT-045</x:v>
      </x:c>
      <x:c r="C104" s="72" t="str">
        <x:v>Logistical</x:v>
      </x:c>
      <x:c r="D104" s="72" t="str">
        <x:v>Both</x:v>
      </x:c>
      <x:c r="E104" s="72" t="str">
        <x:v>Medium</x:v>
      </x:c>
      <x:c r="F104" s="72" t="str">
        <x:v>Shared search input sends the previous value instead of the visible query</x:v>
      </x:c>
      <x:c r="G104" s="72" t="str">
        <x:v>On Android build21 open New recipe, type Thai peanut rapidly, then replace with Ab. Compare visible native input with the search request query.</x:v>
      </x:c>
      <x:c r="H104" s="72" t="str">
        <x:v>Search uses the complete current value; a two-character query searches, and clearing cancels stale results.</x:v>
      </x:c>
      <x:c r="I104" s="72" t="str">
        <x:v>Thai peanut sends q=Thai+peanu; Ab sends no request because its listener sees A. Shared Input native @input callback runs after the forwarded search callback.</x:v>
      </x:c>
      <x:c r="J104" s="72" t="str">
        <x:v>/Users/mason/.codex/visualizations/2026/09/01/01a05def-1c0d-76d1-abc6-07c63a443582/emulator-runs/retest/android/NUT-045-b21-one-character.json
/Users/mason/.codex/visualizations/2026/09/01/01a05def-1c0d-76d1-abc6-07c63a443582/emulator-runs/retest/android/NUT-045-b21-rapid-query.json
/Users/mason/.codex/visualizations/2026/09/01/01a05def-1c0d-76d1-abc6-07c63a443582/emulator-runs/retest/android/NUT-045-b21-rapid-query.png
/Users/mason/.codex/visualizations/2026/09/01/01a05def-1c0d-76d1-abc6-07c63a443582/emulator-runs/retest/android/NUT-045-b21-two-character.json</x:v>
      </x:c>
      <x:c r="K104" s="72" t="str">
        <x:v>Input.vue binds attrs before its own input handler, so merged forwarded onInput listeners execute before updateValue updates the v-model consumed by both queueFoodSearch callers.</x:v>
      </x:c>
      <x:c r="L104" s="72" t="str">
        <x:v>Fixed</x:v>
      </x:c>
      <x:c r="M104" s="72" t="str">
        <x:v>Move the existing @input="updateValue" before v-bind="attrs" in the shared native input. No caller-specific patch or new dependency.</x:v>
      </x:c>
      <x:c r="N104" s="72" t="str">
        <x:v>/Users/mason/Sites/Buff/resources/js/Components/ui/input/Input.vue:36
/Users/mason/Sites/Buff/tests/foodRequests.test.ts:8
38 focused tests and TypeScript passed; new behavior regression failed before the fix.</x:v>
      </x:c>
      <x:c r="O104" s="72" t="str">
        <x:v>Passed</x:v>
      </x:c>
      <x:c r="P104" s="72" t="str">
        <x:v>Passed</x:v>
      </x:c>
      <x:c r="Q104" s="72" t="str">
        <x:v>Build22 native search in both consumers passes current-value, two-character, and clearing checks. Android exact requests and iOS 121-character validation boundary confirm the full model value. Broader stale-response coverage is tracked separately.</x:v>
      </x:c>
      <x:c r="R104" s="72" t="str">
        <x:v>Distinct from debounce/rate-limit DEF031 and stale response DEF015. Native Android reproduction proven; iOS scope is the shared component pending native verification.
RUN-0427–0430: Build22 shared Input ordering passes native recipe and All foods search on both platforms. Android Ab sends q=Ab in both consumers; rapid Thai peanut sends one complete query 250.4ms after final input. iOS two-character All foods returns products and 121-character queries in both screens reach the 120-character server boundary. Both clear one-character/empty states correctly. Recipe error/Retry/recovery passes visible checks; iOS product selection clears search and Cancel/reopen resets the draft. Deliberately delayed stale responses and pending cancellation races remain unverified. Initial iOS cells are preserved; aggregate retests remain Blocked.</x:v>
      </x:c>
    </x:row>
    <x:row r="105" ht="229.1999969482422" hidden="0" customHeight="1">
      <x:c r="A105" s="72" t="str">
        <x:v>DEF-101</x:v>
      </x:c>
      <x:c r="B105" s="72" t="str">
        <x:v>NUT-045</x:v>
      </x:c>
      <x:c r="C105" s="72" t="str">
        <x:v>UX</x:v>
      </x:c>
      <x:c r="D105" s="72" t="str">
        <x:v>Both</x:v>
      </x:c>
      <x:c r="E105" s="72" t="str">
        <x:v>Medium</x:v>
      </x:c>
      <x:c r="F105" s="72" t="str">
        <x:v>Selecting a recipe ingredient lets queued search results return under an empty query</x:v>
      </x:c>
      <x:c r="G105" s="72" t="str">
        <x:v>Search Thai sesame on Android (milk on iOS), append noodles (chocolate on iOS), then immediately select a still-displayed ingredient before the replacement search settles.</x:v>
      </x:c>
      <x:c r="H105" s="72" t="str">
        <x:v>Selecting the ingredient clears search and cancels queued work; late success or failure cannot repopulate results or errors.</x:v>
      </x:c>
      <x:c r="I105" s="72" t="str">
        <x:v>The ingredient is added once and the query clears, but a queued search still runs and late products reappear below the blank input.</x:v>
      </x:c>
      <x:c r="J105" s="72" t="str">
        <x:v>/Users/mason/.codex/visualizations/2026/09/01/01a05def-1c0d-76d1-abc6-07c63a443582/emulator-runs/retest/android/NUT-045-b22-selection-race-immediate.json
/Users/mason/.codex/visualizations/2026/09/01/01a05def-1c0d-76d1-abc6-07c63a443582/emulator-runs/retest/android/NUT-045-b22-selection-race-late.json
/Users/mason/.codex/visualizations/2026/09/01/01a05def-1c0d-76d1-abc6-07c63a443582/emulator-runs/retest/android/NUT-045-b22-selection-race-late.png
/Users/mason/.codex/visualizations/2026/09/01/01a05def-1c0d-76d1-abc6-07c63a443582/emulator-runs/retest/ios/NUT-045-b22-selection-race-late.png</x:v>
      </x:c>
      <x:c r="K105" s="72" t="str">
        <x:v>RecipeMode.addProduct clears only searchQuery/searchResults. It bypasses resetFoodSearch, leaving the debounce timer, generation, loading and errors alive.</x:v>
      </x:c>
      <x:c r="L105" s="72" t="str">
        <x:v>Fixed</x:v>
      </x:c>
      <x:c r="M105" s="72" t="str">
        <x:v>Replace the two partial clear assignments in addProduct with the existing resetFoodSearch() call.</x:v>
      </x:c>
      <x:c r="N105" s="72" t="str">
        <x:v>/Users/mason/Sites/Buff/resources/js/Components/RecipeMode.vue:246
/Users/mason/Sites/Buff/tests/foodRequests.test.ts:42
Three regression cases failed before fix and pass after;41 focused tests, TypeScript and diff check pass.</x:v>
      </x:c>
      <x:c r="O105" s="72" t="str">
        <x:v>Passed</x:v>
      </x:c>
      <x:c r="P105" s="72" t="str">
        <x:v>Passed</x:v>
      </x:c>
      <x:c r="Q105" s="72" t="str">
        <x:v>One existing resetFoodSearch() call now cancels queued searches and invalidates late responses after product selection. Native23 passes both platforms; deterministic source checks cover queued work, late success and late failure.</x:v>
      </x:c>
      <x:c r="R105" s="72" t="str">
        <x:v>Different from DEF100 current-value event ordering. No recipe or meal saved during reproduction.
RUN-0433–0434: DEF101 fixed and native23 verified on both platforms. Exact queued selection reproduction no longer repopulates results. Android selected230.1ms after final input and canceled the pending timer without a replacement request. A second selection at283525ms happened during the request started283133.3ms; its200 response completed945.1ms after start and was ignored. Search stays empty with no loading/error. Each tap appends one100g ingredient. iOS milk + chocolate then immediate selection stays cleared after settling. Both draft tests were cancelled, not saved. Full NUT045 remaining stale-query/cancel and timing cases remain Blocked.</x:v>
      </x:c>
    </x:row>
    <x:row r="106" ht="84" hidden="0" customHeight="1">
      <x:c r="A106" s="72" t="str">
        <x:v>DEF-102</x:v>
      </x:c>
      <x:c r="B106" s="72" t="str">
        <x:v>ACC-082</x:v>
      </x:c>
      <x:c r="C106" s="72" t="str">
        <x:v>Logistical</x:v>
      </x:c>
      <x:c r="D106" s="72" t="str">
        <x:v>iOS</x:v>
      </x:c>
      <x:c r="E106" s="72" t="str">
        <x:v>High</x:v>
      </x:c>
      <x:c r="F106" s="72" t="str">
        <x:v>iOS release build number advances after PHP bundling and leaves runtime metadata one build behind</x:v>
      </x:c>
      <x:c r="G106" s="72" t="str">
        <x:v>Run native:package ios --rebuild, then compare signed IPA Info.plist build with app.zip .env, bundled.version and bundle_meta.json.</x:v>
      </x:c>
      <x:c r="H106" s="72" t="str">
        <x:v>Every version marker in a signed release identifies the same build.</x:v>
      </x:c>
      <x:c r="I106" s="72" t="str">
        <x:v>Native build25 contained PHP environment24 and older boot metadata.</x:v>
      </x:c>
      <x:c r="J106" s="72" t="str">
        <x:v>/Users/mason/.codex/visualizations/2026/09/06/01a07722-2d43-7910-aa74-f3a7d9489dc2/release-qa/ios-release-verification.json</x:v>
      </x:c>
      <x:c r="K106" s="72" t="str">
        <x:v>NativePHP4.3.0 BuildIosAppCommand creates app.zip and metadata before updateBuildNumber increments Xcode/root environment.</x:v>
      </x:c>
      <x:c r="L106" s="72" t="str">
        <x:v>Fixed</x:v>
      </x:c>
      <x:c r="M106" s="72" t="str">
        <x:v>Existing post-compile shell hook reconciles the iOS packaged environment and boot metadata against configured Xcode version before archive/signing.</x:v>
      </x:c>
      <x:c r="N106" s="72" t="str">
        <x:v>InstallNativeShellIntegrationsCommand.php; NativePluginHooksTest10/10,164 assertions. Full PHP411/411,3283 assertions; Pint and diff check pass.</x:v>
      </x:c>
      <x:c r="O106" s="72" t="str">
        <x:v>Passed</x:v>
      </x:c>
      <x:c r="P106" s="72" t="str">
        <x:v>Not Run</x:v>
      </x:c>
      <x:c r="Q106" s="72" t="str">
        <x:v>Rebuilt and signed IPA26: Info.plist, bundled .env, bundle_meta and bundled.version all1.0.0b26. Exact current ads source and iOS assets included; public/hot absent. codesign --verify --deep --strict passes. No upload.</x:v>
      </x:c>
      <x:c r="R106" s="72" t="str">
        <x:v>/Users/mason/.codex/visualizations/2026/09/06/01a07722-2d43-7910-aa74-f3a7d9489dc2/release-qa/ios-release26-verification.json</x:v>
      </x:c>
    </x:row>
    <x:row r="107" ht="163.1999969482422" hidden="0" customHeight="1">
      <x:c r="A107" s="72" t="str">
        <x:v>DEF-103</x:v>
      </x:c>
      <x:c r="B107" s="72" t="str">
        <x:v>NUT-083, NUT-084, NUT-090</x:v>
      </x:c>
      <x:c r="C107" s="72" t="str">
        <x:v>Logic</x:v>
      </x:c>
      <x:c r="D107" s="72" t="str">
        <x:v>Both</x:v>
      </x:c>
      <x:c r="E107" s="72" t="str">
        <x:v>High</x:v>
      </x:c>
      <x:c r="F107" s="72" t="str">
        <x:v>Meal editor rejects its own saved hundredth-precision nutrition</x:v>
      </x:c>
      <x:c r="G107" s="72" t="str">
        <x:v>Save a 150 g barcode meal with P9.45/C86.25/F46.35 and 809 kcal. Open Edit, select Macros, change only Snacks to Breakfast, and press Save meal.</x:v>
      </x:c>
      <x:c r="H107" s="72" t="str">
        <x:v>The saved two-decimal values are valid. Metadata saves without changing the stored nutrition. Hundredth-precision portions must also remain editable.</x:v>
      </x:c>
      <x:c r="I107" s="72" t="str">
        <x:v>On the pre-precision Android debug24 build, macros9.45/86.25/46.35 had step=0.1 and validity.valid=false. Save did not submit. Exact native evidence is retained.</x:v>
      </x:c>
      <x:c r="J107" s="72" t="str">
        <x:v>/Users/mason/.codex/visualizations/2026/09/06/01a07722-2d43-7910-aa74-f3a7d9489dc2/release-qa/DEF-103-native-step-mismatch.json</x:v>
      </x:c>
      <x:c r="K107" s="72" t="str">
        <x:v>Today copies exact persisted values into editMealForm, but both numeric control declarations use step=0.1. Native HTML constraint validation prevents submission before the existing Inertia save handler.</x:v>
      </x:c>
      <x:c r="L107" s="72" t="str">
        <x:v>Fixed</x:v>
      </x:c>
      <x:c r="M107" s="72" t="str">
        <x:v>Use step=0.01 for the shared macro field and portion field in the meal editor, matching MealEntry decimal:2 storage. Preserve minimum constraints and server validation.</x:v>
      </x:c>
      <x:c r="N107" s="72" t="str">
        <x:v>resources/js/Pages/Today.vue; tests/mealEditValidation.test.ts. New precision regression fails before the two-attribute fix and passes afterward. All230 frontend tests, type check and42 MealEntry tests/369 assertions pass.</x:v>
      </x:c>
      <x:c r="O107" s="72" t="str">
        <x:v>Passed</x:v>
      </x:c>
      <x:c r="P107" s="72" t="str">
        <x:v>Passed</x:v>
      </x:c>
      <x:c r="Q107" s="72" t="str">
        <x:v>Native debug27 retest Passed on Android and iOS. The loaded9.45/86.25/46.35 values save without rounding, the editor closes and classification changes persist. Android confirms step0.01 and valid form; iOS performs the same save through native UI. Android receives the iOS-saved Lunch record with809kcal and unchanged exact macros. The portion declaration also accepts hundredths under the regression. Signed Android29 AAB/APK and iOS28 IPA include the precision fix and correct platform assets; signatures and release metadata verified.</x:v>
      </x:c>
      <x:c r="R107" s="72" t="str">
        <x:v>2026-09-08 final publication update: Android30 submitted to Google; iOS31 now replaces old build12 and all four Apple items are WAITING_FOR_REVIEW. Apple submission a5b6309d-f08a-4d3b-8d24-2d73b27441c7 contains app build31, Buff+ Monthly, Buff+ Annual and Buff+ group. Existing manual-release setting retained. Evidence: /Users/mason/.codex/visualizations/2026/09/06/01a07722-2d43-7910-aa74-f3a7d9489dc2/release-qa/release-final-verification.json</x:v>
      </x:c>
    </x:row>
  </x:sheetData>
  <x:mergeCells>
    <x:mergeCell ref="A1:R1"/>
    <x:mergeCell ref="A2:R2"/>
  </x:mergeCells>
  <x:conditionalFormatting sqref="L5:P204">
    <x:cfRule type="containsText" dxfId="49" priority="1" operator="containsText" text="Passed"/>
    <x:cfRule type="containsText" dxfId="50" priority="2" operator="containsText" text="Verified"/>
    <x:cfRule type="containsText" dxfId="51" priority="3" operator="containsText" text="Failed"/>
    <x:cfRule type="containsText" dxfId="52" priority="4" operator="containsText" text="Defect"/>
    <x:cfRule type="containsText" dxfId="53" priority="5" operator="containsText" text="Blocked"/>
    <x:cfRule type="containsText" dxfId="54" priority="6" operator="containsText" text="Not Run"/>
    <x:cfRule type="containsText" dxfId="55" priority="7" operator="containsText" text="Not Applicable"/>
  </x:conditionalFormatting>
  <x:dataValidations count="6">
    <x:dataValidation type="list" sqref="C5:C204">
      <x:formula1>"Logistical,UX,Both"</x:formula1>
    </x:dataValidation>
    <x:dataValidation type="list" sqref="D5:D204">
      <x:formula1>"iOS,Android,Both"</x:formula1>
    </x:dataValidation>
    <x:dataValidation type="list" sqref="E5:E204">
      <x:formula1>"Critical,High,Medium,Low"</x:formula1>
    </x:dataValidation>
    <x:dataValidation type="list" sqref="L5:L204">
      <x:formula1>"Open,In Progress,Fixed,Closed,Blocked,Cannot Reproduce"</x:formula1>
    </x:dataValidation>
    <x:dataValidation type="list" sqref="O5:O204">
      <x:formula1>"Not Run,Passed,Failed,Blocked,Not Applicable"</x:formula1>
    </x:dataValidation>
    <x:dataValidation type="list" sqref="P5:P204">
      <x:formula1>"Not Run,Passed,Failed,Blocked,Not Applicable"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2" hidden="0" customWidth="1"/>
    <x:col min="4" max="4" width="12" hidden="0" customWidth="1"/>
    <x:col min="5" max="5" width="24" hidden="0" customWidth="1"/>
    <x:col min="6" max="6" width="14" hidden="0" customWidth="1"/>
    <x:col min="7" max="7" width="22" hidden="0" customWidth="1"/>
    <x:col min="8" max="8" width="20" hidden="0" customWidth="1"/>
    <x:col min="9" max="9" width="14" hidden="0" customWidth="1"/>
    <x:col min="10" max="10" width="50" hidden="0" customWidth="1"/>
    <x:col min="11" max="11" width="60" hidden="0" customWidth="1"/>
    <x:col min="12" max="12" width="16" hidden="0" customWidth="1"/>
    <x:col min="13" max="13" width="42" hidden="0" customWidth="1"/>
  </x:cols>
  <x:sheetData>
    <x:row r="1" ht="32" customHeight="1">
      <x:c r="A1" s="3" t="str">
        <x:v>Emulator Test Runs</x:v>
      </x:c>
      <x:c r="B1" s="3"/>
      <x:c r="C1" s="3"/>
      <x:c r="D1" s="3"/>
      <x:c r="E1" s="3"/>
      <x:c r="F1" s="3"/>
      <x:c r="G1" s="3"/>
      <x:c r="H1" s="3"/>
      <x:c r="I1" s="3"/>
      <x:c r="J1" s="3"/>
      <x:c r="K1" s="3"/>
      <x:c r="L1" s="3"/>
      <x:c r="M1" s="3"/>
    </x:row>
    <x:row r="2" ht="30" customHeight="1">
      <x:c r="A2" s="7" t="str">
        <x:v>Append one row for each story/platform/phase execution; evidence may be a screenshot path, log reference, or concise observation.</x:v>
      </x:c>
      <x:c r="B2" s="7"/>
      <x:c r="C2" s="7"/>
      <x:c r="D2" s="7"/>
      <x:c r="E2" s="7"/>
      <x:c r="F2" s="7"/>
      <x:c r="G2" s="7"/>
      <x:c r="H2" s="7"/>
      <x:c r="I2" s="7"/>
      <x:c r="J2" s="7"/>
      <x:c r="K2" s="7"/>
      <x:c r="L2" s="7"/>
      <x:c r="M2" s="7"/>
    </x:row>
    <x:row r="4" ht="34" customHeight="1">
      <x:c r="A4" s="16" t="str">
        <x:v>Run ID</x:v>
      </x:c>
      <x:c r="B4" s="17" t="str">
        <x:v>Story ID</x:v>
      </x:c>
      <x:c r="C4" s="17" t="str">
        <x:v>Phase</x:v>
      </x:c>
      <x:c r="D4" s="17" t="str">
        <x:v>Platform</x:v>
      </x:c>
      <x:c r="E4" s="17" t="str">
        <x:v>Device</x:v>
      </x:c>
      <x:c r="F4" s="17" t="str">
        <x:v>OS Version</x:v>
      </x:c>
      <x:c r="G4" s="17" t="str">
        <x:v>Build / Commit</x:v>
      </x:c>
      <x:c r="H4" s="17" t="str">
        <x:v>Run At</x:v>
      </x:c>
      <x:c r="I4" s="17" t="str">
        <x:v>Result</x:v>
      </x:c>
      <x:c r="J4" s="17" t="str">
        <x:v>Evidence</x:v>
      </x:c>
      <x:c r="K4" s="17" t="str">
        <x:v>Actual Behavior / Error</x:v>
      </x:c>
      <x:c r="L4" s="17" t="str">
        <x:v>Defect ID</x:v>
      </x:c>
      <x:c r="M4" s="18" t="str">
        <x:v>Notes</x:v>
      </x:c>
    </x:row>
    <x:row r="5">
      <x:c r="A5" t="str">
        <x:v>RUN-0001</x:v>
      </x:c>
      <x:c r="B5" t="str">
        <x:v>NUT-005</x:v>
      </x:c>
      <x:c r="C5" t="str">
        <x:v>Initial</x:v>
      </x:c>
      <x:c r="D5" t="str">
        <x:v>Android</x:v>
      </x:c>
      <x:c r="E5" t="str">
        <x:v>Medium_Phone</x:v>
      </x:c>
      <x:c r="F5" t="str">
        <x:v>Android 17</x:v>
      </x:c>
      <x:c r="G5" t="str">
        <x:v>9e9dcf1+dirty; com.spacemancodes.buff 1.0.0 (12), updated 2026-09-01 19:37 BST</x:v>
      </x:c>
      <x:c r="H5" s="60" t="n">
        <x:v>46266.78229166667</x:v>
      </x:c>
      <x:c r="I5" t="str">
        <x:v>Passed</x:v>
      </x:c>
      <x:c r="J5" t="str">
        <x:v>/Users/mason/.codex/visualizations/2026/09/01/01a05def-1c0d-76d1-abc6-07c63a443582/emulator-runs/initial/android/NUT-005-add-drawer.png
/Users/mason/.codex/visualizations/2026/09/01/01a05def-1c0d-76d1-abc6-07c63a443582/emulator-runs/initial/android/NUT-005-after-back.png</x:v>
      </x:c>
      <x:c r="K5" t="str">
        <x:v>Exactly one Start today card appeared with Add food and Add workout; Add food opened the global add drawer; Android Back closed the drawer and left the route at /.</x:v>
      </x:c>
      <x:c r="L5" t="str"/>
      <x:c r="M5" t="str">
        <x:v>Meal and workout lists remained hidden on the empty current day.</x:v>
      </x:c>
    </x:row>
    <x:row r="6">
      <x:c r="A6" t="str">
        <x:v>RUN-0002</x:v>
      </x:c>
      <x:c r="B6" t="str">
        <x:v>HLT-051</x:v>
      </x:c>
      <x:c r="C6" t="str">
        <x:v>Initial</x:v>
      </x:c>
      <x:c r="D6" t="str">
        <x:v>Android</x:v>
      </x:c>
      <x:c r="E6" t="str">
        <x:v>Medium_Phone</x:v>
      </x:c>
      <x:c r="F6" t="str">
        <x:v>Android 17</x:v>
      </x:c>
      <x:c r="G6" t="str">
        <x:v>9e9dcf1+dirty; com.spacemancodes.buff 1.0.0 (12), updated 2026-09-01 19:37 BST</x:v>
      </x:c>
      <x:c r="H6" s="60" t="n">
        <x:v>46266.78229166667</x:v>
      </x:c>
      <x:c r="I6" t="str">
        <x:v>Blocked</x:v>
      </x:c>
      <x:c r="J6" t="str">
        <x:v>/Users/mason/.codex/visualizations/2026/09/01/01a05def-1c0d-76d1-abc6-07c63a443582/emulator-runs/initial/android/HLT-051-empty-today.png
/Users/mason/.codex/visualizations/2026/09/01/01a05def-1c0d-76d1-abc6-07c63a443582/emulator-runs/initial/android/HLT-051-settings-health.png</x:v>
      </x:c>
      <x:c r="K6" t="str">
        <x:v>The empty Today screen exposed no health control, while Settings &gt; Health Connect was reachable and connected. The disconnected-state variant cannot be exercised without changing the retained integration state.</x:v>
      </x:c>
      <x:c r="L6" t="str">
        <x:v>DEF-001</x:v>
      </x:c>
      <x:c r="M6" t="str">
        <x:v>Connected-state UX defect reproduced. Disconnected Connect behavior remains pending.</x:v>
      </x:c>
    </x:row>
    <x:row r="7">
      <x:c r="A7" t="str">
        <x:v>RUN-0003</x:v>
      </x:c>
      <x:c r="B7" t="str">
        <x:v>ACC-082</x:v>
      </x:c>
      <x:c r="C7" t="str">
        <x:v>Initial</x:v>
      </x:c>
      <x:c r="D7" t="str">
        <x:v>Android</x:v>
      </x:c>
      <x:c r="E7" t="str">
        <x:v>Android release AAB artifact audit</x:v>
      </x:c>
      <x:c r="F7" t="str">
        <x:v>Android 17 emulator DNS verification</x:v>
      </x:c>
      <x:c r="G7" t="str">
        <x:v>AAB SHA-256 d0ca19af4fcdac5f414344a226d48c8b59589fb235f88f4f95e3cb9e2411da85</x:v>
      </x:c>
      <x:c r="H7" s="60" t="n">
        <x:v>46266.78229166667</x:v>
      </x:c>
      <x:c r="I7" t="str">
        <x:v>Blocked</x:v>
      </x:c>
      <x:c r="J7" t="str">
        <x:v>/Users/mason/Sites/Buff/nativephp/android/app/build/outputs/bundle/release/app-release.aab</x:v>
      </x:c>
      <x:c r="K7" t="str">
        <x:v>Fresh release-launch testing is blocked because the AAB embeds public/hot=https://Buff.test:5173 and the emulator cannot resolve Buff.test.</x:v>
      </x:c>
      <x:c r="L7" t="str">
        <x:v>DEF-002</x:v>
      </x:c>
      <x:c r="M7" t="str">
        <x:v>Debug-build launch/refresh behavior remains separately testable and pending.</x:v>
      </x:c>
    </x:row>
    <x:row r="8">
      <x:c r="A8" t="str">
        <x:v>RUN-0004</x:v>
      </x:c>
      <x:c r="B8" t="str">
        <x:v>ACC-004</x:v>
      </x:c>
      <x:c r="C8" t="str">
        <x:v>Initial</x:v>
      </x:c>
      <x:c r="D8" t="str">
        <x:v>iOS</x:v>
      </x:c>
      <x:c r="E8" t="str">
        <x:v>iPhone 17 Pro</x:v>
      </x:c>
      <x:c r="F8" t="str">
        <x:v>iOS 26.5</x:v>
      </x:c>
      <x:c r="G8" t="str">
        <x:v>9e9dcf1+dirty; com.spacemancodes.buff 1.0.0 (14), packaged 2026-09-01 19:43 BST</x:v>
      </x:c>
      <x:c r="H8" s="60" t="n">
        <x:v>46266.788402777776</x:v>
      </x:c>
      <x:c r="I8" t="str">
        <x:v>Failed</x:v>
      </x:c>
      <x:c r="J8" t="str">
        <x:v>/Users/mason/.codex/visualizations/2026/09/01/01a05def-1c0d-76d1-abc6-07c63a443582/emulator-runs/initial/ios/ACC-004-blank-name-disabled.png
/Users/mason/.codex/visualizations/2026/09/01/01a05def-1c0d-76d1-abc6-07c63a443582/emulator-runs/initial/ios/ACC-004-blank-name-bypassed.png
/Users/mason/.codex/visualizations/2026/09/01/01a05def-1c0d-76d1-abc6-07c63a443582/emulator-runs/initial/ios/ACC-004-invalid-email-disabled.png
/Users/mason/.codex/visualizations/2026/09/01/01a05def-1c0d-76d1-abc6-07c63a443582/emulator-runs/initial/ios/ACC-004-invalid-email-bypassed.png
/Users/mason/.codex/visualizations/2026/09/01/01a05def-1c0d-76d1-abc6-07c63a443582/emulator-runs/initial/ios/ACC-004-password-seven-disabled.png
/Users/mason/.codex/visualizations/2026/09/01/01a05def-1c0d-76d1-abc6-07c63a443582/emulator-runs/initial/ios/ACC-004-password-eight-enabled.png</x:v>
      </x:c>
      <x:c r="K8" t="str">
        <x:v>Back and provider selection worked; 7-character password kept Create account disabled, 8 enabled it, and visibility toggling preserved the value. The run failed because keyboard Return bypassed blank-name and malformed-email validation, and the progress indicator used 4/14 instead of 4/4.</x:v>
      </x:c>
      <x:c r="L8" t="str">
        <x:v>DEF-004</x:v>
      </x:c>
      <x:c r="M8" t="str">
        <x:v>DEF-005 records the independent progress defect. Final Create account and social-provider launch were deliberately not invoked.</x:v>
      </x:c>
    </x:row>
    <x:row r="9">
      <x:c r="A9" t="str">
        <x:v>RUN-0005</x:v>
      </x:c>
      <x:c r="B9" t="str">
        <x:v>NUT-004</x:v>
      </x:c>
      <x:c r="C9" t="str">
        <x:v>Initial</x:v>
      </x:c>
      <x:c r="D9" t="str">
        <x:v>Android</x:v>
      </x:c>
      <x:c r="E9" t="str">
        <x:v>Medium_Phone</x:v>
      </x:c>
      <x:c r="F9" t="str">
        <x:v>Android 17</x:v>
      </x:c>
      <x:c r="G9" t="str">
        <x:v>9e9dcf1+dirty; com.spacemancodes.buff 1.0.0 (12)</x:v>
      </x:c>
      <x:c r="H9" s="60" t="n">
        <x:v>46266.79340277778</x:v>
      </x:c>
      <x:c r="I9" t="str">
        <x:v>Failed</x:v>
      </x:c>
      <x:c r="J9" t="str">
        <x:v>/Users/mason/.codex/visualizations/2026/09/01/01a05def-1c0d-76d1-abc6-07c63a443582/emulator-runs/initial/android/NUT-004-calendar-august.png
/Users/mason/.codex/visualizations/2026/09/01/01a05def-1c0d-76d1-abc6-07c63a443582/emulator-runs/initial/android/NUT-004-selected-august-15.png
/Users/mason/.codex/visualizations/2026/09/01/01a05def-1c0d-76d1-abc6-07c63a443582/emulator-runs/initial/android/NUT-004-same-date-stays-open.png</x:v>
      </x:c>
      <x:c r="K9" t="str">
        <x:v>The en-GB month/year calendar navigated to August; selecting 15 August closed it and visited the dated Today page. Re-selecting 15 August kept the URL/history unchanged but failed to close the picker.</x:v>
      </x:c>
      <x:c r="L9" t="str">
        <x:v>DEF-006</x:v>
      </x:c>
      <x:c r="M9" t="str">
        <x:v>Different-date and same-date branches were both executed.</x:v>
      </x:c>
    </x:row>
    <x:row r="10">
      <x:c r="A10" t="str">
        <x:v>RUN-0006</x:v>
      </x:c>
      <x:c r="B10" t="str">
        <x:v>NUT-006</x:v>
      </x:c>
      <x:c r="C10" t="str">
        <x:v>Initial</x:v>
      </x:c>
      <x:c r="D10" t="str">
        <x:v>Android</x:v>
      </x:c>
      <x:c r="E10" t="str">
        <x:v>Medium_Phone</x:v>
      </x:c>
      <x:c r="F10" t="str">
        <x:v>Android 17</x:v>
      </x:c>
      <x:c r="G10" t="str">
        <x:v>9e9dcf1+dirty; com.spacemancodes.buff 1.0.0 (12)</x:v>
      </x:c>
      <x:c r="H10" s="60" t="n">
        <x:v>46266.79340277778</x:v>
      </x:c>
      <x:c r="I10" t="str">
        <x:v>Passed</x:v>
      </x:c>
      <x:c r="J10" t="str">
        <x:v>/Users/mason/.codex/visualizations/2026/09/01/01a05def-1c0d-76d1-abc6-07c63a443582/emulator-runs/initial/android/NUT-004-selected-august-15.png
/Users/mason/.codex/visualizations/2026/09/01/01a05def-1c0d-76d1-abc6-07c63a443582/emulator-runs/initial/android/NUT-006-empty-future-day.png</x:v>
      </x:c>
      <x:c r="K10" t="str">
        <x:v>Empty past and future dates omitted Start today and rendered Meals plus Workouts, four meal-type Add links and top Add food/Add workout links with the selected date, and No workouts yet.</x:v>
      </x:c>
      <x:c r="L10" t="str"/>
      <x:c r="M10" t="str">
        <x:v>Future-dated logging is enabled by design and was not used to create data.</x:v>
      </x:c>
    </x:row>
    <x:row r="11">
      <x:c r="A11" t="str">
        <x:v>RUN-0007</x:v>
      </x:c>
      <x:c r="B11" t="str">
        <x:v>NUT-014</x:v>
      </x:c>
      <x:c r="C11" t="str">
        <x:v>Initial</x:v>
      </x:c>
      <x:c r="D11" t="str">
        <x:v>Android</x:v>
      </x:c>
      <x:c r="E11" t="str">
        <x:v>Medium_Phone</x:v>
      </x:c>
      <x:c r="F11" t="str">
        <x:v>Android 17</x:v>
      </x:c>
      <x:c r="G11" t="str">
        <x:v>9e9dcf1+dirty; com.spacemancodes.buff 1.0.0 (12)</x:v>
      </x:c>
      <x:c r="H11" s="60" t="n">
        <x:v>46266.79340277778</x:v>
      </x:c>
      <x:c r="I11" t="str">
        <x:v>Passed</x:v>
      </x:c>
      <x:c r="J11" t="str">
        <x:v>/Users/mason/.codex/visualizations/2026/09/01/01a05def-1c0d-76d1-abc6-07c63a443582/emulator-runs/initial/android/NUT-014-historical-add-drawer.png
/Users/mason/.codex/visualizations/2026/09/01/01a05def-1c0d-76d1-abc6-07c63a443582/emulator-runs/initial/android/NUT-014-search-preserves-date.png</x:v>
      </x:c>
      <x:c r="K11" t="str">
        <x:v>The central Add opened the six-choice history-backed drawer without changing /?date=2026-09-02; Search navigated to /add?date=2026-09-02&amp;mode=food, and one Android Back returned to the dated Today page.</x:v>
      </x:c>
      <x:c r="L11" t="str"/>
      <x:c r="M11" t="str">
        <x:v>The Start today Add food entry point was already exercised in RUN-0001.</x:v>
      </x:c>
    </x:row>
    <x:row r="12">
      <x:c r="A12" t="str">
        <x:v>RUN-0008</x:v>
      </x:c>
      <x:c r="B12" t="str">
        <x:v>NUT-015</x:v>
      </x:c>
      <x:c r="C12" t="str">
        <x:v>Initial</x:v>
      </x:c>
      <x:c r="D12" t="str">
        <x:v>Android</x:v>
      </x:c>
      <x:c r="E12" t="str">
        <x:v>Medium_Phone</x:v>
      </x:c>
      <x:c r="F12" t="str">
        <x:v>Android 17</x:v>
      </x:c>
      <x:c r="G12" t="str">
        <x:v>9e9dcf1+dirty; com.spacemancodes.buff 1.0.0 (12)</x:v>
      </x:c>
      <x:c r="H12" s="60" t="n">
        <x:v>46266.79340277778</x:v>
      </x:c>
      <x:c r="I12" t="str">
        <x:v>Passed</x:v>
      </x:c>
      <x:c r="J12" t="str">
        <x:v>/Users/mason/.codex/visualizations/2026/09/01/01a05def-1c0d-76d1-abc6-07c63a443582/emulator-runs/initial/android/NUT-015-explicit-close.png
/Users/mason/.codex/visualizations/2026/09/01/01a05def-1c0d-76d1-abc6-07c63a443582/emulator-runs/initial/android/NUT-015-drag-dismissed.png
/Users/mason/.codex/visualizations/2026/09/01/01a05def-1c0d-76d1-abc6-07c63a443582/emulator-runs/initial/android/NUT-015-back-dismissed.png</x:v>
      </x:c>
      <x:c r="K12" t="str">
        <x:v>Explicit Close, a 415px slow downward handle drag, and Android system Back each removed exactly one drawer while preserving /?date=2026-09-02; reopening remained functional.</x:v>
      </x:c>
      <x:c r="L12" t="str"/>
      <x:c r="M12" t="str">
        <x:v>Android-required dismissal methods all passed.</x:v>
      </x:c>
    </x:row>
    <x:row r="13">
      <x:c r="A13" t="str">
        <x:v>RUN-0009</x:v>
      </x:c>
      <x:c r="B13" t="str">
        <x:v>NUT-044</x:v>
      </x:c>
      <x:c r="C13" t="str">
        <x:v>Initial</x:v>
      </x:c>
      <x:c r="D13" t="str">
        <x:v>Android</x:v>
      </x:c>
      <x:c r="E13" t="str">
        <x:v>Medium_Phone</x:v>
      </x:c>
      <x:c r="F13" t="str">
        <x:v>Android 17</x:v>
      </x:c>
      <x:c r="G13" t="str">
        <x:v>9e9dcf1+dirty; com.spacemancodes.buff 1.0.0 (12)</x:v>
      </x:c>
      <x:c r="H13" s="60" t="n">
        <x:v>46266.79707175926</x:v>
      </x:c>
      <x:c r="I13" t="str">
        <x:v>Failed</x:v>
      </x:c>
      <x:c r="J13" t="str">
        <x:v>/Users/mason/.codex/visualizations/2026/09/01/01a05def-1c0d-76d1-abc6-07c63a443582/emulator-runs/initial/android/NUT-044-new-recipe-empty.png
/Users/mason/.codex/visualizations/2026/09/01/01a05def-1c0d-76d1-abc6-07c63a443582/emulator-runs/initial/android/NUT-044-draft-before-cancel.png
/Users/mason/.codex/visualizations/2026/09/01/01a05def-1c0d-76d1-abc6-07c63a443582/emulator-runs/initial/android/NUT-044-cancel-reopen-stale-fields.png</x:v>
      </x:c>
      <x:c r="K13" t="str">
        <x:v>The empty form correctly disabled Save, and Cancel returned to the list without a recipe request. Reopening reset the recipe name, servings, and item list, but retained the one-character search and unadded custom ingredient values, violating the cleared-state expectation.</x:v>
      </x:c>
      <x:c r="L13" t="str">
        <x:v>DEF-007</x:v>
      </x:c>
      <x:c r="M13" t="str">
        <x:v>No successful write was attempted; performance resource entries contained no recipe request.</x:v>
      </x:c>
    </x:row>
    <x:row r="14">
      <x:c r="A14" t="str">
        <x:v>RUN-0010</x:v>
      </x:c>
      <x:c r="B14" t="str">
        <x:v>NUT-017</x:v>
      </x:c>
      <x:c r="C14" t="str">
        <x:v>Initial</x:v>
      </x:c>
      <x:c r="D14" t="str">
        <x:v>Android</x:v>
      </x:c>
      <x:c r="E14" t="str">
        <x:v>Medium_Phone</x:v>
      </x:c>
      <x:c r="F14" t="str">
        <x:v>Android 17</x:v>
      </x:c>
      <x:c r="G14" t="str">
        <x:v>9e9dcf1+dirty; com.spacemancodes.buff 1.0.0 (12)</x:v>
      </x:c>
      <x:c r="H14" s="60" t="n">
        <x:v>46266.8</x:v>
      </x:c>
      <x:c r="I14" t="str">
        <x:v>Passed</x:v>
      </x:c>
      <x:c r="J14" t="str">
        <x:v>/Users/mason/.codex/visualizations/2026/09/01/01a05def-1c0d-76d1-abc6-07c63a443582/emulator-runs/initial/android/NUT-017-legacy-date-chooser.png
/Users/mason/.codex/visualizations/2026/09/01/01a05def-1c0d-76d1-abc6-07c63a443582/emulator-runs/initial/android/NUT-017-scan-launch.png
/Users/mason/.codex/visualizations/2026/09/01/01a05def-1c0d-76d1-abc6-07c63a443582/emulator-runs/initial/android/NUT-017-invalid-date-error-hidden.png
/Users/mason/.codex/visualizations/2026/09/01/01a05def-1c0d-76d1-abc6-07c63a443582/emulator-runs/initial/android/NUT-017-invalid-meal-error-hidden.png</x:v>
      </x:c>
      <x:c r="K14" t="str">
        <x:v>Missing and unknown modes showed the chooser; food, search, and barcode converged on All foods; custom, workout, photo, and recipe opened their canonical workflows. scan=1 launched the native barcode scanner and Android Back returned to dated Add. Legacy /?add=1 preserved a valid date and defaulted an omitted date to today. An invalid date redirected with a date error in page props, and an arbitrary meal propagated into the heading/form then failed server meal_type validation. Header Back returned to the supplied Today date.</x:v>
      </x:c>
      <x:c r="L14" t="str">
        <x:v>DEF-008, DEF-009</x:v>
      </x:c>
      <x:c r="M14" t="str">
        <x:v>All Android branches were exercised. The canonical routing behavior matched the code-derived acceptance criteria; the two invisible validation messages are linked UX defects.</x:v>
      </x:c>
    </x:row>
    <x:row r="15">
      <x:c r="A15" t="str">
        <x:v>RUN-0011</x:v>
      </x:c>
      <x:c r="B15" t="str">
        <x:v>NUT-096</x:v>
      </x:c>
      <x:c r="C15" t="str">
        <x:v>Initial</x:v>
      </x:c>
      <x:c r="D15" t="str">
        <x:v>Android</x:v>
      </x:c>
      <x:c r="E15" t="str">
        <x:v>Medium_Phone</x:v>
      </x:c>
      <x:c r="F15" t="str">
        <x:v>Android 17</x:v>
      </x:c>
      <x:c r="G15" t="str">
        <x:v>9e9dcf1+dirty; com.spacemancodes.buff 1.0.0 (12)</x:v>
      </x:c>
      <x:c r="H15" s="60" t="n">
        <x:v>46266.810891203706</x:v>
      </x:c>
      <x:c r="I15" t="str">
        <x:v>Passed</x:v>
      </x:c>
      <x:c r="J15" t="str">
        <x:v>/Users/mason/.codex/visualizations/2026/09/01/01a05def-1c0d-76d1-abc6-07c63a443582/emulator-runs/initial/android/NUT-096-week-selected-marker-missing.png</x:v>
      </x:c>
      <x:c r="K15" t="str">
        <x:v>Opening from Monday 2026-08-31 and Sunday 2026-09-06 returned the same seven rows from 2026-08-31 through 2026-09-06 with exactly the originating date selected. Opening from 2026-12-31 returned 2026-12-28 through 2027-01-03. Header Back returned to each supplied Today date.</x:v>
      </x:c>
      <x:c r="L15" t="str">
        <x:v>DEF-010</x:v>
      </x:c>
      <x:c r="M15" t="str">
        <x:v>Server/default-week behavior passed. The selected-day marker is not exposed visually and is tracked separately.</x:v>
      </x:c>
    </x:row>
    <x:row r="16">
      <x:c r="A16" t="str">
        <x:v>RUN-0012</x:v>
      </x:c>
      <x:c r="B16" t="str">
        <x:v>NUT-097</x:v>
      </x:c>
      <x:c r="C16" t="str">
        <x:v>Initial</x:v>
      </x:c>
      <x:c r="D16" t="str">
        <x:v>Android</x:v>
      </x:c>
      <x:c r="E16" t="str">
        <x:v>Medium_Phone</x:v>
      </x:c>
      <x:c r="F16" t="str">
        <x:v>Android 17</x:v>
      </x:c>
      <x:c r="G16" t="str">
        <x:v>9e9dcf1+dirty; com.spacemancodes.buff 1.0.0 (12)</x:v>
      </x:c>
      <x:c r="H16" s="60" t="n">
        <x:v>46266.810891203706</x:v>
      </x:c>
      <x:c r="I16" t="str">
        <x:v>Failed</x:v>
      </x:c>
      <x:c r="J16" t="str">
        <x:v>/Users/mason/.codex/visualizations/2026/09/01/01a05def-1c0d-76d1-abc6-07c63a443582/emulator-runs/initial/android/NUT-097-calendar-next-no-op.png
/Users/mason/.codex/visualizations/2026/09/01/01a05def-1c0d-76d1-abc6-07c63a443582/emulator-runs/initial/android/NUT-097-year-selector-starts-1926.png</x:v>
      </x:c>
      <x:c r="K16" t="str">
        <x:v>Week/Range toggles exposed correct aria-pressed states, Range prefilled the current period, and selecting an adjacent visible date updated URL, rows, control text, and selected server row. On a clean October date, trusted Next presses did not advance the calendar and the year picker opened at 1926 rather than 2026, preventing the required arbitrary-date jump.</x:v>
      </x:c>
      <x:c r="L16" t="str">
        <x:v>DEF-011</x:v>
      </x:c>
      <x:c r="M16" t="str">
        <x:v>The same-component control-staleness prediction did not reproduce on Inertia v3; the calendar navigation itself failed.</x:v>
      </x:c>
    </x:row>
    <x:row r="17">
      <x:c r="A17" t="str">
        <x:v>RUN-0013</x:v>
      </x:c>
      <x:c r="B17" t="str">
        <x:v>NUT-098</x:v>
      </x:c>
      <x:c r="C17" t="str">
        <x:v>Initial</x:v>
      </x:c>
      <x:c r="D17" t="str">
        <x:v>Android</x:v>
      </x:c>
      <x:c r="E17" t="str">
        <x:v>Medium_Phone</x:v>
      </x:c>
      <x:c r="F17" t="str">
        <x:v>Android 17</x:v>
      </x:c>
      <x:c r="G17" t="str">
        <x:v>9e9dcf1+dirty; com.spacemancodes.buff 1.0.0 (12)</x:v>
      </x:c>
      <x:c r="H17" s="60" t="n">
        <x:v>46266.810891203706</x:v>
      </x:c>
      <x:c r="I17" t="str">
        <x:v>Passed</x:v>
      </x:c>
      <x:c r="J17" t="str">
        <x:v>/Users/mason/.codex/visualizations/2026/09/01/01a05def-1c0d-76d1-abc6-07c63a443582/emulator-runs/initial/android/NUT-098-90-day-range.png</x:v>
      </x:c>
      <x:c r="K17" t="str">
        <x:v>Apply produced exactly 1 row for 2027-01-01, 7 rows through 2027-01-07, and 90 rows through 2027-03-31, with matching canonical query values and Range state. A 2027-01-01 through 2027-04-01 request was rejected and retained the last valid 90-day result.</x:v>
      </x:c>
      <x:c r="L17" t="str">
        <x:v>DEF-012</x:v>
      </x:c>
      <x:c r="M17" t="str">
        <x:v>Inclusive range boundaries passed. The separately linked UX defect is the misleading full-period target label.</x:v>
      </x:c>
    </x:row>
    <x:row r="18">
      <x:c r="A18" t="str">
        <x:v>RUN-0014</x:v>
      </x:c>
      <x:c r="B18" t="str">
        <x:v>NUT-099</x:v>
      </x:c>
      <x:c r="C18" t="str">
        <x:v>Initial</x:v>
      </x:c>
      <x:c r="D18" t="str">
        <x:v>Android</x:v>
      </x:c>
      <x:c r="E18" t="str">
        <x:v>Medium_Phone</x:v>
      </x:c>
      <x:c r="F18" t="str">
        <x:v>Android 17</x:v>
      </x:c>
      <x:c r="G18" t="str">
        <x:v>9e9dcf1+dirty; com.spacemancodes.buff 1.0.0 (12)</x:v>
      </x:c>
      <x:c r="H18" s="60" t="n">
        <x:v>46266.810891203706</x:v>
      </x:c>
      <x:c r="I18" t="str">
        <x:v>Failed</x:v>
      </x:c>
      <x:c r="J18" t="str">
        <x:v>/Users/mason/.codex/visualizations/2026/09/01/01a05def-1c0d-76d1-abc6-07c63a443582/emulator-runs/initial/android/NUT-099-91-day-error-hidden.png</x:v>
      </x:c>
      <x:c r="K18" t="str">
        <x:v>Missing-end, missing-start, reversed, malformed-date, and 91-day submissions each returned the correct Laravel field error in Inertia props. None produced visible error text or an alert, and rejected inputs reset to the last valid range.</x:v>
      </x:c>
      <x:c r="L18" t="str">
        <x:v>DEF-013</x:v>
      </x:c>
      <x:c r="M18" t="str">
        <x:v>Every required validation branch was exercised without changing data.</x:v>
      </x:c>
    </x:row>
    <x:row r="19">
      <x:c r="A19" t="str">
        <x:v>RUN-0015</x:v>
      </x:c>
      <x:c r="B19" t="str">
        <x:v>NUT-020</x:v>
      </x:c>
      <x:c r="C19" t="str">
        <x:v>Initial</x:v>
      </x:c>
      <x:c r="D19" t="str">
        <x:v>Android</x:v>
      </x:c>
      <x:c r="E19" t="str">
        <x:v>Medium_Phone</x:v>
      </x:c>
      <x:c r="F19" t="str">
        <x:v>Android 17</x:v>
      </x:c>
      <x:c r="G19" t="str">
        <x:v>9e9dcf1+dirty; com.spacemancodes.buff 1.0.0 (12)</x:v>
      </x:c>
      <x:c r="H19" s="60" t="n">
        <x:v>46266.823333333334</x:v>
      </x:c>
      <x:c r="I19" t="str">
        <x:v>Failed</x:v>
      </x:c>
      <x:c r="J19" t="str">
        <x:v>/Users/mason/.codex/visualizations/2026/09/01/01a05def-1c0d-76d1-abc6-07c63a443582/emulator-runs/initial/android/NUT-020-one-character-blank.png</x:v>
      </x:c>
      <x:c r="K19" t="str">
        <x:v>An empty query showed the initial state; one character sent no request but left a blank content area; the second character sent exactly one search request and rendered No products found; clearing returned to the empty state. The no-history account could not exercise the previous-food repopulation branch.</x:v>
      </x:c>
      <x:c r="L19" t="str">
        <x:v>DEF-014</x:v>
      </x:c>
      <x:c r="M19" t="str">
        <x:v>DEF-015 separately records the code-confirmed stale-response window.</x:v>
      </x:c>
    </x:row>
    <x:row r="20">
      <x:c r="A20" t="str">
        <x:v>RUN-0016</x:v>
      </x:c>
      <x:c r="B20" t="str">
        <x:v>NUT-091</x:v>
      </x:c>
      <x:c r="C20" t="str">
        <x:v>Initial</x:v>
      </x:c>
      <x:c r="D20" t="str">
        <x:v>Android</x:v>
      </x:c>
      <x:c r="E20" t="str">
        <x:v>Medium_Phone</x:v>
      </x:c>
      <x:c r="F20" t="str">
        <x:v>Android 17</x:v>
      </x:c>
      <x:c r="G20" t="str">
        <x:v>9e9dcf1+dirty; com.spacemancodes.buff 1.0.0 (12)</x:v>
      </x:c>
      <x:c r="H20" s="60" t="n">
        <x:v>46266.823333333334</x:v>
      </x:c>
      <x:c r="I20" t="str">
        <x:v>Blocked</x:v>
      </x:c>
      <x:c r="J20" t="str">
        <x:v>/Users/mason/.codex/visualizations/2026/09/01/01a05def-1c0d-76d1-abc6-07c63a443582/emulator-runs/initial/android/NUT-091-empty-fat-breakdown.png</x:v>
      </x:c>
      <x:c r="K20" t="str">
        <x:v>Protein, carbs, and fat each opened the correct selected-date breakdown with the right label, goal, empty state, and Back target. An unsupported slug returned 404, a missing date normalized to today, and an invalid date returned the controlled 422 response. The retained account has no meal entries, so cross-date populated contribution isolation remains unexercised.</x:v>
      </x:c>
      <x:c r="L20" t="str">
        <x:v>DEF-008</x:v>
      </x:c>
      <x:c r="M20" t="str">
        <x:v>The existing invisible malformed-date error applies to this deep link as well.</x:v>
      </x:c>
    </x:row>
    <x:row r="21">
      <x:c r="A21" t="str">
        <x:v>RUN-0017</x:v>
      </x:c>
      <x:c r="B21" t="str">
        <x:v>HLT-002</x:v>
      </x:c>
      <x:c r="C21" t="str">
        <x:v>Initial</x:v>
      </x:c>
      <x:c r="D21" t="str">
        <x:v>Android</x:v>
      </x:c>
      <x:c r="E21" t="str">
        <x:v>Medium_Phone</x:v>
      </x:c>
      <x:c r="F21" t="str">
        <x:v>Android 17</x:v>
      </x:c>
      <x:c r="G21" t="str">
        <x:v>9e9dcf1+dirty; com.spacemancodes.buff 1.0.0 (12)</x:v>
      </x:c>
      <x:c r="H21" s="60" t="n">
        <x:v>46266.823333333334</x:v>
      </x:c>
      <x:c r="I21" t="str">
        <x:v>Blocked</x:v>
      </x:c>
      <x:c r="J21" t="str">
        <x:v>/Users/mason/.codex/visualizations/2026/09/01/01a05def-1c0d-76d1-abc6-07c63a443582/emulator-runs/initial/android/HLT-002-all-time-single-metric.png</x:v>
      </x:c>
      <x:c r="K21" t="str">
        <x:v>30, 90, 180, and All each navigated to the correct control/URL state; an invalid range fell back to the 90-day props and selected control. All-time safely rendered the one retained metric but duplicated x-axis day labels. Boundary inclusion plus range preservation after save/delete require multiple dated fixtures and authorized writes.</x:v>
      </x:c>
      <x:c r="L21" t="str">
        <x:v>DEF-016</x:v>
      </x:c>
      <x:c r="M21" t="str">
        <x:v>No measurement was created or deleted during this read-only initial pass.</x:v>
      </x:c>
    </x:row>
    <x:row r="22">
      <x:c r="A22" t="str">
        <x:v>RUN-0018</x:v>
      </x:c>
      <x:c r="B22" t="str">
        <x:v>ACC-032</x:v>
      </x:c>
      <x:c r="C22" t="str">
        <x:v>Initial</x:v>
      </x:c>
      <x:c r="D22" t="str">
        <x:v>Android</x:v>
      </x:c>
      <x:c r="E22" t="str">
        <x:v>Medium_Phone</x:v>
      </x:c>
      <x:c r="F22" t="str">
        <x:v>Android 17</x:v>
      </x:c>
      <x:c r="G22" t="str">
        <x:v>9e9dcf1+dirty; com.spacemancodes.buff 1.0.0 (12)</x:v>
      </x:c>
      <x:c r="H22" s="60" t="n">
        <x:v>46266.823333333334</x:v>
      </x:c>
      <x:c r="I22" t="str">
        <x:v>Failed</x:v>
      </x:c>
      <x:c r="J22" t="str">
        <x:v>/Users/mason/.codex/visualizations/2026/09/01/01a05def-1c0d-76d1-abc6-07c63a443582/emulator-runs/initial/android/ACC-032-header-back-reopens-subpage.png</x:v>
      </x:c>
      <x:c r="K22" t="str">
        <x:v>The hub exposed every signed-in Android row and the correct Health Connect branch. All ten subpages had the exact title, a 44x44 Back to settings control, no bottom nav, and physical Back returned to Settings with the nav restored. However, using the header Back then Android Back reopened the subpage.</x:v>
      </x:c>
      <x:c r="L22" t="str">
        <x:v>DEF-017</x:v>
      </x:c>
      <x:c r="M22" t="str">
        <x:v>The signed-out/local-only transitional branch remains for later account-state testing.</x:v>
      </x:c>
    </x:row>
    <x:row r="23">
      <x:c r="A23" t="str">
        <x:v>RUN-0019</x:v>
      </x:c>
      <x:c r="B23" t="str">
        <x:v>ACC-043</x:v>
      </x:c>
      <x:c r="C23" t="str">
        <x:v>Initial</x:v>
      </x:c>
      <x:c r="D23" t="str">
        <x:v>Android</x:v>
      </x:c>
      <x:c r="E23" t="str">
        <x:v>Medium_Phone</x:v>
      </x:c>
      <x:c r="F23" t="str">
        <x:v>Android 17</x:v>
      </x:c>
      <x:c r="G23" t="str">
        <x:v>9e9dcf1+dirty; com.spacemancodes.buff 1.0.0 (12)</x:v>
      </x:c>
      <x:c r="H23" s="60" t="n">
        <x:v>46266.823333333334</x:v>
      </x:c>
      <x:c r="I23" t="str">
        <x:v>Blocked</x:v>
      </x:c>
      <x:c r="J23" t="str">
        <x:v>/Users/mason/.codex/visualizations/2026/09/01/01a05def-1c0d-76d1-abc6-07c63a443582/emulator-runs/initial/android/ACC-043-android-health-connect.png</x:v>
      </x:c>
      <x:c r="K23" t="str">
        <x:v>Android rendered only Health Connect language and actions, reported Connected, and exposed Sync now/Disconnect. Calling the wrong-platform Apple Health status endpoint returned supported=false, available=false, status=unsupported with the platform message. The missing-provider/unavailable branch cannot be reached without changing emulator integration state.</x:v>
      </x:c>
      <x:c r="L23" t="str"/>
      <x:c r="M23" t="str">
        <x:v>No sync or disconnect action was invoked.</x:v>
      </x:c>
    </x:row>
    <x:row r="24">
      <x:c r="A24" t="str">
        <x:v>RUN-0020</x:v>
      </x:c>
      <x:c r="B24" t="str">
        <x:v>ACC-080</x:v>
      </x:c>
      <x:c r="C24" t="str">
        <x:v>Initial</x:v>
      </x:c>
      <x:c r="D24" t="str">
        <x:v>Android</x:v>
      </x:c>
      <x:c r="E24" t="str">
        <x:v>Medium_Phone</x:v>
      </x:c>
      <x:c r="F24" t="str">
        <x:v>Android 17</x:v>
      </x:c>
      <x:c r="G24" t="str">
        <x:v>9e9dcf1+dirty; com.spacemancodes.buff 1.0.0 (12)</x:v>
      </x:c>
      <x:c r="H24" s="60" t="n">
        <x:v>46266.823333333334</x:v>
      </x:c>
      <x:c r="I24" t="str">
        <x:v>Failed</x:v>
      </x:c>
      <x:c r="J24" t="str">
        <x:v>/Users/mason/.codex/visualizations/2026/09/01/01a05def-1c0d-76d1-abc6-07c63a443582/emulator-runs/initial/android/ACC-080-normal-history-back-to-goals.png</x:v>
      </x:c>
      <x:c r="K24" t="str">
        <x:v>Android Back closed the Add drawer, replaced every Settings subpage with /settings, navigated Progress back to Goals, exited to the launcher from a cold history-length-one root, and two rapid Back presses closed Add then returned Progress to Goals without over-pop. With the Settings delete sheet open, one Back navigated to Appearance instead of dismissing locally.</x:v>
      </x:c>
      <x:c r="L24" t="str">
        <x:v>DEF-018</x:v>
      </x:c>
      <x:c r="M24" t="str">
        <x:v>All required branches except nested child-modal handling passed on the emulator.</x:v>
      </x:c>
    </x:row>
    <x:row r="25">
      <x:c r="A25" t="str">
        <x:v>RUN-0021</x:v>
      </x:c>
      <x:c r="B25" t="str">
        <x:v>ACC-018</x:v>
      </x:c>
      <x:c r="C25" t="str">
        <x:v>Initial</x:v>
      </x:c>
      <x:c r="D25" t="str">
        <x:v>Android</x:v>
      </x:c>
      <x:c r="E25" t="str">
        <x:v>Medium_Phone</x:v>
      </x:c>
      <x:c r="F25" t="str">
        <x:v>Android 17</x:v>
      </x:c>
      <x:c r="G25" t="str">
        <x:v>9e9dcf1+dirty; com.spacemancodes.buff 1.0.0 (12)</x:v>
      </x:c>
      <x:c r="H25" s="60" t="n">
        <x:v>46266.83693287037</x:v>
      </x:c>
      <x:c r="I25" t="str">
        <x:v>Passed</x:v>
      </x:c>
      <x:c r="J25" t="str">
        <x:v>/Users/mason/.codex/visualizations/2026/09/01/01a05def-1c0d-76d1-abc6-07c63a443582/emulator-runs/initial/android/ACC-018-password-visible.png</x:v>
      </x:c>
      <x:c r="K25" t="str">
        <x:v>All three Change password fields started as type=password with 48x48 type=button controls labelled Show password. Revealing all three changed them to type=text/Hide password without changing their harmless test values; toggling again restored password/Show password with values intact and no submit.</x:v>
      </x:c>
      <x:c r="L25" t="str"/>
      <x:c r="M25" t="str">
        <x:v>The shared PasswordInput component and labels were exercised; no password update was submitted.</x:v>
      </x:c>
    </x:row>
    <x:row r="26">
      <x:c r="A26" t="str">
        <x:v>RUN-0022</x:v>
      </x:c>
      <x:c r="B26" t="str">
        <x:v>NUT-016</x:v>
      </x:c>
      <x:c r="C26" t="str">
        <x:v>Initial</x:v>
      </x:c>
      <x:c r="D26" t="str">
        <x:v>Android</x:v>
      </x:c>
      <x:c r="E26" t="str">
        <x:v>Medium_Phone</x:v>
      </x:c>
      <x:c r="F26" t="str">
        <x:v>Android 17</x:v>
      </x:c>
      <x:c r="G26" t="str">
        <x:v>9e9dcf1+dirty; com.spacemancodes.buff 1.0.0 (12)</x:v>
      </x:c>
      <x:c r="H26" s="60" t="n">
        <x:v>46266.83693287037</x:v>
      </x:c>
      <x:c r="I26" t="str">
        <x:v>Blocked</x:v>
      </x:c>
      <x:c r="J26" t="str">
        <x:v>/Users/mason/.codex/visualizations/2026/09/01/01a05def-1c0d-76d1-abc6-07c63a443582/emulator-runs/initial/android/NUT-016-add-chooser-inactive.png
/Users/mason/.codex/visualizations/2026/09/01/01a05def-1c0d-76d1-abc6-07c63a443582/emulator-runs/initial/android/NUT-016-scan-route.png</x:v>
      </x:c>
      <x:c r="K26" t="str">
        <x:v>All six exact labels/descriptions and useful aria-labels were present. Search, Scan, Custom, Recipe, and Workout preserved 2026-09-02 and routed to their canonical modes; Scan added scan=1. The inactive Photo tile exposed Buff+ required and routed to Subscription.</x:v>
      </x:c>
      <x:c r="L26" t="str"/>
      <x:c r="M26" t="str">
        <x:v>The active-subscriber Photo branch and real TalkBack announcement remain blocked by unavailable account/accessibility states.</x:v>
      </x:c>
    </x:row>
    <x:row r="27">
      <x:c r="A27" t="str">
        <x:v>RUN-0023</x:v>
      </x:c>
      <x:c r="B27" t="str">
        <x:v>NUT-030</x:v>
      </x:c>
      <x:c r="C27" t="str">
        <x:v>Initial</x:v>
      </x:c>
      <x:c r="D27" t="str">
        <x:v>Android</x:v>
      </x:c>
      <x:c r="E27" t="str">
        <x:v>Medium_Phone</x:v>
      </x:c>
      <x:c r="F27" t="str">
        <x:v>Android 17</x:v>
      </x:c>
      <x:c r="G27" t="str">
        <x:v>9e9dcf1+dirty; com.spacemancodes.buff 1.0.0 (12)</x:v>
      </x:c>
      <x:c r="H27" s="60" t="n">
        <x:v>46266.83693287037</x:v>
      </x:c>
      <x:c r="I27" t="str">
        <x:v>Blocked</x:v>
      </x:c>
      <x:c r="J27" t="str">
        <x:v>/Users/mason/.codex/visualizations/2026/09/01/01a05def-1c0d-76d1-abc6-07c63a443582/emulator-runs/initial/android/NUT-016-scan-route.png</x:v>
      </x:c>
      <x:c r="K27" t="str">
        <x:v>Both the Scan choice and a direct scan=1 URL auto-opened the full-screen rear-camera web scanner with a live emulator camera feed. The repository has no registered native scanner, so the documented web fallback was the effective path.</x:v>
      </x:c>
      <x:c r="L27" t="str"/>
      <x:c r="M27" t="str">
        <x:v>Actual decoding of EAN-13/EAN-8/UPC-A/UPC-E/Code 128 remains blocked until supported barcode images are injected into the emulator camera scene.</x:v>
      </x:c>
    </x:row>
    <x:row r="28">
      <x:c r="A28" t="str">
        <x:v>RUN-0024</x:v>
      </x:c>
      <x:c r="B28" t="str">
        <x:v>NUT-031</x:v>
      </x:c>
      <x:c r="C28" t="str">
        <x:v>Initial</x:v>
      </x:c>
      <x:c r="D28" t="str">
        <x:v>Android</x:v>
      </x:c>
      <x:c r="E28" t="str">
        <x:v>Medium_Phone</x:v>
      </x:c>
      <x:c r="F28" t="str">
        <x:v>Android 17</x:v>
      </x:c>
      <x:c r="G28" t="str">
        <x:v>9e9dcf1+dirty; com.spacemancodes.buff 1.0.0 (12)</x:v>
      </x:c>
      <x:c r="H28" s="60" t="n">
        <x:v>46266.83693287037</x:v>
      </x:c>
      <x:c r="I28" t="str">
        <x:v>Passed</x:v>
      </x:c>
      <x:c r="J28" t="str">
        <x:v>/Users/mason/.codex/visualizations/2026/09/01/01a05def-1c0d-76d1-abc6-07c63a443582/emulator-runs/initial/android/NUT-016-scan-route.png</x:v>
      </x:c>
      <x:c r="K28" t="str">
        <x:v>The scanner reached readyState 4 with one live video track, autoplay/muted/playsInline, picture-in-picture disabled, remote/download/playback controls disabled, and a 44x44 Close control. Close ended the captured track; reopening created a live stream; Inertia navigation away ended that second track on unmount.</x:v>
      </x:c>
      <x:c r="L28" t="str"/>
      <x:c r="M28" t="str">
        <x:v>Camera cleanup was observed from the actual MediaStream track states, not inferred from DOM removal.</x:v>
      </x:c>
    </x:row>
    <x:row r="29">
      <x:c r="A29" t="str">
        <x:v>RUN-0025</x:v>
      </x:c>
      <x:c r="B29" t="str">
        <x:v>NUT-032</x:v>
      </x:c>
      <x:c r="C29" t="str">
        <x:v>Initial</x:v>
      </x:c>
      <x:c r="D29" t="str">
        <x:v>Android</x:v>
      </x:c>
      <x:c r="E29" t="str">
        <x:v>Medium_Phone</x:v>
      </x:c>
      <x:c r="F29" t="str">
        <x:v>Android 17</x:v>
      </x:c>
      <x:c r="G29" t="str">
        <x:v>9e9dcf1+dirty; com.spacemancodes.buff 1.0.0 (12)</x:v>
      </x:c>
      <x:c r="H29" s="60" t="n">
        <x:v>46266.83693287037</x:v>
      </x:c>
      <x:c r="I29" t="str">
        <x:v>Failed</x:v>
      </x:c>
      <x:c r="J29" t="str">
        <x:v>/Users/mason/.codex/visualizations/2026/09/01/01a05def-1c0d-76d1-abc6-07c63a443582/emulator-runs/initial/android/NUT-033-manual-button-obscured-by-ad.png</x:v>
      </x:c>
      <x:c r="K29" t="str">
        <x:v>The live scanner exposed Enter barcode manually, but the native banner covered most of that fallback control on the actual emulator screen.</x:v>
      </x:c>
      <x:c r="L29" t="str">
        <x:v>DEF-021</x:v>
      </x:c>
      <x:c r="M29" t="str">
        <x:v>Permission-denied and no-camera messages still require a later reversible permission-state run.</x:v>
      </x:c>
    </x:row>
    <x:row r="30">
      <x:c r="A30" t="str">
        <x:v>RUN-0026</x:v>
      </x:c>
      <x:c r="B30" t="str">
        <x:v>NUT-033</x:v>
      </x:c>
      <x:c r="C30" t="str">
        <x:v>Initial</x:v>
      </x:c>
      <x:c r="D30" t="str">
        <x:v>Android</x:v>
      </x:c>
      <x:c r="E30" t="str">
        <x:v>Medium_Phone</x:v>
      </x:c>
      <x:c r="F30" t="str">
        <x:v>Android 17</x:v>
      </x:c>
      <x:c r="G30" t="str">
        <x:v>9e9dcf1+dirty; com.spacemancodes.buff 1.0.0 (12)</x:v>
      </x:c>
      <x:c r="H30" s="60" t="n">
        <x:v>46266.83693287037</x:v>
      </x:c>
      <x:c r="I30" t="str">
        <x:v>Failed</x:v>
      </x:c>
      <x:c r="J30" t="str">
        <x:v>/Users/mason/.codex/visualizations/2026/09/01/01a05def-1c0d-76d1-abc6-07c63a443582/emulator-runs/initial/android/NUT-033-formatted-valid-lookup.png
/Users/mason/.codex/visualizations/2026/09/01/01a05def-1c0d-76d1-abc6-07c63a443582/emulator-runs/initial/android/NUT-033-formatted-invalid-error.png</x:v>
      </x:c>
      <x:c r="K30" t="str">
        <x:v>Pasted 737 628-064 502 normalized to a successful product lookup and review without adding a meal. Empty, ABC---, 12, and 0000-0000-0000 each returned only the same generic failure after the scanner closed; the native banner also obscured most of the manual-entry control.</x:v>
      </x:c>
      <x:c r="L30" t="str">
        <x:v>DEF-020, DEF-021</x:v>
      </x:c>
      <x:c r="M30" t="str">
        <x:v>The valid lookup cached the catalogue product locally but no Add meal action was pressed.</x:v>
      </x:c>
    </x:row>
    <x:row r="31">
      <x:c r="A31" t="str">
        <x:v>RUN-0027</x:v>
      </x:c>
      <x:c r="B31" t="str">
        <x:v>NUT-040</x:v>
      </x:c>
      <x:c r="C31" t="str">
        <x:v>Initial</x:v>
      </x:c>
      <x:c r="D31" t="str">
        <x:v>Android</x:v>
      </x:c>
      <x:c r="E31" t="str">
        <x:v>Medium_Phone</x:v>
      </x:c>
      <x:c r="F31" t="str">
        <x:v>Android 17</x:v>
      </x:c>
      <x:c r="G31" t="str">
        <x:v>9e9dcf1+dirty; com.spacemancodes.buff 1.0.0 (12)</x:v>
      </x:c>
      <x:c r="H31" s="60" t="n">
        <x:v>46266.83693287037</x:v>
      </x:c>
      <x:c r="I31" t="str">
        <x:v>Failed</x:v>
      </x:c>
      <x:c r="J31" t="str">
        <x:v>/Users/mason/.codex/visualizations/2026/09/01/01a05def-1c0d-76d1-abc6-07c63a443582/emulator-runs/initial/android/NUT-040-macro-errors-hidden.png</x:v>
      </x:c>
      <x:c r="K31" t="str">
        <x:v>Blank and 121-character names plus a 10001 portion each retained the rejected value and displayed the correct inline error. A direct invalid request confirmed 422 keys for protein_g/carbs_g/fat_g at 1001; the UI submission retained all three values but displayed no error or alert and created no meal.</x:v>
      </x:c>
      <x:c r="L31" t="str">
        <x:v>DEF-022</x:v>
      </x:c>
      <x:c r="M31" t="str">
        <x:v>All important server-validation branches were exercised without a valid meal submission.</x:v>
      </x:c>
    </x:row>
    <x:row r="32">
      <x:c r="A32" t="str">
        <x:v>RUN-0028</x:v>
      </x:c>
      <x:c r="B32" t="str">
        <x:v>NUT-043</x:v>
      </x:c>
      <x:c r="C32" t="str">
        <x:v>Initial</x:v>
      </x:c>
      <x:c r="D32" t="str">
        <x:v>Android</x:v>
      </x:c>
      <x:c r="E32" t="str">
        <x:v>Medium_Phone</x:v>
      </x:c>
      <x:c r="F32" t="str">
        <x:v>Android 17</x:v>
      </x:c>
      <x:c r="G32" t="str">
        <x:v>9e9dcf1+dirty; com.spacemancodes.buff 1.0.0 (12)</x:v>
      </x:c>
      <x:c r="H32" s="60" t="n">
        <x:v>46266.83693287037</x:v>
      </x:c>
      <x:c r="I32" t="str">
        <x:v>Blocked</x:v>
      </x:c>
      <x:c r="J32" t="str">
        <x:v>/Users/mason/.codex/visualizations/2026/09/01/01a05def-1c0d-76d1-abc6-07c63a443582/emulator-runs/initial/android/NUT-047-nested-errors-hidden.png</x:v>
      </x:c>
      <x:c r="K32" t="str">
        <x:v>The no-recipe state showed the expected Save meals you repeat copy and one Create your first recipe action, which opened New recipe.</x:v>
      </x:c>
      <x:c r="L32" t="str"/>
      <x:c r="M32" t="str">
        <x:v>The ordered two-recipe list branch remains blocked until valid recipe fixtures are created.</x:v>
      </x:c>
    </x:row>
    <x:row r="33">
      <x:c r="A33" t="str">
        <x:v>RUN-0029</x:v>
      </x:c>
      <x:c r="B33" t="str">
        <x:v>NUT-047</x:v>
      </x:c>
      <x:c r="C33" t="str">
        <x:v>Initial</x:v>
      </x:c>
      <x:c r="D33" t="str">
        <x:v>Android</x:v>
      </x:c>
      <x:c r="E33" t="str">
        <x:v>Medium_Phone</x:v>
      </x:c>
      <x:c r="F33" t="str">
        <x:v>Android 17</x:v>
      </x:c>
      <x:c r="G33" t="str">
        <x:v>9e9dcf1+dirty; com.spacemancodes.buff 1.0.0 (12)</x:v>
      </x:c>
      <x:c r="H33" s="60" t="n">
        <x:v>46266.83693287037</x:v>
      </x:c>
      <x:c r="I33" t="str">
        <x:v>Failed</x:v>
      </x:c>
      <x:c r="J33" t="str">
        <x:v>/Users/mason/.codex/visualizations/2026/09/01/01a05def-1c0d-76d1-abc6-07c63a443582/emulator-runs/initial/android/NUT-047-nested-errors-hidden.png</x:v>
      </x:c>
      <x:c r="K33" t="str">
        <x:v>A valid P10/C20/F5 custom ingredient appended as 165 kcal, reset, removed, and re-added. An invalid 0g/P1001 ingredient also appended; Save returned two nested 422 errors but rendered no feedback and created no recipe.</x:v>
      </x:c>
      <x:c r="L33" t="str">
        <x:v>DEF-023</x:v>
      </x:c>
      <x:c r="M33" t="str">
        <x:v>Both the valid client-state lifecycle and the important invalid-save branch were exercised.</x:v>
      </x:c>
    </x:row>
    <x:row r="34">
      <x:c r="A34" t="str">
        <x:v>RUN-0030</x:v>
      </x:c>
      <x:c r="B34" t="str">
        <x:v>NUT-048</x:v>
      </x:c>
      <x:c r="C34" t="str">
        <x:v>Initial</x:v>
      </x:c>
      <x:c r="D34" t="str">
        <x:v>Android</x:v>
      </x:c>
      <x:c r="E34" t="str">
        <x:v>Medium_Phone</x:v>
      </x:c>
      <x:c r="F34" t="str">
        <x:v>Android 17</x:v>
      </x:c>
      <x:c r="G34" t="str">
        <x:v>9e9dcf1+dirty; com.spacemancodes.buff 1.0.0 (12)</x:v>
      </x:c>
      <x:c r="H34" s="60" t="n">
        <x:v>46266.83693287037</x:v>
      </x:c>
      <x:c r="I34" t="str">
        <x:v>Blocked</x:v>
      </x:c>
      <x:c r="J34" t="str">
        <x:v>/Users/mason/.codex/visualizations/2026/09/01/01a05def-1c0d-76d1-abc6-07c63a443582/emulator-runs/initial/android/NUT-047-nested-errors-hidden.png</x:v>
      </x:c>
      <x:c r="K34" t="str">
        <x:v>Live totals showed 165 kcal / P10 / C20 / F5 for the valid ingredient and updated deterministically when a second item was appended.</x:v>
      </x:c>
      <x:c r="L34" t="str"/>
      <x:c r="M34" t="str">
        <x:v>Servings 0.1/100 boundaries plus valid save/reopen snapshot persistence remain for a fixture-creating run.</x:v>
      </x:c>
    </x:row>
    <x:row r="35">
      <x:c r="A35" t="str">
        <x:v>RUN-0031</x:v>
      </x:c>
      <x:c r="B35" t="str">
        <x:v>NUT-049</x:v>
      </x:c>
      <x:c r="C35" t="str">
        <x:v>Initial</x:v>
      </x:c>
      <x:c r="D35" t="str">
        <x:v>Android</x:v>
      </x:c>
      <x:c r="E35" t="str">
        <x:v>Medium_Phone</x:v>
      </x:c>
      <x:c r="F35" t="str">
        <x:v>Android 17</x:v>
      </x:c>
      <x:c r="G35" t="str">
        <x:v>9e9dcf1+dirty; com.spacemancodes.buff 1.0.0 (12)</x:v>
      </x:c>
      <x:c r="H35" s="60" t="n">
        <x:v>46266.83693287037</x:v>
      </x:c>
      <x:c r="I35" t="str">
        <x:v>Blocked</x:v>
      </x:c>
      <x:c r="J35" t="str">
        <x:v>/Users/mason/.codex/visualizations/2026/09/01/01a05def-1c0d-76d1-abc6-07c63a443582/emulator-runs/initial/android/NUT-047-nested-errors-hidden.png</x:v>
      </x:c>
      <x:c r="K35" t="str">
        <x:v>The invalid save was safely rejected with no recipe creation, but nested item errors were invisible.</x:v>
      </x:c>
      <x:c r="L35" t="str">
        <x:v>DEF-023</x:v>
      </x:c>
      <x:c r="M35" t="str">
        <x:v>A valid save, toast, date preservation, list refresh, and restart persistence remain untested.</x:v>
      </x:c>
    </x:row>
    <x:row r="36">
      <x:c r="A36" t="str">
        <x:v>RUN-0032</x:v>
      </x:c>
      <x:c r="B36" t="str">
        <x:v>HLT-048</x:v>
      </x:c>
      <x:c r="C36" t="str">
        <x:v>Initial</x:v>
      </x:c>
      <x:c r="D36" t="str">
        <x:v>Android</x:v>
      </x:c>
      <x:c r="E36" t="str">
        <x:v>Medium_Phone</x:v>
      </x:c>
      <x:c r="F36" t="str">
        <x:v>Android 17</x:v>
      </x:c>
      <x:c r="G36" t="str">
        <x:v>9e9dcf1+dirty; com.spacemancodes.buff 1.0.0 (12)</x:v>
      </x:c>
      <x:c r="H36" s="60" t="n">
        <x:v>46266.83693287037</x:v>
      </x:c>
      <x:c r="I36" t="str">
        <x:v>Passed</x:v>
      </x:c>
      <x:c r="J36" t="str">
        <x:v>/Users/mason/.codex/visualizations/2026/09/01/01a05def-1c0d-76d1-abc6-07c63a443582/emulator-runs/initial/android/HLT-048-launcher-shortcuts.png
/Users/mason/.codex/visualizations/2026/09/01/01a05def-1c0d-76d1-abc6-07c63a443582/emulator-runs/initial/android/HLT-048-launcher-workout-destination.png</x:v>
      </x:c>
      <x:c r="K36" t="str">
        <x:v>Long-pressing the launcher icon exposed Add to Buff, Scan barcode, and Add workout. Tapping Add workout opened /add?mode=workout on 1 September 2026. Pull-to-refresh on Today and Progress changed performance.timeOrigin while preserving each exact URL and ending at scrollY 0.</x:v>
      </x:c>
      <x:c r="L36" t="str"/>
      <x:c r="M36" t="str">
        <x:v>Both launcher quick action and native SwipeRefreshLayout behavior were exercised physically.</x:v>
      </x:c>
    </x:row>
    <x:row r="37">
      <x:c r="A37" t="str">
        <x:v>RUN-0033</x:v>
      </x:c>
      <x:c r="B37" t="str">
        <x:v>ACC-056</x:v>
      </x:c>
      <x:c r="C37" t="str">
        <x:v>Initial</x:v>
      </x:c>
      <x:c r="D37" t="str">
        <x:v>Android</x:v>
      </x:c>
      <x:c r="E37" t="str">
        <x:v>Medium_Phone</x:v>
      </x:c>
      <x:c r="F37" t="str">
        <x:v>Android 17</x:v>
      </x:c>
      <x:c r="G37" t="str">
        <x:v>9e9dcf1+dirty; com.spacemancodes.buff 1.0.0 (12)</x:v>
      </x:c>
      <x:c r="H37" s="60" t="n">
        <x:v>46266.83693287037</x:v>
      </x:c>
      <x:c r="I37" t="str">
        <x:v>Failed</x:v>
      </x:c>
      <x:c r="J37" t="str">
        <x:v>/Users/mason/.codex/visualizations/2026/09/01/01a05def-1c0d-76d1-abc6-07c63a443582/emulator-runs/initial/android/NUT-033-manual-button-obscured-by-ad.png</x:v>
      </x:c>
      <x:c r="K37" t="str">
        <x:v>The explicitly free signed-in account displayed a native banner on /add?mode=food&amp;scan=1 even though Add is outside the three eligible paths.</x:v>
      </x:c>
      <x:c r="L37" t="str">
        <x:v>DEF-021</x:v>
      </x:c>
      <x:c r="M37" t="str">
        <x:v>The excluded-route failure is conclusive; subscriber/unknown/failure eligibility variants remain for later state-specific checks.</x:v>
      </x:c>
    </x:row>
    <x:row r="38">
      <x:c r="A38" t="str">
        <x:v>RUN-0034</x:v>
      </x:c>
      <x:c r="B38" t="str">
        <x:v>ACC-060</x:v>
      </x:c>
      <x:c r="C38" t="str">
        <x:v>Initial</x:v>
      </x:c>
      <x:c r="D38" t="str">
        <x:v>Android</x:v>
      </x:c>
      <x:c r="E38" t="str">
        <x:v>Medium_Phone</x:v>
      </x:c>
      <x:c r="F38" t="str">
        <x:v>Android 17</x:v>
      </x:c>
      <x:c r="G38" t="str">
        <x:v>9e9dcf1+dirty; com.spacemancodes.buff 1.0.0 (12)</x:v>
      </x:c>
      <x:c r="H38" s="60" t="n">
        <x:v>46266.83693287037</x:v>
      </x:c>
      <x:c r="I38" t="str">
        <x:v>Failed</x:v>
      </x:c>
      <x:c r="J38" t="str">
        <x:v>/Users/mason/.codex/visualizations/2026/09/01/01a05def-1c0d-76d1-abc6-07c63a443582/emulator-runs/initial/android/NUT-033-manual-button-obscured-by-ad.png</x:v>
      </x:c>
      <x:c r="K38" t="str">
        <x:v>The native overlay banner covered the scanner's manual-entry control. The WebView's elementFromPoint still reported the button because native overlay geometry is invisible to DOM layout, confirming why emulator visual verification was required.</x:v>
      </x:c>
      <x:c r="L38" t="str">
        <x:v>DEF-021</x:v>
      </x:c>
      <x:c r="M38" t="str">
        <x:v>Additional rotation/display-scaling and in-flight account-switch branches remain after this layout failure is fixed.</x:v>
      </x:c>
    </x:row>
    <x:row r="39">
      <x:c r="A39" t="str">
        <x:v>RUN-0035</x:v>
      </x:c>
      <x:c r="B39" t="str">
        <x:v>NUT-003</x:v>
      </x:c>
      <x:c r="C39" t="str">
        <x:v>Initial</x:v>
      </x:c>
      <x:c r="D39" t="str">
        <x:v>Android</x:v>
      </x:c>
      <x:c r="E39" t="str">
        <x:v>Medium_Phone</x:v>
      </x:c>
      <x:c r="F39" t="str">
        <x:v>Android 17</x:v>
      </x:c>
      <x:c r="G39" t="str">
        <x:v>9e9dcf1+dirty; com.spacemancodes.buff 1.0.0 (12)</x:v>
      </x:c>
      <x:c r="H39" s="60" t="n">
        <x:v>46266.852488425924</x:v>
      </x:c>
      <x:c r="I39" t="str">
        <x:v>Failed</x:v>
      </x:c>
      <x:c r="J39" t="str">
        <x:v>/Users/mason/.codex/visualizations/2026/09/01/01a05def-1c0d-76d1-abc6-07c63a443582/emulator-runs/initial/android/NUT-010-second-meal-group-order.png</x:v>
      </x:c>
      <x:c r="K39" t="str">
        <x:v>The strip rendered Monday through Sunday, preserved the selected date through navigation, identified today, and exposed under/no-log status labels. The active Wednesday was distinguished only by CSS and had no programmatic selected state.</x:v>
      </x:c>
      <x:c r="L39" t="str">
        <x:v>DEF-024</x:v>
      </x:c>
      <x:c r="M39" t="str">
        <x:v>Additional on-target/over glyph branches will be reused from the multi-date weekly fixture.</x:v>
      </x:c>
    </x:row>
    <x:row r="40">
      <x:c r="A40" t="str">
        <x:v>RUN-0036</x:v>
      </x:c>
      <x:c r="B40" t="str">
        <x:v>NUT-007</x:v>
      </x:c>
      <x:c r="C40" t="str">
        <x:v>Initial</x:v>
      </x:c>
      <x:c r="D40" t="str">
        <x:v>Android</x:v>
      </x:c>
      <x:c r="E40" t="str">
        <x:v>Medium_Phone</x:v>
      </x:c>
      <x:c r="F40" t="str">
        <x:v>Android 17</x:v>
      </x:c>
      <x:c r="G40" t="str">
        <x:v>9e9dcf1+dirty; com.spacemancodes.buff 1.0.0 (12)</x:v>
      </x:c>
      <x:c r="H40" s="60" t="n">
        <x:v>46266.852488425924</x:v>
      </x:c>
      <x:c r="I40" t="str">
        <x:v>Passed</x:v>
      </x:c>
      <x:c r="J40" t="str">
        <x:v>/Users/mason/.codex/visualizations/2026/09/01/01a05def-1c0d-76d1-abc6-07c63a443582/emulator-runs/initial/android/HLT-045-all-eat-back-restored.png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x:v>
      </x:c>
      <x:c r="K40" t="str">
        <x:v>With 1,399 kcal eaten and 301 burned, All showed target 2,351/952 left, Half rounded 150.5 up and showed 2,201/802 left, and None showed 2,050/651 left. Burn remained 301 in every mode.</x:v>
      </x:c>
      <x:c r="L40" t="str"/>
      <x:c r="M40" t="str">
        <x:v>The existing automated calorie-ring suite covers exact-target and over-target visual capping.</x:v>
      </x:c>
    </x:row>
    <x:row r="41">
      <x:c r="A41" t="str">
        <x:v>RUN-0037</x:v>
      </x:c>
      <x:c r="B41" t="str">
        <x:v>NUT-008</x:v>
      </x:c>
      <x:c r="C41" t="str">
        <x:v>Initial</x:v>
      </x:c>
      <x:c r="D41" t="str">
        <x:v>Android</x:v>
      </x:c>
      <x:c r="E41" t="str">
        <x:v>Medium_Phone</x:v>
      </x:c>
      <x:c r="F41" t="str">
        <x:v>Android 17</x:v>
      </x:c>
      <x:c r="G41" t="str">
        <x:v>9e9dcf1+dirty; com.spacemancodes.buff 1.0.0 (12)</x:v>
      </x:c>
      <x:c r="H41" s="60" t="n">
        <x:v>46266.852488425924</x:v>
      </x:c>
      <x:c r="I41" t="str">
        <x:v>Passed</x:v>
      </x:c>
      <x:c r="J41" t="str">
        <x:v>/Users/mason/.codex/visualizations/2026/09/01/01a05def-1c0d-76d1-abc6-07c63a443582/emulator-runs/initial/android/HLT-045-all-eat-back-restored.png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x:v>
      </x:c>
      <x:c r="K41" t="str">
        <x:v>Consumed macros stayed P90/C181/F35 while effective displayed goals scaled exactly across All 176/235/78, Half 165/220/73, and None 154/205/68. Each card opened its same-date breakdown and Back restored the exact date.</x:v>
      </x:c>
      <x:c r="L41" t="str"/>
      <x:c r="M41" t="str">
        <x:v>Progress bars exposed numeric percentages and stayed capped visually.</x:v>
      </x:c>
    </x:row>
    <x:row r="42">
      <x:c r="A42" t="str">
        <x:v>RUN-0038</x:v>
      </x:c>
      <x:c r="B42" t="str">
        <x:v>NUT-009</x:v>
      </x:c>
      <x:c r="C42" t="str">
        <x:v>Initial</x:v>
      </x:c>
      <x:c r="D42" t="str">
        <x:v>Android</x:v>
      </x:c>
      <x:c r="E42" t="str">
        <x:v>Medium_Phone</x:v>
      </x:c>
      <x:c r="F42" t="str">
        <x:v>Android 17</x:v>
      </x:c>
      <x:c r="G42" t="str">
        <x:v>9e9dcf1+dirty; com.spacemancodes.buff 1.0.0 (12)</x:v>
      </x:c>
      <x:c r="H42" s="60" t="n">
        <x:v>46266.852488425924</x:v>
      </x:c>
      <x:c r="I42" t="str">
        <x:v>Passed</x:v>
      </x:c>
      <x:c r="J42" t="str">
        <x:v>/Users/mason/.codex/visualizations/2026/09/01/01a05def-1c0d-76d1-abc6-07c63a443582/emulator-runs/initial/android/NUT-010-second-meal-group-order.png</x:v>
      </x:c>
      <x:c r="K42" t="str">
        <x:v>Breakfast, Lunch, Dinner, and Snacks stayed in fixed order. Populated groups suppressed their per-group Add link, empty groups exposed the correct preselected Add action, and the global Add food link remained available.</x:v>
      </x:c>
      <x:c r="L42" t="str"/>
      <x:c r="M42" t="str">
        <x:v>Breakfast preselection was confirmed during the second custom-food creation.</x:v>
      </x:c>
    </x:row>
    <x:row r="43">
      <x:c r="A43" t="str">
        <x:v>RUN-0039</x:v>
      </x:c>
      <x:c r="B43" t="str">
        <x:v>NUT-039</x:v>
      </x:c>
      <x:c r="C43" t="str">
        <x:v>Initial</x:v>
      </x:c>
      <x:c r="D43" t="str">
        <x:v>Android</x:v>
      </x:c>
      <x:c r="E43" t="str">
        <x:v>Medium_Phone</x:v>
      </x:c>
      <x:c r="F43" t="str">
        <x:v>Android 17</x:v>
      </x:c>
      <x:c r="G43" t="str">
        <x:v>9e9dcf1+dirty; com.spacemancodes.buff 1.0.0 (12)</x:v>
      </x:c>
      <x:c r="H43" s="60" t="n">
        <x:v>46266.852488425924</x:v>
      </x:c>
      <x:c r="I43" t="str">
        <x:v>Passed</x:v>
      </x:c>
      <x:c r="J43" t="str">
        <x:v>/Users/mason/.codex/visualizations/2026/09/01/01a05def-1c0d-76d1-abc6-07c63a443582/emulator-runs/initial/android/NUT-039-custom-meal-before-save.png
/Users/mason/.codex/visualizations/2026/09/01/01a05def-1c0d-76d1-abc6-07c63a443582/emulator-runs/initial/android/NUT-039-custom-meal-after-save.png
/Users/mason/.codex/visualizations/2026/09/01/01a05def-1c0d-76d1-abc6-07c63a443582/emulator-runs/initial/android/NUT-039-second-custom-meal-before-save.png</x:v>
      </x:c>
      <x:c r="K43" t="str">
        <x:v>A 350g P45/C50/F12 meal previewed and saved as 488 kcal. A second 200ml P20/C60/F10 meal previewed and saved as 410 kcal to Breakfast on 2026-09-02; Today totals and rows matched 4/4/9 exactly.</x:v>
      </x:c>
      <x:c r="L43" t="str"/>
      <x:c r="M43" t="str">
        <x:v>Both supported units and a non-default meal type were exercised.</x:v>
      </x:c>
    </x:row>
    <x:row r="44">
      <x:c r="A44" t="str">
        <x:v>RUN-0040</x:v>
      </x:c>
      <x:c r="B44" t="str">
        <x:v>NUT-041</x:v>
      </x:c>
      <x:c r="C44" t="str">
        <x:v>Initial</x:v>
      </x:c>
      <x:c r="D44" t="str">
        <x:v>Android</x:v>
      </x:c>
      <x:c r="E44" t="str">
        <x:v>Medium_Phone</x:v>
      </x:c>
      <x:c r="F44" t="str">
        <x:v>Android 17</x:v>
      </x:c>
      <x:c r="G44" t="str">
        <x:v>9e9dcf1+dirty; com.spacemancodes.buff 1.0.0 (12)</x:v>
      </x:c>
      <x:c r="H44" s="60" t="n">
        <x:v>46266.852488425924</x:v>
      </x:c>
      <x:c r="I44" t="str">
        <x:v>Passed</x:v>
      </x:c>
      <x:c r="J44" t="str">
        <x:v>/Users/mason/.codex/visualizations/2026/09/01/01a05def-1c0d-76d1-abc6-07c63a443582/emulator-runs/initial/android/NUT-041-recent-prefill-edited.png</x:v>
      </x:c>
      <x:c r="K44" t="str">
        <x:v>Tapping the recent 410-kcal custom snapshot copied its name, 200ml unit/portion, P20/C60/F10, and cleared errors. Renaming it, changing carbs to 61, selecting Lunch, and submitting created a distinct 414-kcal entry.</x:v>
      </x:c>
      <x:c r="L44" t="str"/>
      <x:c r="M44" t="str">
        <x:v>The recent list was ordered newest-first and included distinct snapshots; server tests cover the 10-item and deduplication limits.</x:v>
      </x:c>
    </x:row>
    <x:row r="45">
      <x:c r="A45" t="str">
        <x:v>RUN-0041</x:v>
      </x:c>
      <x:c r="B45" t="str">
        <x:v>NUT-081</x:v>
      </x:c>
      <x:c r="C45" t="str">
        <x:v>Initial</x:v>
      </x:c>
      <x:c r="D45" t="str">
        <x:v>Android</x:v>
      </x:c>
      <x:c r="E45" t="str">
        <x:v>Medium_Phone</x:v>
      </x:c>
      <x:c r="F45" t="str">
        <x:v>Android 17</x:v>
      </x:c>
      <x:c r="G45" t="str">
        <x:v>9e9dcf1+dirty; com.spacemancodes.buff 1.0.0 (12)</x:v>
      </x:c>
      <x:c r="H45" s="60" t="n">
        <x:v>46266.852488425924</x:v>
      </x:c>
      <x:c r="I45" t="str">
        <x:v>Failed</x:v>
      </x:c>
      <x:c r="J45" t="str">
        <x:v>/Users/mason/.codex/visualizations/2026/09/01/01a05def-1c0d-76d1-abc6-07c63a443582/emulator-runs/initial/android/NUT-089-meal-detail-no-repeat.png</x:v>
      </x:c>
      <x:c r="K45" t="str">
        <x:v>The detail sheet showed the correct meal type, name, 370 kcal, 350g, P40/C30/F10 with goal percentages, and its explicit Close restored row focus. Android system Back instead navigated browser history from dated Today to the preceding Weekly range page rather than dismissing in place.</x:v>
      </x:c>
      <x:c r="L45" t="str">
        <x:v>DEF-018</x:v>
      </x:c>
      <x:c r="M45" t="str">
        <x:v>The same AppSheet back-consumption root cause previously reproduced in Settings is now confirmed on meal details.</x:v>
      </x:c>
    </x:row>
    <x:row r="46">
      <x:c r="A46" t="str">
        <x:v>RUN-0042</x:v>
      </x:c>
      <x:c r="B46" t="str">
        <x:v>NUT-082</x:v>
      </x:c>
      <x:c r="C46" t="str">
        <x:v>Initial</x:v>
      </x:c>
      <x:c r="D46" t="str">
        <x:v>Android</x:v>
      </x:c>
      <x:c r="E46" t="str">
        <x:v>Medium_Phone</x:v>
      </x:c>
      <x:c r="F46" t="str">
        <x:v>Android 17</x:v>
      </x:c>
      <x:c r="G46" t="str">
        <x:v>9e9dcf1+dirty; com.spacemancodes.buff 1.0.0 (12)</x:v>
      </x:c>
      <x:c r="H46" s="60" t="n">
        <x:v>46266.852488425924</x:v>
      </x:c>
      <x:c r="I46" t="str">
        <x:v>Passed</x:v>
      </x:c>
      <x:c r="J46" t="str">
        <x:v>/Users/mason/.codex/visualizations/2026/09/01/01a05def-1c0d-76d1-abc6-07c63a443582/emulator-runs/initial/android/NUT-083-macro-edit-reclassified.png</x:v>
      </x:c>
      <x:c r="K46" t="str">
        <x:v>Two portioned custom entries opened Edit with exact name/quantity/unit prefill, Portion selected, Macros available, and correct meal type. Closing without save and reopening preserved the stored values.</x:v>
      </x:c>
      <x:c r="L46" t="str"/>
      <x:c r="M46" t="str">
        <x:v>The no-portion legacy branch remains covered by the focused server test because no safe emulator fixture exists yet.</x:v>
      </x:c>
    </x:row>
    <x:row r="47">
      <x:c r="A47" t="str">
        <x:v>RUN-0043</x:v>
      </x:c>
      <x:c r="B47" t="str">
        <x:v>NUT-083</x:v>
      </x:c>
      <x:c r="C47" t="str">
        <x:v>Initial</x:v>
      </x:c>
      <x:c r="D47" t="str">
        <x:v>Android</x:v>
      </x:c>
      <x:c r="E47" t="str">
        <x:v>Medium_Phone</x:v>
      </x:c>
      <x:c r="F47" t="str">
        <x:v>Android 17</x:v>
      </x:c>
      <x:c r="G47" t="str">
        <x:v>9e9dcf1+dirty; com.spacemancodes.buff 1.0.0 (12)</x:v>
      </x:c>
      <x:c r="H47" s="60" t="n">
        <x:v>46266.852488425924</x:v>
      </x:c>
      <x:c r="I47" t="str">
        <x:v>Passed</x:v>
      </x:c>
      <x:c r="J47" t="str">
        <x:v>/Users/mason/.codex/visualizations/2026/09/01/01a05def-1c0d-76d1-abc6-07c63a443582/emulator-runs/initial/android/NUT-083-macro-edit-reclassified.png</x:v>
      </x:c>
      <x:c r="K47" t="str">
        <x:v>Macros edit renamed the 350g entry, changed it to P40/C30/F10, recomputed 370 kcal, moved Lunch to Dinner, closed after save, and refreshed row/group/day totals without changing portion.</x:v>
      </x:c>
      <x:c r="L47" t="str"/>
      <x:c r="M47" t="str">
        <x:v>Persistence was confirmed across subsequent full navigations and reloads.</x:v>
      </x:c>
    </x:row>
    <x:row r="48">
      <x:c r="A48" t="str">
        <x:v>RUN-0044</x:v>
      </x:c>
      <x:c r="B48" t="str">
        <x:v>NUT-084</x:v>
      </x:c>
      <x:c r="C48" t="str">
        <x:v>Initial</x:v>
      </x:c>
      <x:c r="D48" t="str">
        <x:v>Android</x:v>
      </x:c>
      <x:c r="E48" t="str">
        <x:v>Medium_Phone</x:v>
      </x:c>
      <x:c r="F48" t="str">
        <x:v>Android 17</x:v>
      </x:c>
      <x:c r="G48" t="str">
        <x:v>9e9dcf1+dirty; com.spacemancodes.buff 1.0.0 (12)</x:v>
      </x:c>
      <x:c r="H48" s="60" t="n">
        <x:v>46266.852488425924</x:v>
      </x:c>
      <x:c r="I48" t="str">
        <x:v>Passed</x:v>
      </x:c>
      <x:c r="J48" t="str">
        <x:v>/Users/mason/.codex/visualizations/2026/09/01/01a05def-1c0d-76d1-abc6-07c63a443582/emulator-runs/initial/android/NUT-083-macro-edit-reclassified.png</x:v>
      </x:c>
      <x:c r="K48" t="str">
        <x:v>Portion edit doubled 350g to 700g and exactly doubled the snapshot to 740 kcal/P80/C60/F20; halving back to 350g restored 370/P40/C30/F10 and the same unit.</x:v>
      </x:c>
      <x:c r="L48" t="str"/>
      <x:c r="M48" t="str">
        <x:v>Server tests cover product catalogue recalculation, recipe servings, and tampered-unit rejection.</x:v>
      </x:c>
    </x:row>
    <x:row r="49">
      <x:c r="A49" t="str">
        <x:v>RUN-0045</x:v>
      </x:c>
      <x:c r="B49" t="str">
        <x:v>NUT-085</x:v>
      </x:c>
      <x:c r="C49" t="str">
        <x:v>Initial</x:v>
      </x:c>
      <x:c r="D49" t="str">
        <x:v>Android</x:v>
      </x:c>
      <x:c r="E49" t="str">
        <x:v>Medium_Phone</x:v>
      </x:c>
      <x:c r="F49" t="str">
        <x:v>Android 17</x:v>
      </x:c>
      <x:c r="G49" t="str">
        <x:v>9e9dcf1+dirty; com.spacemancodes.buff 1.0.0 (12)</x:v>
      </x:c>
      <x:c r="H49" s="60" t="n">
        <x:v>46266.852488425924</x:v>
      </x:c>
      <x:c r="I49" t="str">
        <x:v>Failed</x:v>
      </x:c>
      <x:c r="J49" t="str">
        <x:v>/Users/mason/.codex/visualizations/2026/09/01/01a05def-1c0d-76d1-abc6-07c63a443582/emulator-runs/initial/android/NUT-085-name-error-hidden.png</x:v>
      </x:c>
      <x:c r="K49" t="str">
        <x:v>Clearing Name and saving retained the open editor and rejected state but showed no inline or summary message. Visible portion and macro validation surfaces exist, so the missing name feedback is inconsistent.</x:v>
      </x:c>
      <x:c r="L49" t="str">
        <x:v>DEF-025</x:v>
      </x:c>
      <x:c r="M49" t="str">
        <x:v>The valid correction saved afterward without data loss.</x:v>
      </x:c>
    </x:row>
    <x:row r="50">
      <x:c r="A50" t="str">
        <x:v>RUN-0046</x:v>
      </x:c>
      <x:c r="B50" t="str">
        <x:v>NUT-088</x:v>
      </x:c>
      <x:c r="C50" t="str">
        <x:v>Initial</x:v>
      </x:c>
      <x:c r="D50" t="str">
        <x:v>Android</x:v>
      </x:c>
      <x:c r="E50" t="str">
        <x:v>Medium_Phone</x:v>
      </x:c>
      <x:c r="F50" t="str">
        <x:v>Android 17</x:v>
      </x:c>
      <x:c r="G50" t="str">
        <x:v>9e9dcf1+dirty; com.spacemancodes.buff 1.0.0 (12)</x:v>
      </x:c>
      <x:c r="H50" s="60" t="n">
        <x:v>46266.852488425924</x:v>
      </x:c>
      <x:c r="I50" t="str">
        <x:v>Passed</x:v>
      </x:c>
      <x:c r="J50" t="str">
        <x:v>/Users/mason/.codex/visualizations/2026/09/01/01a05def-1c0d-76d1-abc6-07c63a443582/emulator-runs/initial/android/NUT-088-repeat-before-save.png
/Users/mason/.codex/visualizations/2026/09/01/01a05def-1c0d-76d1-abc6-07c63a443582/emulator-runs/initial/android/NUT-088-repeat-independent-after-source-edit.png</x:v>
      </x:c>
      <x:c r="K50" t="str">
        <x:v>The 200ml/P20/C60/F10 snapshot reopened at 410 kcal. Changing to 100ml and Snacks recalculated 205/P10/C30/F5, created a separate row, and a later rename of the source left the copy’s old name and nutrition unchanged.</x:v>
      </x:c>
      <x:c r="L50" t="str"/>
      <x:c r="M50" t="str">
        <x:v>Distinct source/copy rows and snapshot independence were visible simultaneously.</x:v>
      </x:c>
    </x:row>
    <x:row r="51">
      <x:c r="A51" t="str">
        <x:v>RUN-0047</x:v>
      </x:c>
      <x:c r="B51" t="str">
        <x:v>NUT-089</x:v>
      </x:c>
      <x:c r="C51" t="str">
        <x:v>Initial</x:v>
      </x:c>
      <x:c r="D51" t="str">
        <x:v>Android</x:v>
      </x:c>
      <x:c r="E51" t="str">
        <x:v>Medium_Phone</x:v>
      </x:c>
      <x:c r="F51" t="str">
        <x:v>Android 17</x:v>
      </x:c>
      <x:c r="G51" t="str">
        <x:v>9e9dcf1+dirty; com.spacemancodes.buff 1.0.0 (12)</x:v>
      </x:c>
      <x:c r="H51" s="60" t="n">
        <x:v>46266.852488425924</x:v>
      </x:c>
      <x:c r="I51" t="str">
        <x:v>Failed</x:v>
      </x:c>
      <x:c r="J51" t="str">
        <x:v>/Users/mason/.codex/visualizations/2026/09/01/01a05def-1c0d-76d1-abc6-07c63a443582/emulator-runs/initial/android/NUT-089-meal-detail-no-repeat.png</x:v>
      </x:c>
      <x:c r="K51" t="str">
        <x:v>Today detail exposed only Edit and Delete, so repeating requires leaving the meal and rediscovering it under Add. Static route/query inspection confirms recipe meals are excluded from that previous-food discovery list.</x:v>
      </x:c>
      <x:c r="L51" t="str">
        <x:v>DEF-027</x:v>
      </x:c>
      <x:c r="M51" t="str">
        <x:v>Eligible custom repeat itself passed under NUT-088.</x:v>
      </x:c>
    </x:row>
    <x:row r="52">
      <x:c r="A52" t="str">
        <x:v>RUN-0048</x:v>
      </x:c>
      <x:c r="B52" t="str">
        <x:v>NUT-090</x:v>
      </x:c>
      <x:c r="C52" t="str">
        <x:v>Initial</x:v>
      </x:c>
      <x:c r="D52" t="str">
        <x:v>Android</x:v>
      </x:c>
      <x:c r="E52" t="str">
        <x:v>Medium_Phone</x:v>
      </x:c>
      <x:c r="F52" t="str">
        <x:v>Android 17</x:v>
      </x:c>
      <x:c r="G52" t="str">
        <x:v>9e9dcf1+dirty; com.spacemancodes.buff 1.0.0 (12)</x:v>
      </x:c>
      <x:c r="H52" s="60" t="n">
        <x:v>46266.852488425924</x:v>
      </x:c>
      <x:c r="I52" t="str">
        <x:v>Passed</x:v>
      </x:c>
      <x:c r="J52" t="str">
        <x:v>/Users/mason/.codex/visualizations/2026/09/01/01a05def-1c0d-76d1-abc6-07c63a443582/emulator-runs/initial/android/NUT-083-macro-edit-reclassified.png</x:v>
      </x:c>
      <x:c r="K52" t="str">
        <x:v>Editing the sole Lunch row to Dinner removed it from Lunch, restored the Lunch Add affordance, inserted it into Dinner, preserved the selected date and portion, and changed totals only according to the simultaneous macro edit.</x:v>
      </x:c>
      <x:c r="L52" t="str"/>
      <x:c r="M52" t="str">
        <x:v>A separate repeat was also created directly into Snacks.</x:v>
      </x:c>
    </x:row>
    <x:row r="53">
      <x:c r="A53" t="str">
        <x:v>RUN-0049</x:v>
      </x:c>
      <x:c r="B53" t="str">
        <x:v>NUT-091</x:v>
      </x:c>
      <x:c r="C53" t="str">
        <x:v>Initial</x:v>
      </x:c>
      <x:c r="D53" t="str">
        <x:v>Android</x:v>
      </x:c>
      <x:c r="E53" t="str">
        <x:v>Medium_Phone</x:v>
      </x:c>
      <x:c r="F53" t="str">
        <x:v>Android 17</x:v>
      </x:c>
      <x:c r="G53" t="str">
        <x:v>9e9dcf1+dirty; com.spacemancodes.buff 1.0.0 (12)</x:v>
      </x:c>
      <x:c r="H53" s="60" t="n">
        <x:v>46266.852488425924</x:v>
      </x:c>
      <x:c r="I53" t="str">
        <x:v>Passed</x:v>
      </x:c>
      <x:c r="J53" t="str">
        <x:v>/Users/mason/.codex/visualizations/2026/09/01/01a05def-1c0d-76d1-abc6-07c63a443582/emulator-runs/initial/android/NUT-091-populated-protein.png</x:v>
      </x:c>
      <x:c r="K53" t="str">
        <x:v>Protein, Carbs, and Fat cards each opened the matching /macros/{slug}?date=2026-09-02 page with the correct uppercase date/header, and each Back link returned to /?date=2026-09-02.</x:v>
      </x:c>
      <x:c r="L53" t="str"/>
      <x:c r="M53" t="str">
        <x:v>Invalid-date feedback remains tracked separately by DEF-008; unsupported slug rejection is covered by the feature test.</x:v>
      </x:c>
    </x:row>
    <x:row r="54">
      <x:c r="A54" t="str">
        <x:v>RUN-0050</x:v>
      </x:c>
      <x:c r="B54" t="str">
        <x:v>NUT-092</x:v>
      </x:c>
      <x:c r="C54" t="str">
        <x:v>Initial</x:v>
      </x:c>
      <x:c r="D54" t="str">
        <x:v>Android</x:v>
      </x:c>
      <x:c r="E54" t="str">
        <x:v>Medium_Phone</x:v>
      </x:c>
      <x:c r="F54" t="str">
        <x:v>Android 17</x:v>
      </x:c>
      <x:c r="G54" t="str">
        <x:v>9e9dcf1+dirty; com.spacemancodes.buff 1.0.0 (12)</x:v>
      </x:c>
      <x:c r="H54" s="60" t="n">
        <x:v>46266.852488425924</x:v>
      </x:c>
      <x:c r="I54" t="str">
        <x:v>Passed</x:v>
      </x:c>
      <x:c r="J54" t="str">
        <x:v>/Users/mason/.codex/visualizations/2026/09/01/01a05def-1c0d-76d1-abc6-07c63a443582/emulator-runs/initial/android/NUT-093-protein-attribution-order.png
/Users/mason/.codex/visualizations/2026/09/01/01a05def-1c0d-76d1-abc6-07c63a443582/emulator-runs/initial/android/NUT-093-carbs-attribution-order.png
/Users/mason/.codex/visualizations/2026/09/01/01a05def-1c0d-76d1-abc6-07c63a443582/emulator-runs/initial/android/NUT-093-fat-tie-attribution-order.png</x:v>
      </x:c>
      <x:c r="K54" t="str">
        <x:v>For known meal macros the pages showed the independently calculated current splits, configured 30/40/30 goal splits, eaten grams, and effective daily goal grams. The workout later raised protein goal from 154g to 176g without changing eaten grams.</x:v>
      </x:c>
      <x:c r="L54" t="str"/>
      <x:c r="M54" t="str">
        <x:v>Zero and over-100 percentage safety is additionally covered by MacroBreakdownTest.</x:v>
      </x:c>
    </x:row>
    <x:row r="55">
      <x:c r="A55" t="str">
        <x:v>RUN-0051</x:v>
      </x:c>
      <x:c r="B55" t="str">
        <x:v>NUT-093</x:v>
      </x:c>
      <x:c r="C55" t="str">
        <x:v>Initial</x:v>
      </x:c>
      <x:c r="D55" t="str">
        <x:v>Android</x:v>
      </x:c>
      <x:c r="E55" t="str">
        <x:v>Medium_Phone</x:v>
      </x:c>
      <x:c r="F55" t="str">
        <x:v>Android 17</x:v>
      </x:c>
      <x:c r="G55" t="str">
        <x:v>9e9dcf1+dirty; com.spacemancodes.buff 1.0.0 (12)</x:v>
      </x:c>
      <x:c r="H55" s="60" t="n">
        <x:v>46266.852488425924</x:v>
      </x:c>
      <x:c r="I55" t="str">
        <x:v>Passed</x:v>
      </x:c>
      <x:c r="J55" t="str">
        <x:v>/Users/mason/.codex/visualizations/2026/09/01/01a05def-1c0d-76d1-abc6-07c63a443582/emulator-runs/initial/android/NUT-093-protein-attribution-order.png
/Users/mason/.codex/visualizations/2026/09/01/01a05def-1c0d-76d1-abc6-07c63a443582/emulator-runs/initial/android/NUT-093-carbs-attribution-order.png
/Users/mason/.codex/visualizations/2026/09/01/01a05def-1c0d-76d1-abc6-07c63a443582/emulator-runs/initial/android/NUT-093-fat-tie-attribution-order.png</x:v>
      </x:c>
      <x:c r="K55" t="str">
        <x:v>Protein sorted 40g before 20g, Carbs sorted 60g before 30g, and equal 10g Fat entries stayed oldest-first. Every card retained meal group, g/ml portion, selected contribution, and all three macro values.</x:v>
      </x:c>
      <x:c r="L55" t="str"/>
      <x:c r="M55" t="str">
        <x:v>A later four-food protein view also preserved descending order and both 20g tie entries.</x:v>
      </x:c>
    </x:row>
    <x:row r="56">
      <x:c r="A56" t="str">
        <x:v>RUN-0052</x:v>
      </x:c>
      <x:c r="B56" t="str">
        <x:v>NUT-095</x:v>
      </x:c>
      <x:c r="C56" t="str">
        <x:v>Initial</x:v>
      </x:c>
      <x:c r="D56" t="str">
        <x:v>Android</x:v>
      </x:c>
      <x:c r="E56" t="str">
        <x:v>Medium_Phone</x:v>
      </x:c>
      <x:c r="F56" t="str">
        <x:v>Android 17</x:v>
      </x:c>
      <x:c r="G56" t="str">
        <x:v>9e9dcf1+dirty; com.spacemancodes.buff 1.0.0 (12)</x:v>
      </x:c>
      <x:c r="H56" s="60" t="n">
        <x:v>46266.852488425924</x:v>
      </x:c>
      <x:c r="I56" t="str">
        <x:v>Blocked</x:v>
      </x:c>
      <x:c r="J56" t="str">
        <x:v>/Users/mason/.codex/visualizations/2026/09/01/01a05def-1c0d-76d1-abc6-07c63a443582/emulator-runs/initial/android/HLT-045-all-eat-back-restored.png</x:v>
      </x:c>
      <x:c r="K56" t="str">
        <x:v>After 301 kcal of workouts, Today physically verified all three modes and the Protein breakdown in All mode showed eaten 90g unchanged with goal raised from 154g to 176g.</x:v>
      </x:c>
      <x:c r="L56" t="str"/>
      <x:c r="M56" t="str">
        <x:v>Opening a macro breakdown in Half and None modes plus an imported-workout branch remains before this story can pass.</x:v>
      </x:c>
    </x:row>
    <x:row r="57">
      <x:c r="A57" t="str">
        <x:v>RUN-0053</x:v>
      </x:c>
      <x:c r="B57" t="str">
        <x:v>HLT-040</x:v>
      </x:c>
      <x:c r="C57" t="str">
        <x:v>Initial</x:v>
      </x:c>
      <x:c r="D57" t="str">
        <x:v>Android</x:v>
      </x:c>
      <x:c r="E57" t="str">
        <x:v>Medium_Phone</x:v>
      </x:c>
      <x:c r="F57" t="str">
        <x:v>Android 17</x:v>
      </x:c>
      <x:c r="G57" t="str">
        <x:v>9e9dcf1+dirty; com.spacemancodes.buff 1.0.0 (12)</x:v>
      </x:c>
      <x:c r="H57" s="60" t="n">
        <x:v>46266.852488425924</x:v>
      </x:c>
      <x:c r="I57" t="str">
        <x:v>Passed</x:v>
      </x:c>
      <x:c r="J57" t="str">
        <x:v>/Users/mason/.codex/visualizations/2026/09/01/01a05def-1c0d-76d1-abc6-07c63a443582/emulator-runs/initial/android/HLT-040-evening-workout-before-save.png
/Users/mason/.codex/visualizations/2026/09/01/01a05def-1c0d-76d1-abc6-07c63a443582/emulator-runs/initial/android/HLT-040-morning-workout-before-save.png</x:v>
      </x:c>
      <x:c r="K57" t="str">
        <x:v>The dated Add workout form initialized a time and created manual 181-kcal 18:45 and 120-kcal 07:15 records on future date 2026-09-02. Each save redirected to that exact Today date and persisted through navigation.</x:v>
      </x:c>
      <x:c r="L57" t="str"/>
      <x:c r="M57" t="str">
        <x:v>Today-date creation is the same local controller path and is covered by WorkoutEntryTest.</x:v>
      </x:c>
    </x:row>
    <x:row r="58">
      <x:c r="A58" t="str">
        <x:v>RUN-0054</x:v>
      </x:c>
      <x:c r="B58" t="str">
        <x:v>HLT-041</x:v>
      </x:c>
      <x:c r="C58" t="str">
        <x:v>Initial</x:v>
      </x:c>
      <x:c r="D58" t="str">
        <x:v>Android</x:v>
      </x:c>
      <x:c r="E58" t="str">
        <x:v>Medium_Phone</x:v>
      </x:c>
      <x:c r="F58" t="str">
        <x:v>Android 17</x:v>
      </x:c>
      <x:c r="G58" t="str">
        <x:v>9e9dcf1+dirty; com.spacemancodes.buff 1.0.0 (12)</x:v>
      </x:c>
      <x:c r="H58" s="60" t="n">
        <x:v>46266.852488425924</x:v>
      </x:c>
      <x:c r="I58" t="str">
        <x:v>Blocked</x:v>
      </x:c>
      <x:c r="J58" t="str">
        <x:v>/Users/mason/.codex/visualizations/2026/09/01/01a05def-1c0d-76d1-abc6-07c63a443582/emulator-runs/initial/android/HLT-041-workout-order-burn.png</x:v>
      </x:c>
      <x:c r="K58" t="str">
        <x:v>Two manual workouts created in reverse time order rendered 07:15 then 18:45 with exact titles/calories and 301 total burned. Editing the later item to 06:30 re-sorted it first and updated total burn to 441.</x:v>
      </x:c>
      <x:c r="L58" t="str"/>
      <x:c r="M58" t="str">
        <x:v>Imported/manual visual comparison and date isolation across a second populated date remain blocked until a health-import fixture is available.</x:v>
      </x:c>
    </x:row>
    <x:row r="59">
      <x:c r="A59" t="str">
        <x:v>RUN-0055</x:v>
      </x:c>
      <x:c r="B59" t="str">
        <x:v>HLT-042</x:v>
      </x:c>
      <x:c r="C59" t="str">
        <x:v>Initial</x:v>
      </x:c>
      <x:c r="D59" t="str">
        <x:v>Android</x:v>
      </x:c>
      <x:c r="E59" t="str">
        <x:v>Medium_Phone</x:v>
      </x:c>
      <x:c r="F59" t="str">
        <x:v>Android 17</x:v>
      </x:c>
      <x:c r="G59" t="str">
        <x:v>9e9dcf1+dirty; com.spacemancodes.buff 1.0.0 (12)</x:v>
      </x:c>
      <x:c r="H59" s="60" t="n">
        <x:v>46266.852488425924</x:v>
      </x:c>
      <x:c r="I59" t="str">
        <x:v>Passed</x:v>
      </x:c>
      <x:c r="J59" t="str">
        <x:v>/Users/mason/.codex/visualizations/2026/09/01/01a05def-1c0d-76d1-abc6-07c63a443582/emulator-runs/initial/android/HLT-042-edit-validation.png
/Users/mason/.codex/visualizations/2026/09/01/01a05def-1c0d-76d1-abc6-07c63a443582/emulator-runs/initial/android/HLT-042-workout-edited-reordered.png</x:v>
      </x:c>
      <x:c r="K59" t="str">
        <x:v>Edit prefilled the exact title, 181 calories, and 18:45 time. Blank/10001 stayed open with both visible errors; valid QA Early Cycle/321/06:30 saved, closed, retained 2026-09-02, and reordered before 07:15.</x:v>
      </x:c>
      <x:c r="L59" t="str"/>
      <x:c r="M59" t="str">
        <x:v>The sheet does not display the date, matching the documented UX risk but not preventing correct persistence.</x:v>
      </x:c>
    </x:row>
    <x:row r="60">
      <x:c r="A60" t="str">
        <x:v>RUN-0056</x:v>
      </x:c>
      <x:c r="B60" t="str">
        <x:v>HLT-045</x:v>
      </x:c>
      <x:c r="C60" t="str">
        <x:v>Initial</x:v>
      </x:c>
      <x:c r="D60" t="str">
        <x:v>Android</x:v>
      </x:c>
      <x:c r="E60" t="str">
        <x:v>Medium_Phone</x:v>
      </x:c>
      <x:c r="F60" t="str">
        <x:v>Android 17</x:v>
      </x:c>
      <x:c r="G60" t="str">
        <x:v>9e9dcf1+dirty; com.spacemancodes.buff 1.0.0 (12)</x:v>
      </x:c>
      <x:c r="H60" s="60" t="n">
        <x:v>46266.852488425924</x:v>
      </x:c>
      <x:c r="I60" t="str">
        <x:v>Passed</x:v>
      </x:c>
      <x:c r="J60" t="str">
        <x:v>/Users/mason/.codex/visualizations/2026/09/01/01a05def-1c0d-76d1-abc6-07c63a443582/emulator-runs/initial/android/HLT-045-all-eat-back-restored.png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x:v>
      </x:c>
      <x:c r="K60" t="str">
        <x:v>All/Half/None each reached Saving then Saved, persisted across reload, kept burned at 301, and produced exact calorie/macro targets. A rapid All→Half→None→All sequence settled on All and reload showed its final values.</x:v>
      </x:c>
      <x:c r="L60" t="str">
        <x:v>DEF-026</x:v>
      </x:c>
      <x:c r="M60" t="str">
        <x:v>Functional and concurrency behavior passed; the linked defect is limited to missing selected-state semantics.</x:v>
      </x:c>
    </x:row>
    <x:row r="61">
      <x:c r="A61" t="str">
        <x:v>RUN-0057</x:v>
      </x:c>
      <x:c r="B61" t="str">
        <x:v>HLT-046</x:v>
      </x:c>
      <x:c r="C61" t="str">
        <x:v>Initial</x:v>
      </x:c>
      <x:c r="D61" t="str">
        <x:v>Android</x:v>
      </x:c>
      <x:c r="E61" t="str">
        <x:v>Medium_Phone</x:v>
      </x:c>
      <x:c r="F61" t="str">
        <x:v>Android 17</x:v>
      </x:c>
      <x:c r="G61" t="str">
        <x:v>9e9dcf1+dirty; com.spacemancodes.buff 1.0.0 (12)</x:v>
      </x:c>
      <x:c r="H61" s="60" t="n">
        <x:v>46266.852488425924</x:v>
      </x:c>
      <x:c r="I61" t="str">
        <x:v>Blocked</x:v>
      </x:c>
      <x:c r="J61" t="str">
        <x:v>/Users/mason/.codex/visualizations/2026/09/01/01a05def-1c0d-76d1-abc6-07c63a443582/emulator-runs/initial/android/HLT-046-workout-validation.png
/Users/mason/.codex/visualizations/2026/09/01/01a05def-1c0d-76d1-abc6-07c63a443582/emulator-runs/initial/android/HLT-042-edit-validation.png</x:v>
      </x:c>
      <x:c r="K61" t="str">
        <x:v>Create and Edit both retained the form and visibly rejected blank title and 10001 calories; a valid future-date workout saved. No invalid row was created.</x:v>
      </x:c>
      <x:c r="L61" t="str"/>
      <x:c r="M61" t="str">
        <x:v>121-character title, zero/decimal calories, malformed time, and a synced imported upper-bound mismatch remain to complete the boundary matrix.</x:v>
      </x:c>
    </x:row>
    <x:row r="62">
      <x:c r="A62" t="str">
        <x:v>RUN-0058</x:v>
      </x:c>
      <x:c r="B62" t="str">
        <x:v>ACC-037</x:v>
      </x:c>
      <x:c r="C62" t="str">
        <x:v>Initial</x:v>
      </x:c>
      <x:c r="D62" t="str">
        <x:v>Android</x:v>
      </x:c>
      <x:c r="E62" t="str">
        <x:v>Medium_Phone</x:v>
      </x:c>
      <x:c r="F62" t="str">
        <x:v>Android 17</x:v>
      </x:c>
      <x:c r="G62" t="str">
        <x:v>9e9dcf1+dirty; com.spacemancodes.buff 1.0.0 (12)</x:v>
      </x:c>
      <x:c r="H62" s="60" t="n">
        <x:v>46266.852488425924</x:v>
      </x:c>
      <x:c r="I62" t="str">
        <x:v>Passed</x:v>
      </x:c>
      <x:c r="J62" t="str">
        <x:v>/Users/mason/.codex/visualizations/2026/09/01/01a05def-1c0d-76d1-abc6-07c63a443582/emulator-runs/initial/android/HLT-045-all-eat-back-restored.png
/Users/mason/.codex/visualizations/2026/09/01/01a05def-1c0d-76d1-abc6-07c63a443582/emulator-runs/initial/android/HLT-045-half-eat-back.png
/Users/mason/.codex/visualizations/2026/09/01/01a05def-1c0d-76d1-abc6-07c63a443582/emulator-runs/initial/android/HLT-045-none-eat-back.png</x:v>
      </x:c>
      <x:c r="K62" t="str">
        <x:v>All three explanatory options autosaved without toast, surfaced Saving/Saved, latest rapid choice won, and exact 301/151/0 eat-back effects persisted in Today calorie and macro targets.</x:v>
      </x:c>
      <x:c r="L62" t="str">
        <x:v>DEF-026</x:v>
      </x:c>
      <x:c r="M62" t="str">
        <x:v>Functional behavior passed; current-choice semantics are the linked accessibility defect.</x:v>
      </x:c>
    </x:row>
    <x:row r="63">
      <x:c r="A63" t="str">
        <x:v>RUN-0059</x:v>
      </x:c>
      <x:c r="B63" t="str">
        <x:v>NUT-096</x:v>
      </x:c>
      <x:c r="C63" t="str">
        <x:v>Initial</x:v>
      </x:c>
      <x:c r="D63" t="str">
        <x:v>Android</x:v>
      </x:c>
      <x:c r="E63" t="str">
        <x:v>Medium_Phone</x:v>
      </x:c>
      <x:c r="F63" t="str">
        <x:v>Android 17</x:v>
      </x:c>
      <x:c r="G63" t="str">
        <x:v>9e9dcf1+dirty; com.spacemancodes.buff 1.0.0 (12)</x:v>
      </x:c>
      <x:c r="H63" s="60" t="n">
        <x:v>46266.852488425924</x:v>
      </x:c>
      <x:c r="I63" t="str">
        <x:v>Passed</x:v>
      </x:c>
      <x:c r="J63" t="str">
        <x:v>/Users/mason/.codex/visualizations/2026/09/01/01a05def-1c0d-76d1-abc6-07c63a443582/emulator-runs/initial/android/NUT-107-range-reactive-correct.png</x:v>
      </x:c>
      <x:c r="K63" t="str">
        <x:v>Opening Weekly from 2026-09-02 selected the Monday 2026-08-31 through Sunday 2026-09-06 week, rendered exactly seven dated rows, kept Sep 2 as the data-bearing day, and retained the same-date Back target.</x:v>
      </x:c>
      <x:c r="L63" t="str"/>
      <x:c r="M63" t="str">
        <x:v>Monday/Sunday/year-boundary calculations are covered by WeeklySummaryTest.</x:v>
      </x:c>
    </x:row>
    <x:row r="64">
      <x:c r="A64" t="str">
        <x:v>RUN-0060</x:v>
      </x:c>
      <x:c r="B64" t="str">
        <x:v>NUT-100</x:v>
      </x:c>
      <x:c r="C64" t="str">
        <x:v>Initial</x:v>
      </x:c>
      <x:c r="D64" t="str">
        <x:v>Android</x:v>
      </x:c>
      <x:c r="E64" t="str">
        <x:v>Medium_Phone</x:v>
      </x:c>
      <x:c r="F64" t="str">
        <x:v>Android 17</x:v>
      </x:c>
      <x:c r="G64" t="str">
        <x:v>9e9dcf1+dirty; com.spacemancodes.buff 1.0.0 (12)</x:v>
      </x:c>
      <x:c r="H64" s="60" t="n">
        <x:v>46266.852488425924</x:v>
      </x:c>
      <x:c r="I64" t="str">
        <x:v>Passed</x:v>
      </x:c>
      <x:c r="J64" t="str">
        <x:v>/Users/mason/.codex/visualizations/2026/09/01/01a05def-1c0d-76d1-abc6-07c63a443582/emulator-runs/initial/android/NUT-107-range-reactive-correct.png</x:v>
      </x:c>
      <x:c r="K64" t="str">
        <x:v>With one logged day, Weekly showed 1,399 kcal daily average, 2,491 effective logged-day target, 1,399 this period, and 441 burned while six unlogged days did not depress the intake average. A one-day empty range then showed 0 against 2,050.</x:v>
      </x:c>
      <x:c r="L64" t="str"/>
      <x:c r="M64" t="str">
        <x:v>Multiple logged-day averaging remains covered by the feature suite.</x:v>
      </x:c>
    </x:row>
    <x:row r="65">
      <x:c r="A65" t="str">
        <x:v>RUN-0061</x:v>
      </x:c>
      <x:c r="B65" t="str">
        <x:v>NUT-101</x:v>
      </x:c>
      <x:c r="C65" t="str">
        <x:v>Initial</x:v>
      </x:c>
      <x:c r="D65" t="str">
        <x:v>Android</x:v>
      </x:c>
      <x:c r="E65" t="str">
        <x:v>Medium_Phone</x:v>
      </x:c>
      <x:c r="F65" t="str">
        <x:v>Android 17</x:v>
      </x:c>
      <x:c r="G65" t="str">
        <x:v>9e9dcf1+dirty; com.spacemancodes.buff 1.0.0 (12)</x:v>
      </x:c>
      <x:c r="H65" s="60" t="n">
        <x:v>46266.852488425924</x:v>
      </x:c>
      <x:c r="I65" t="str">
        <x:v>Passed</x:v>
      </x:c>
      <x:c r="J65" t="str">
        <x:v>/Users/mason/.codex/visualizations/2026/09/01/01a05def-1c0d-76d1-abc6-07c63a443582/emulator-runs/initial/android/NUT-107-range-reactive-correct.png</x:v>
      </x:c>
      <x:c r="K65" t="str">
        <x:v>The seven-day view summed P90/C181/F35 and displayed rounded full-period base goals P1076/C1435/F478. Switching to a one-day empty range updated all three cards to 0/154, 0/205, and 0/68.</x:v>
      </x:c>
      <x:c r="L65" t="str"/>
      <x:c r="M65" t="str">
        <x:v>Observed behavior matches the documented non-exercise-adjusted period macro-goal contract.</x:v>
      </x:c>
    </x:row>
    <x:row r="66">
      <x:c r="A66" t="str">
        <x:v>RUN-0062</x:v>
      </x:c>
      <x:c r="B66" t="str">
        <x:v>NUT-102</x:v>
      </x:c>
      <x:c r="C66" t="str">
        <x:v>Initial</x:v>
      </x:c>
      <x:c r="D66" t="str">
        <x:v>Android</x:v>
      </x:c>
      <x:c r="E66" t="str">
        <x:v>Medium_Phone</x:v>
      </x:c>
      <x:c r="F66" t="str">
        <x:v>Android 17</x:v>
      </x:c>
      <x:c r="G66" t="str">
        <x:v>9e9dcf1+dirty; com.spacemancodes.buff 1.0.0 (12)</x:v>
      </x:c>
      <x:c r="H66" s="60" t="n">
        <x:v>46266.852488425924</x:v>
      </x:c>
      <x:c r="I66" t="str">
        <x:v>Blocked</x:v>
      </x:c>
      <x:c r="J66" t="str">
        <x:v>/Users/mason/.codex/visualizations/2026/09/01/01a05def-1c0d-76d1-abc6-07c63a443582/emulator-runs/initial/android/NUT-107-range-reactive-correct.png</x:v>
      </x:c>
      <x:c r="K66" t="str">
        <x:v>Sep 2 rendered 1399/2491 with exact P90/C181/F35 and under target; six empty dates rendered 0/2050 and no log. The custom empty day rendered neutral safely.</x:v>
      </x:c>
      <x:c r="L66" t="str"/>
      <x:c r="M66" t="str">
        <x:v>The exact ±50 on-target and over-target boundary matrix still needs meals distributed across additional dates.</x:v>
      </x:c>
    </x:row>
    <x:row r="67">
      <x:c r="A67" t="str">
        <x:v>RUN-0063</x:v>
      </x:c>
      <x:c r="B67" t="str">
        <x:v>NUT-103</x:v>
      </x:c>
      <x:c r="C67" t="str">
        <x:v>Initial</x:v>
      </x:c>
      <x:c r="D67" t="str">
        <x:v>Android</x:v>
      </x:c>
      <x:c r="E67" t="str">
        <x:v>Medium_Phone</x:v>
      </x:c>
      <x:c r="F67" t="str">
        <x:v>Android 17</x:v>
      </x:c>
      <x:c r="G67" t="str">
        <x:v>9e9dcf1+dirty; com.spacemancodes.buff 1.0.0 (12)</x:v>
      </x:c>
      <x:c r="H67" s="60" t="n">
        <x:v>46266.852488425924</x:v>
      </x:c>
      <x:c r="I67" t="str">
        <x:v>Blocked</x:v>
      </x:c>
      <x:c r="J67" t="str">
        <x:v>/Users/mason/.codex/visualizations/2026/09/01/01a05def-1c0d-76d1-abc6-07c63a443582/emulator-runs/initial/android/NUT-107-range-reactive-correct.png</x:v>
      </x:c>
      <x:c r="K67" t="str">
        <x:v>The one logged day produced 0 of 1 logged days on target and Averaged 1,399 kcal on logged days vs 2,491 target; unlogged days were excluded and the empty custom range omitted the insight card.</x:v>
      </x:c>
      <x:c r="L67" t="str"/>
      <x:c r="M67" t="str">
        <x:v>Mixed target/under/over logs and no-goal wording remain before full pass.</x:v>
      </x:c>
    </x:row>
    <x:row r="68">
      <x:c r="A68" t="str">
        <x:v>RUN-0064</x:v>
      </x:c>
      <x:c r="B68" t="str">
        <x:v>NUT-104</x:v>
      </x:c>
      <x:c r="C68" t="str">
        <x:v>Initial</x:v>
      </x:c>
      <x:c r="D68" t="str">
        <x:v>Android</x:v>
      </x:c>
      <x:c r="E68" t="str">
        <x:v>Medium_Phone</x:v>
      </x:c>
      <x:c r="F68" t="str">
        <x:v>Android 17</x:v>
      </x:c>
      <x:c r="G68" t="str">
        <x:v>9e9dcf1+dirty; com.spacemancodes.buff 1.0.0 (12)</x:v>
      </x:c>
      <x:c r="H68" s="60" t="n">
        <x:v>46266.852488425924</x:v>
      </x:c>
      <x:c r="I68" t="str">
        <x:v>Blocked</x:v>
      </x:c>
      <x:c r="J68" t="str">
        <x:v>/Users/mason/.codex/visualizations/2026/09/01/01a05def-1c0d-76d1-abc6-07c63a443582/emulator-runs/initial/android/NUT-107-range-reactive-correct.png</x:v>
      </x:c>
      <x:c r="K68" t="str">
        <x:v>With food logged only on Wednesday, the weekday-versus-weekend insight was correctly omitted.</x:v>
      </x:c>
      <x:c r="L68" t="str"/>
      <x:c r="M68" t="str">
        <x:v>Positive, negative, and equal comparisons require one controlled weekend log and remain untested.</x:v>
      </x:c>
    </x:row>
    <x:row r="69">
      <x:c r="A69" t="str">
        <x:v>RUN-0065</x:v>
      </x:c>
      <x:c r="B69" t="str">
        <x:v>NUT-107</x:v>
      </x:c>
      <x:c r="C69" t="str">
        <x:v>Initial</x:v>
      </x:c>
      <x:c r="D69" t="str">
        <x:v>Android</x:v>
      </x:c>
      <x:c r="E69" t="str">
        <x:v>Medium_Phone</x:v>
      </x:c>
      <x:c r="F69" t="str">
        <x:v>Android 17</x:v>
      </x:c>
      <x:c r="G69" t="str">
        <x:v>9e9dcf1+dirty; com.spacemancodes.buff 1.0.0 (12)</x:v>
      </x:c>
      <x:c r="H69" s="60" t="n">
        <x:v>46266.852488425924</x:v>
      </x:c>
      <x:c r="I69" t="str">
        <x:v>Passed</x:v>
      </x:c>
      <x:c r="J69" t="str">
        <x:v>/Users/mason/.codex/visualizations/2026/09/01/01a05def-1c0d-76d1-abc6-07c63a443582/emulator-runs/initial/android/NUT-107-range-reactive-correct.png</x:v>
      </x:c>
      <x:c r="K69" t="str">
        <x:v>An in-component Week→Range visit from the populated Sep 2 week to start=end Sep 1 updated the URL, mode, date inputs, hero 1399/2491→0/2050, all macro cards 90/1076 etc.→0/154 etc., insights, and daily rows without a hard reload.</x:v>
      </x:c>
      <x:c r="L69" t="str"/>
      <x:c r="M69" t="str">
        <x:v>The predicted stale-prop defect did not reproduce because this Inertia visit remounted or refreshed the page state correctly.</x:v>
      </x:c>
    </x:row>
    <x:row r="70">
      <x:c r="A70" t="str">
        <x:v>RUN-0066</x:v>
      </x:c>
      <x:c r="B70" t="str">
        <x:v>NUT-086</x:v>
      </x:c>
      <x:c r="C70" t="str">
        <x:v>Initial</x:v>
      </x:c>
      <x:c r="D70" t="str">
        <x:v>Android</x:v>
      </x:c>
      <x:c r="E70" t="str">
        <x:v>Medium_Phone</x:v>
      </x:c>
      <x:c r="F70" t="str">
        <x:v>Android 17</x:v>
      </x:c>
      <x:c r="G70" t="str">
        <x:v>9e9dcf1+dirty; com.spacemancodes.buff 1.0.0 (12)</x:v>
      </x:c>
      <x:c r="H70" s="60" t="n">
        <x:v>46266.85806712963</x:v>
      </x:c>
      <x:c r="I70" t="str">
        <x:v>Passed</x:v>
      </x:c>
      <x:c r="J70" t="str">
        <x:v>/Users/mason/.codex/visualizations/2026/09/01/01a05def-1c0d-76d1-abc6-07c63a443582/emulator-runs/initial/android/NUT-086-delete-confirmation.png
/Users/mason/.codex/visualizations/2026/09/01/01a05def-1c0d-76d1-abc6-07c63a443582/emulator-runs/initial/android/NUT-087-offline-delete-confirmation.png</x:v>
      </x:c>
      <x:c r="K70" t="str">
        <x:v>Delete opened an alert naming QA Order Meal Android 20260901 and Snacks. Cancel preserved the detail and row. Reopening and confirming removed the exact 205-kcal copy, closed both sheets, restored the dated Today page, and reduced all totals immediately.</x:v>
      </x:c>
      <x:c r="L70" t="str">
        <x:v>DEF-018</x:v>
      </x:c>
      <x:c r="M70" t="str">
        <x:v>The confirmation lifecycle passed. The linked shared AppSheet defect remains because Android system Back does not dismiss these sheets in place.</x:v>
      </x:c>
    </x:row>
    <x:row r="71">
      <x:c r="A71" t="str">
        <x:v>RUN-0067</x:v>
      </x:c>
      <x:c r="B71" t="str">
        <x:v>NUT-087</x:v>
      </x:c>
      <x:c r="C71" t="str">
        <x:v>Initial</x:v>
      </x:c>
      <x:c r="D71" t="str">
        <x:v>Android</x:v>
      </x:c>
      <x:c r="E71" t="str">
        <x:v>Medium_Phone</x:v>
      </x:c>
      <x:c r="F71" t="str">
        <x:v>Android 17</x:v>
      </x:c>
      <x:c r="G71" t="str">
        <x:v>9e9dcf1+dirty; com.spacemancodes.buff 1.0.0 (12)</x:v>
      </x:c>
      <x:c r="H71" s="60" t="n">
        <x:v>46266.85806712963</x:v>
      </x:c>
      <x:c r="I71" t="str">
        <x:v>Blocked</x:v>
      </x:c>
      <x:c r="J71" t="str">
        <x:v>/Users/mason/.codex/visualizations/2026/09/01/01a05def-1c0d-76d1-abc6-07c63a443582/emulator-runs/initial/android/NUT-087-offline-delete-confirmation.png</x:v>
      </x:c>
      <x:c r="K71" t="str">
        <x:v>With Android airplane mode active and the No internet connection banner visible, confirming Delete succeeded locally, removed the row/totals, survived reconnection and an app force-stop/relaunch, and left a tombstone for later sync.</x:v>
      </x:c>
      <x:c r="L71" t="str"/>
      <x:c r="M71" t="str">
        <x:v>The injected local database/500 failure branch and its Couldn’t delete this meal retry message remain untested.</x:v>
      </x:c>
    </x:row>
    <x:row r="72">
      <x:c r="A72" t="str">
        <x:v>RUN-0068</x:v>
      </x:c>
      <x:c r="B72" t="str">
        <x:v>NUT-095</x:v>
      </x:c>
      <x:c r="C72" t="str">
        <x:v>Initial</x:v>
      </x:c>
      <x:c r="D72" t="str">
        <x:v>Android</x:v>
      </x:c>
      <x:c r="E72" t="str">
        <x:v>Medium_Phone</x:v>
      </x:c>
      <x:c r="F72" t="str">
        <x:v>Android 17</x:v>
      </x:c>
      <x:c r="G72" t="str">
        <x:v>9e9dcf1+dirty; com.spacemancodes.buff 1.0.0 (12)</x:v>
      </x:c>
      <x:c r="H72" s="60" t="n">
        <x:v>46266.85806712963</x:v>
      </x:c>
      <x:c r="I72" t="str">
        <x:v>Passed</x:v>
      </x:c>
      <x:c r="J72" t="str">
        <x:v>/Users/mason/.codex/visualizations/2026/09/01/01a05def-1c0d-76d1-abc6-07c63a443582/emulator-runs/initial/android/HLT-045-all-eat-back-restored.png
/Users/mason/.codex/visualizations/2026/09/01/01a05def-1c0d-76d1-abc6-07c63a443582/emulator-runs/initial/android/NUT-095-half-macro-goal.png
/Users/mason/.codex/visualizations/2026/09/01/01a05def-1c0d-76d1-abc6-07c63a443582/emulator-runs/initial/android/NUT-095-none-macro-goal.png</x:v>
      </x:c>
      <x:c r="K72" t="str">
        <x:v>For the same meals and odd workout burn, Protein breakdown kept eaten grams/current split unchanged while its daily goal followed All, Half, and None. With 441 burned after edit, Half showed 170g and None restored 154g; Today and automated service assertions matched the same scale.</x:v>
      </x:c>
      <x:c r="L72" t="str"/>
      <x:c r="M72" t="str">
        <x:v>All was restored and persisted. Imported workouts use the same summed-burn input and remain covered by importer/service tests.</x:v>
      </x:c>
    </x:row>
    <x:row r="73">
      <x:c r="A73" t="str">
        <x:v>RUN-0069</x:v>
      </x:c>
      <x:c r="B73" t="str">
        <x:v>HLT-043</x:v>
      </x:c>
      <x:c r="C73" t="str">
        <x:v>Initial</x:v>
      </x:c>
      <x:c r="D73" t="str">
        <x:v>Android</x:v>
      </x:c>
      <x:c r="E73" t="str">
        <x:v>Medium_Phone</x:v>
      </x:c>
      <x:c r="F73" t="str">
        <x:v>Android 17</x:v>
      </x:c>
      <x:c r="G73" t="str">
        <x:v>9e9dcf1+dirty; com.spacemancodes.buff 1.0.0 (12)</x:v>
      </x:c>
      <x:c r="H73" s="60" t="n">
        <x:v>46266.85806712963</x:v>
      </x:c>
      <x:c r="I73" t="str">
        <x:v>Failed</x:v>
      </x:c>
      <x:c r="J73" t="str">
        <x:v>/Users/mason/.codex/visualizations/2026/09/01/01a05def-1c0d-76d1-abc6-07c63a443582/emulator-runs/initial/android/HLT-043-delete-confirmation.png
/Users/mason/.codex/visualizations/2026/09/01/01a05def-1c0d-76d1-abc6-07c63a443582/emulator-runs/initial/android/HLT-043-offline-delete-confirmation.png</x:v>
      </x:c>
      <x:c r="K73" t="str">
        <x:v>Cancel preserved QA Early Cycle and 441 burned. Offline Confirm removed that exact manual workout, reduced burn to 120 and target/remaining to 2170/976, then persisted after reconnect. On the remaining workout’s confirmation, one Android Back navigated to /settings/exercise instead of closing the alert on Today; returning proved the workout was not deleted.</x:v>
      </x:c>
      <x:c r="L73" t="str">
        <x:v>DEF-018</x:v>
      </x:c>
      <x:c r="M73" t="str">
        <x:v>The local deletion and offline behavior pass; the failed result is the native Back interaction on the top sheet.</x:v>
      </x:c>
    </x:row>
    <x:row r="74">
      <x:c r="A74" t="str">
        <x:v>RUN-0070</x:v>
      </x:c>
      <x:c r="B74" t="str">
        <x:v>NUT-108</x:v>
      </x:c>
      <x:c r="C74" t="str">
        <x:v>Initial</x:v>
      </x:c>
      <x:c r="D74" t="str">
        <x:v>Android</x:v>
      </x:c>
      <x:c r="E74" t="str">
        <x:v>Medium_Phone</x:v>
      </x:c>
      <x:c r="F74" t="str">
        <x:v>Android 17</x:v>
      </x:c>
      <x:c r="G74" t="str">
        <x:v>9e9dcf1+dirty; com.spacemancodes.buff 1.0.0 (12)</x:v>
      </x:c>
      <x:c r="H74" s="60" t="n">
        <x:v>46266.85806712963</x:v>
      </x:c>
      <x:c r="I74" t="str">
        <x:v>Blocked</x:v>
      </x:c>
      <x:c r="J74" t="str">
        <x:v>/Users/mason/.codex/visualizations/2026/09/01/01a05def-1c0d-76d1-abc6-07c63a443582/emulator-runs/initial/android/NUT-087-offline-delete-confirmation.png</x:v>
      </x:c>
      <x:c r="K74" t="str">
        <x:v>A signed-in meal tombstone was created and applied immediately while offline; the deleted meal stayed gone through reconnect and relaunch while the global offline state communicated connectivity loss.</x:v>
      </x:c>
      <x:c r="L74" t="str"/>
      <x:c r="M74" t="str">
        <x:v>Outbox-row inspection across every nutrition model and receipt on the iOS emulator remain before the cross-device story can pass.</x:v>
      </x:c>
    </x:row>
    <x:row r="75">
      <x:c r="A75" t="str">
        <x:v>RUN-0071</x:v>
      </x:c>
      <x:c r="B75" t="str">
        <x:v>NUT-042</x:v>
      </x:c>
      <x:c r="C75" t="str">
        <x:v>Initial</x:v>
      </x:c>
      <x:c r="D75" t="str">
        <x:v>Android</x:v>
      </x:c>
      <x:c r="E75" t="str">
        <x:v>Medium_Phone</x:v>
      </x:c>
      <x:c r="F75" t="str">
        <x:v>Android 17</x:v>
      </x:c>
      <x:c r="G75" t="str">
        <x:v>9e9dcf1+dirty; com.spacemancodes.buff 1.0.0 (12)</x:v>
      </x:c>
      <x:c r="H75" s="60" t="n">
        <x:v>46266.860763888886</x:v>
      </x:c>
      <x:c r="I75" t="str">
        <x:v>Passed</x:v>
      </x:c>
      <x:c r="J75" t="str">
        <x:v>/Users/mason/.codex/visualizations/2026/09/01/01a05def-1c0d-76d1-abc6-07c63a443582/emulator-runs/initial/android/NUT-042-offline-custom-before-save.png</x:v>
      </x:c>
      <x:c r="K75" t="str">
        <x:v>With Android airplane mode active and the No internet connection banner visible, a Snacks custom meal at 100g/P1/C2/F3 previewed 39 kcal, saved locally, redirected to 2026-09-02, updated totals, survived force-stop/relaunch while still offline, and remained after reconnect for queued sync.</x:v>
      </x:c>
      <x:c r="L75" t="str"/>
      <x:c r="M75" t="str">
        <x:v>The exact QA Offline Meal fixture will be deleted through the normal UI after downstream recipe/search runs no longer need previous-food data.</x:v>
      </x:c>
    </x:row>
    <x:row r="76">
      <x:c r="A76" t="str">
        <x:v>RUN-0072</x:v>
      </x:c>
      <x:c r="B76" t="str">
        <x:v>NUT-108</x:v>
      </x:c>
      <x:c r="C76" t="str">
        <x:v>Initial</x:v>
      </x:c>
      <x:c r="D76" t="str">
        <x:v>Android</x:v>
      </x:c>
      <x:c r="E76" t="str">
        <x:v>Medium_Phone</x:v>
      </x:c>
      <x:c r="F76" t="str">
        <x:v>Android 17</x:v>
      </x:c>
      <x:c r="G76" t="str">
        <x:v>9e9dcf1+dirty; com.spacemancodes.buff 1.0.0 (12)</x:v>
      </x:c>
      <x:c r="H76" s="60" t="n">
        <x:v>46266.860763888886</x:v>
      </x:c>
      <x:c r="I76" t="str">
        <x:v>Blocked</x:v>
      </x:c>
      <x:c r="J76" t="str">
        <x:v>/Users/mason/.codex/visualizations/2026/09/01/01a05def-1c0d-76d1-abc6-07c63a443582/emulator-runs/initial/android/NUT-042-offline-custom-before-save.png
/Users/mason/.codex/visualizations/2026/09/01/01a05def-1c0d-76d1-abc6-07c63a443582/emulator-runs/initial/android/NUT-087-offline-delete-confirmation.png</x:v>
      </x:c>
      <x:c r="K76" t="str">
        <x:v>Both offline create and delete were immediately usable, persisted across app restart/reconnect, and remained represented locally while network state was globally visible. The signed-in observer/outbox path was exercised from the actual production test account.</x:v>
      </x:c>
      <x:c r="L76" t="str"/>
      <x:c r="M76" t="str">
        <x:v>Direct outbox-state inspection for every synced nutrition model and receipt on the iOS emulator remain before this cross-device story can pass.</x:v>
      </x:c>
    </x:row>
    <x:row r="77">
      <x:c r="A77" t="str">
        <x:v>RUN-0073</x:v>
      </x:c>
      <x:c r="B77" t="str">
        <x:v>NUT-002</x:v>
      </x:c>
      <x:c r="C77" t="str">
        <x:v>Initial</x:v>
      </x:c>
      <x:c r="D77" t="str">
        <x:v>Android</x:v>
      </x:c>
      <x:c r="E77" t="str">
        <x:v>Medium_Phone</x:v>
      </x:c>
      <x:c r="F77" t="str">
        <x:v>Android 17</x:v>
      </x:c>
      <x:c r="G77" t="str">
        <x:v>9e9dcf1+dirty; com.spacemancodes.buff 1.0.0 (12)</x:v>
      </x:c>
      <x:c r="H77" s="60" t="n">
        <x:v>46266.86203703703</x:v>
      </x:c>
      <x:c r="I77" t="str">
        <x:v>Failed</x:v>
      </x:c>
      <x:c r="J77" t="str">
        <x:v>/Users/mason/.codex/visualizations/2026/09/01/01a05def-1c0d-76d1-abc6-07c63a443582/emulator-runs/initial/android/NUT-002-invalid-date-hidden.png</x:v>
      </x:c>
      <x:c r="K77" t="str">
        <x:v>Home without a date opened local Tuesday 1 September with no QA records; /?date=2026-09-02 opened Wednesday and only its meals/workout. A malformed date redirected to the previous dated page but displayed no reason or validation feedback.</x:v>
      </x:c>
      <x:c r="L77" t="str">
        <x:v>DEF-028</x:v>
      </x:c>
      <x:c r="M77" t="str">
        <x:v>Valid date isolation and heading formatting passed; the failed result is the silent invalid-date branch.</x:v>
      </x:c>
    </x:row>
    <x:row r="78">
      <x:c r="A78" t="str">
        <x:v>RUN-0074</x:v>
      </x:c>
      <x:c r="B78" t="str">
        <x:v>NUT-011</x:v>
      </x:c>
      <x:c r="C78" t="str">
        <x:v>Initial</x:v>
      </x:c>
      <x:c r="D78" t="str">
        <x:v>Android</x:v>
      </x:c>
      <x:c r="E78" t="str">
        <x:v>Medium_Phone</x:v>
      </x:c>
      <x:c r="F78" t="str">
        <x:v>Android 17</x:v>
      </x:c>
      <x:c r="G78" t="str">
        <x:v>9e9dcf1+dirty; com.spacemancodes.buff 1.0.0 (12)</x:v>
      </x:c>
      <x:c r="H78" s="60" t="n">
        <x:v>46266.86203703703</x:v>
      </x:c>
      <x:c r="I78" t="str">
        <x:v>Blocked</x:v>
      </x:c>
      <x:c r="J78" t="str">
        <x:v>/Users/mason/.codex/visualizations/2026/09/01/01a05def-1c0d-76d1-abc6-07c63a443582/emulator-runs/initial/android/NUT-010-second-meal-group-order.png</x:v>
      </x:c>
      <x:c r="K78" t="str">
        <x:v>Multiple positive-calorie entries on future date 2026-09-02 left the current streak at 0 both on that historical/future view and on empty Sep 1, confirming future food is ignored and the present-day value is reused across selected dates.</x:v>
      </x:c>
      <x:c r="L78" t="str"/>
      <x:c r="M78" t="str">
        <x:v>Today-ending, yesterday-ending, gap, and expired positive streak cases require controlled Sep 1/earlier meal fixtures before the story can pass.</x:v>
      </x:c>
    </x:row>
    <x:row r="79">
      <x:c r="A79" t="str">
        <x:v>RUN-0075</x:v>
      </x:c>
      <x:c r="B79" t="str">
        <x:v>NUT-026</x:v>
      </x:c>
      <x:c r="C79" t="str">
        <x:v>Initial</x:v>
      </x:c>
      <x:c r="D79" t="str">
        <x:v>Android</x:v>
      </x:c>
      <x:c r="E79" t="str">
        <x:v>Medium_Phone</x:v>
      </x:c>
      <x:c r="F79" t="str">
        <x:v>Android 17</x:v>
      </x:c>
      <x:c r="G79" t="str">
        <x:v>9e9dcf1+dirty; com.spacemancodes.buff 1.0.0 (12)</x:v>
      </x:c>
      <x:c r="H79" s="60" t="n">
        <x:v>46266.87496527778</x:v>
      </x:c>
      <x:c r="I79" t="str">
        <x:v>Passed</x:v>
      </x:c>
      <x:c r="J79" t="str">
        <x:v>/Users/mason/.codex/visualizations/2026/09/01/01a05def-1c0d-76d1-abc6-07c63a443582/emulator-runs/initial/android/NUT-027-barcode-52g-preview.png</x:v>
      </x:c>
      <x:c r="K79" t="str">
        <x:v>The selected product opened a dialog with name, brand, image, per-100 nutrition, portion and meal controls, scaled summary, Add action, and a working Close path.</x:v>
      </x:c>
      <x:c r="L79" t="str">
        <x:v>DEF-029</x:v>
      </x:c>
      <x:c r="M79" t="str">
        <x:v>Functional review passed; the adjacent control-labelling defect remains open.</x:v>
      </x:c>
    </x:row>
    <x:row r="80">
      <x:c r="A80" t="str">
        <x:v>RUN-0076</x:v>
      </x:c>
      <x:c r="B80" t="str">
        <x:v>NUT-027</x:v>
      </x:c>
      <x:c r="C80" t="str">
        <x:v>Initial</x:v>
      </x:c>
      <x:c r="D80" t="str">
        <x:v>Android</x:v>
      </x:c>
      <x:c r="E80" t="str">
        <x:v>Medium_Phone</x:v>
      </x:c>
      <x:c r="F80" t="str">
        <x:v>Android 17</x:v>
      </x:c>
      <x:c r="G80" t="str">
        <x:v>9e9dcf1+dirty; com.spacemancodes.buff 1.0.0 (12)</x:v>
      </x:c>
      <x:c r="H80" s="60" t="n">
        <x:v>46266.87496527778</x:v>
      </x:c>
      <x:c r="I80" t="str">
        <x:v>Passed</x:v>
      </x:c>
      <x:c r="J80" t="str">
        <x:v>/Users/mason/.codex/visualizations/2026/09/01/01a05def-1c0d-76d1-abc6-07c63a443582/emulator-runs/initial/android/NUT-027-barcode-52g-preview.png</x:v>
      </x:c>
      <x:c r="K80" t="str">
        <x:v>The product displayed 385 kcal/P9.6/C71.2/F7.7 per 100g; its 52g chip recalculated to 200 kcal/P5/C37/F4 and the saved row retained 52g.</x:v>
      </x:c>
      <x:c r="L80" t="str">
        <x:v>DEF-029</x:v>
      </x:c>
      <x:c r="M80" t="str">
        <x:v>Solid-product scaling passed; the liquid branch remains separate.</x:v>
      </x:c>
    </x:row>
    <x:row r="81">
      <x:c r="A81" t="str">
        <x:v>RUN-0077</x:v>
      </x:c>
      <x:c r="B81" t="str">
        <x:v>NUT-029</x:v>
      </x:c>
      <x:c r="C81" t="str">
        <x:v>Initial</x:v>
      </x:c>
      <x:c r="D81" t="str">
        <x:v>Android</x:v>
      </x:c>
      <x:c r="E81" t="str">
        <x:v>Medium_Phone</x:v>
      </x:c>
      <x:c r="F81" t="str">
        <x:v>Android 17</x:v>
      </x:c>
      <x:c r="G81" t="str">
        <x:v>9e9dcf1+dirty; com.spacemancodes.buff 1.0.0 (12)</x:v>
      </x:c>
      <x:c r="H81" s="60" t="n">
        <x:v>46266.87496527778</x:v>
      </x:c>
      <x:c r="I81" t="str">
        <x:v>Failed</x:v>
      </x:c>
      <x:c r="J81" t="str">
        <x:v>/Users/mason/.codex/visualizations/2026/09/01/01a05def-1c0d-76d1-abc6-07c63a443582/emulator-runs/initial/android/NUT-029-product-error-hidden.png</x:v>
      </x:c>
      <x:c r="K81" t="str">
        <x:v>Quantity 0 was rejected and created no meal, but the open drawer showed no returned validation message. Correcting it to 52g then saved successfully.</x:v>
      </x:c>
      <x:c r="L81" t="str">
        <x:v>DEF-030</x:v>
      </x:c>
      <x:c r="M81" t="str">
        <x:v>Additional negative, maximum, unit mismatch, and stale-id branches remain covered by focused tests.</x:v>
      </x:c>
    </x:row>
    <x:row r="82">
      <x:c r="A82" t="str">
        <x:v>RUN-0078</x:v>
      </x:c>
      <x:c r="B82" t="str">
        <x:v>NUT-038</x:v>
      </x:c>
      <x:c r="C82" t="str">
        <x:v>Initial</x:v>
      </x:c>
      <x:c r="D82" t="str">
        <x:v>Android</x:v>
      </x:c>
      <x:c r="E82" t="str">
        <x:v>Medium_Phone</x:v>
      </x:c>
      <x:c r="F82" t="str">
        <x:v>Android 17</x:v>
      </x:c>
      <x:c r="G82" t="str">
        <x:v>9e9dcf1+dirty; com.spacemancodes.buff 1.0.0 (12)</x:v>
      </x:c>
      <x:c r="H82" s="60" t="n">
        <x:v>46266.87496527778</x:v>
      </x:c>
      <x:c r="I82" t="str">
        <x:v>Passed</x:v>
      </x:c>
      <x:c r="J82" t="str">
        <x:v>/Users/mason/.codex/visualizations/2026/09/01/01a05def-1c0d-76d1-abc6-07c63a443582/emulator-runs/initial/android/NUT-038-product-meal-detail.png</x:v>
      </x:c>
      <x:c r="K82" t="str">
        <x:v>The reviewed 52g product saved to Breakfast on 2026-09-02, redirected to dated Today, updated totals, and reopened with its 200-kcal product snapshot and portion intact.</x:v>
      </x:c>
      <x:c r="L82" t="str"/>
      <x:c r="M82" t="str">
        <x:v>Offline product-save persistence remains part of NUT-036.</x:v>
      </x:c>
    </x:row>
    <x:row r="83">
      <x:c r="A83" t="str">
        <x:v>RUN-0079</x:v>
      </x:c>
      <x:c r="B83" t="str">
        <x:v>NUT-043</x:v>
      </x:c>
      <x:c r="C83" t="str">
        <x:v>Initial</x:v>
      </x:c>
      <x:c r="D83" t="str">
        <x:v>Android</x:v>
      </x:c>
      <x:c r="E83" t="str">
        <x:v>Medium_Phone</x:v>
      </x:c>
      <x:c r="F83" t="str">
        <x:v>Android 17</x:v>
      </x:c>
      <x:c r="G83" t="str">
        <x:v>9e9dcf1+dirty; com.spacemancodes.buff 1.0.0 (12)</x:v>
      </x:c>
      <x:c r="H83" s="60" t="n">
        <x:v>46266.87496527778</x:v>
      </x:c>
      <x:c r="I83" t="str">
        <x:v>Passed</x:v>
      </x:c>
      <x:c r="J83" t="str">
        <x:v>/Users/mason/.codex/visualizations/2026/09/01/01a05def-1c0d-76d1-abc6-07c63a443582/emulator-runs/initial/android/NUT-044-new-recipe-empty.png
/Users/mason/.codex/visualizations/2026/09/01/01a05def-1c0d-76d1-abc6-07c63a443582/emulator-runs/initial/android/NUT-053-recipe-list-after-delete.png</x:v>
      </x:c>
      <x:c r="K83" t="str">
        <x:v>The empty state exposed one create action. After creating two recipes, the list showed Recipes selected, newest-first rows with names, batch calories, ingredient counts, log targets, delete controls, and New recipe.</x:v>
      </x:c>
      <x:c r="L83" t="str"/>
      <x:c r="M83" t="str">
        <x:v>One recipe was subsequently deleted through its confirmation.</x:v>
      </x:c>
    </x:row>
    <x:row r="84">
      <x:c r="A84" t="str">
        <x:v>RUN-0080</x:v>
      </x:c>
      <x:c r="B84" t="str">
        <x:v>NUT-044</x:v>
      </x:c>
      <x:c r="C84" t="str">
        <x:v>Initial</x:v>
      </x:c>
      <x:c r="D84" t="str">
        <x:v>Android</x:v>
      </x:c>
      <x:c r="E84" t="str">
        <x:v>Medium_Phone</x:v>
      </x:c>
      <x:c r="F84" t="str">
        <x:v>Android 17</x:v>
      </x:c>
      <x:c r="G84" t="str">
        <x:v>9e9dcf1+dirty; com.spacemancodes.buff 1.0.0 (12)</x:v>
      </x:c>
      <x:c r="H84" s="60" t="n">
        <x:v>46266.87496527778</x:v>
      </x:c>
      <x:c r="I84" t="str">
        <x:v>Failed</x:v>
      </x:c>
      <x:c r="J84" t="str">
        <x:v>/Users/mason/.codex/visualizations/2026/09/01/01a05def-1c0d-76d1-abc6-07c63a443582/emulator-runs/initial/android/NUT-044-draft-before-cancel.png
/Users/mason/.codex/visualizations/2026/09/01/01a05def-1c0d-76d1-abc6-07c63a443582/emulator-runs/initial/android/NUT-044-cancel-reopen-stale-fields.png</x:v>
      </x:c>
      <x:c r="K84" t="str">
        <x:v>Cancel returned without a save and top-level fields/items reset, but an unadded custom/search draft survived reopening. Save was disabled with no items.</x:v>
      </x:c>
      <x:c r="L84" t="str">
        <x:v>DEF-007</x:v>
      </x:c>
      <x:c r="M84" t="str">
        <x:v>A later draft containing a fully added ingredient cleared correctly, isolating the stale state to the mini-form/search draft.</x:v>
      </x:c>
    </x:row>
    <x:row r="85">
      <x:c r="A85" t="str">
        <x:v>RUN-0081</x:v>
      </x:c>
      <x:c r="B85" t="str">
        <x:v>NUT-045</x:v>
      </x:c>
      <x:c r="C85" t="str">
        <x:v>Initial</x:v>
      </x:c>
      <x:c r="D85" t="str">
        <x:v>Android</x:v>
      </x:c>
      <x:c r="E85" t="str">
        <x:v>Medium_Phone</x:v>
      </x:c>
      <x:c r="F85" t="str">
        <x:v>Android 17</x:v>
      </x:c>
      <x:c r="G85" t="str">
        <x:v>9e9dcf1+dirty; com.spacemancodes.buff 1.0.0 (12)</x:v>
      </x:c>
      <x:c r="H85" s="60" t="n">
        <x:v>46266.87496527778</x:v>
      </x:c>
      <x:c r="I85" t="str">
        <x:v>Failed</x:v>
      </x:c>
      <x:c r="J85" t="str">
        <x:v>/Users/mason/.codex/visualizations/2026/09/01/01a05def-1c0d-76d1-abc6-07c63a443582/emulator-runs/initial/android/NUT-044-draft-before-cancel.png</x:v>
      </x:c>
      <x:c r="K85" t="str">
        <x:v>Typing Thai peanut issued one request per character, exceeded the 10-per-minute route budget, and left an ordinary empty result with no error or retry. A later direct request returned the expected mixed payload.</x:v>
      </x:c>
      <x:c r="L85" t="str">
        <x:v>DEF-031</x:v>
      </x:c>
      <x:c r="M85" t="str">
        <x:v>Product selection after the throttled run is recorded separately as Blocked under NUT-046.</x:v>
      </x:c>
    </x:row>
    <x:row r="86">
      <x:c r="A86" t="str">
        <x:v>RUN-0082</x:v>
      </x:c>
      <x:c r="B86" t="str">
        <x:v>NUT-046</x:v>
      </x:c>
      <x:c r="C86" t="str">
        <x:v>Initial</x:v>
      </x:c>
      <x:c r="D86" t="str">
        <x:v>Android</x:v>
      </x:c>
      <x:c r="E86" t="str">
        <x:v>Medium_Phone</x:v>
      </x:c>
      <x:c r="F86" t="str">
        <x:v>Android 17</x:v>
      </x:c>
      <x:c r="G86" t="str">
        <x:v>9e9dcf1+dirty; com.spacemancodes.buff 1.0.0 (12)</x:v>
      </x:c>
      <x:c r="H86" s="60" t="n">
        <x:v>46266.87496527778</x:v>
      </x:c>
      <x:c r="I86" t="str">
        <x:v>Blocked</x:v>
      </x:c>
      <x:c r="J86" t="str">
        <x:v>/Users/mason/.codex/visualizations/2026/09/01/01a05def-1c0d-76d1-abc6-07c63a443582/emulator-runs/initial/android/NUT-048-recipe-a-before-save.png</x:v>
      </x:c>
      <x:c r="K86" t="str">
        <x:v>Canonical server recalculation is covered by the focused recipe tests, but the emulator product-search selection branch was blocked after the undebounced search exhausted its route limit.</x:v>
      </x:c>
      <x:c r="L86" t="str"/>
      <x:c r="M86" t="str">
        <x:v>Retry after the route window and a liquid-product branch are still required.</x:v>
      </x:c>
    </x:row>
    <x:row r="87">
      <x:c r="A87" t="str">
        <x:v>RUN-0083</x:v>
      </x:c>
      <x:c r="B87" t="str">
        <x:v>NUT-047</x:v>
      </x:c>
      <x:c r="C87" t="str">
        <x:v>Initial</x:v>
      </x:c>
      <x:c r="D87" t="str">
        <x:v>Android</x:v>
      </x:c>
      <x:c r="E87" t="str">
        <x:v>Medium_Phone</x:v>
      </x:c>
      <x:c r="F87" t="str">
        <x:v>Android 17</x:v>
      </x:c>
      <x:c r="G87" t="str">
        <x:v>9e9dcf1+dirty; com.spacemancodes.buff 1.0.0 (12)</x:v>
      </x:c>
      <x:c r="H87" s="60" t="n">
        <x:v>46266.87496527778</x:v>
      </x:c>
      <x:c r="I87" t="str">
        <x:v>Failed</x:v>
      </x:c>
      <x:c r="J87" t="str">
        <x:v>/Users/mason/.codex/visualizations/2026/09/01/01a05def-1c0d-76d1-abc6-07c63a443582/emulator-runs/initial/android/NUT-047-nested-errors-hidden.png</x:v>
      </x:c>
      <x:c r="K87" t="str">
        <x:v>Valid custom ingredients appended, reset, removed, and restored totals. Invalid mini-form values could also append, then made Save fail without a visible nested item error.</x:v>
      </x:c>
      <x:c r="L87" t="str">
        <x:v>DEF-023</x:v>
      </x:c>
      <x:c r="M87" t="str">
        <x:v>The final saved deterministic recipe used only valid ingredients.</x:v>
      </x:c>
    </x:row>
    <x:row r="88">
      <x:c r="A88" t="str">
        <x:v>RUN-0084</x:v>
      </x:c>
      <x:c r="B88" t="str">
        <x:v>NUT-048</x:v>
      </x:c>
      <x:c r="C88" t="str">
        <x:v>Initial</x:v>
      </x:c>
      <x:c r="D88" t="str">
        <x:v>Android</x:v>
      </x:c>
      <x:c r="E88" t="str">
        <x:v>Medium_Phone</x:v>
      </x:c>
      <x:c r="F88" t="str">
        <x:v>Android 17</x:v>
      </x:c>
      <x:c r="G88" t="str">
        <x:v>9e9dcf1+dirty; com.spacemancodes.buff 1.0.0 (12)</x:v>
      </x:c>
      <x:c r="H88" s="60" t="n">
        <x:v>46266.87496527778</x:v>
      </x:c>
      <x:c r="I88" t="str">
        <x:v>Passed</x:v>
      </x:c>
      <x:c r="J88" t="str">
        <x:v>/Users/mason/.codex/visualizations/2026/09/01/01a05def-1c0d-76d1-abc6-07c63a443582/emulator-runs/initial/android/NUT-048-recipe-a-before-save.png</x:v>
      </x:c>
      <x:c r="K88" t="str">
        <x:v>Two ingredients produced exact live batch totals of 264 kcal/P16/C32/F8; removing and re-adding one subtracted and restored the values. Yield 100.1 displayed the maximum error before a valid yield 4 save.</x:v>
      </x:c>
      <x:c r="L88" t="str"/>
      <x:c r="M88" t="str">
        <x:v>Native minimum handling and the server maximum were both exercised.</x:v>
      </x:c>
    </x:row>
    <x:row r="89">
      <x:c r="A89" t="str">
        <x:v>RUN-0085</x:v>
      </x:c>
      <x:c r="B89" t="str">
        <x:v>NUT-049</x:v>
      </x:c>
      <x:c r="C89" t="str">
        <x:v>Initial</x:v>
      </x:c>
      <x:c r="D89" t="str">
        <x:v>Android</x:v>
      </x:c>
      <x:c r="E89" t="str">
        <x:v>Medium_Phone</x:v>
      </x:c>
      <x:c r="F89" t="str">
        <x:v>Android 17</x:v>
      </x:c>
      <x:c r="G89" t="str">
        <x:v>9e9dcf1+dirty; com.spacemancodes.buff 1.0.0 (12)</x:v>
      </x:c>
      <x:c r="H89" s="60" t="n">
        <x:v>46266.87496527778</x:v>
      </x:c>
      <x:c r="I89" t="str">
        <x:v>Failed</x:v>
      </x:c>
      <x:c r="J89" t="str">
        <x:v>/Users/mason/.codex/visualizations/2026/09/01/01a05def-1c0d-76d1-abc6-07c63a443582/emulator-runs/initial/android/NUT-047-nested-errors-hidden.png
/Users/mason/.codex/visualizations/2026/09/01/01a05def-1c0d-76d1-abc6-07c63a443582/emulator-runs/initial/android/NUT-053-recipe-list-after-delete.png</x:v>
      </x:c>
      <x:c r="K89" t="str">
        <x:v>A valid historical-date recipe saved, redirected to the same Recipes mode, appeared with 264 kcal and two ingredients, and survived relaunch. Invalid nested ingredients made Save look inert because their errors were not rendered.</x:v>
      </x:c>
      <x:c r="L89" t="str">
        <x:v>DEF-023</x:v>
      </x:c>
      <x:c r="M89" t="str">
        <x:v>Blank top-level name did show its visible required error.</x:v>
      </x:c>
    </x:row>
    <x:row r="90">
      <x:c r="A90" t="str">
        <x:v>RUN-0086</x:v>
      </x:c>
      <x:c r="B90" t="str">
        <x:v>NUT-050</x:v>
      </x:c>
      <x:c r="C90" t="str">
        <x:v>Initial</x:v>
      </x:c>
      <x:c r="D90" t="str">
        <x:v>Android</x:v>
      </x:c>
      <x:c r="E90" t="str">
        <x:v>Medium_Phone</x:v>
      </x:c>
      <x:c r="F90" t="str">
        <x:v>Android 17</x:v>
      </x:c>
      <x:c r="G90" t="str">
        <x:v>9e9dcf1+dirty; com.spacemancodes.buff 1.0.0 (12)</x:v>
      </x:c>
      <x:c r="H90" s="60" t="n">
        <x:v>46266.87496527778</x:v>
      </x:c>
      <x:c r="I90" t="str">
        <x:v>Failed</x:v>
      </x:c>
      <x:c r="J90" t="str">
        <x:v>/Users/mason/.codex/visualizations/2026/09/01/01a05def-1c0d-76d1-abc6-07c63a443582/emulator-runs/initial/android/NUT-051-recipe-a-two-servings-before-log.png</x:v>
      </x:c>
      <x:c r="K90" t="str">
        <x:v>The form showed saved yield, all four meal types, Back, and respected an explicit Dinner query, but a no-meal evening launch still selected Breakfast.</x:v>
      </x:c>
      <x:c r="L90" t="str">
        <x:v>DEF-032</x:v>
      </x:c>
      <x:c r="M90" t="str">
        <x:v>Back returned to the recipe list without a mutation.</x:v>
      </x:c>
    </x:row>
    <x:row r="91">
      <x:c r="A91" t="str">
        <x:v>RUN-0087</x:v>
      </x:c>
      <x:c r="B91" t="str">
        <x:v>NUT-051</x:v>
      </x:c>
      <x:c r="C91" t="str">
        <x:v>Initial</x:v>
      </x:c>
      <x:c r="D91" t="str">
        <x:v>Android</x:v>
      </x:c>
      <x:c r="E91" t="str">
        <x:v>Medium_Phone</x:v>
      </x:c>
      <x:c r="F91" t="str">
        <x:v>Android 17</x:v>
      </x:c>
      <x:c r="G91" t="str">
        <x:v>9e9dcf1+dirty; com.spacemancodes.buff 1.0.0 (12)</x:v>
      </x:c>
      <x:c r="H91" s="60" t="n">
        <x:v>46266.87496527778</x:v>
      </x:c>
      <x:c r="I91" t="str">
        <x:v>Failed</x:v>
      </x:c>
      <x:c r="J91" t="str">
        <x:v>/Users/mason/.codex/visualizations/2026/09/01/01a05def-1c0d-76d1-abc6-07c63a443582/emulator-runs/initial/android/NUT-051-recipe-a-two-servings-before-log.png
/Users/mason/.codex/visualizations/2026/09/01/01a05def-1c0d-76d1-abc6-07c63a443582/emulator-runs/initial/android/NUT-052-recipe-b-blank-servings-logged.png</x:v>
      </x:c>
      <x:c r="K91" t="str">
        <x:v>Yield-4 Recipe A scaled exactly to 1 serving 66/P4/C8/F2, 2 servings 132/P8/C16/F4, and 4 servings 264/P16/C32/F8 across three dates. Today rendered each portion as only the bare number.</x:v>
      </x:c>
      <x:c r="L91" t="str">
        <x:v>DEF-033</x:v>
      </x:c>
      <x:c r="M91" t="str">
        <x:v>Scaling and snapshot persistence passed; the failed result is the unclear serving display.</x:v>
      </x:c>
    </x:row>
    <x:row r="92">
      <x:c r="A92" t="str">
        <x:v>RUN-0088</x:v>
      </x:c>
      <x:c r="B92" t="str">
        <x:v>NUT-052</x:v>
      </x:c>
      <x:c r="C92" t="str">
        <x:v>Initial</x:v>
      </x:c>
      <x:c r="D92" t="str">
        <x:v>Android</x:v>
      </x:c>
      <x:c r="E92" t="str">
        <x:v>Medium_Phone</x:v>
      </x:c>
      <x:c r="F92" t="str">
        <x:v>Android 17</x:v>
      </x:c>
      <x:c r="G92" t="str">
        <x:v>9e9dcf1+dirty; com.spacemancodes.buff 1.0.0 (12)</x:v>
      </x:c>
      <x:c r="H92" s="60" t="n">
        <x:v>46266.87496527778</x:v>
      </x:c>
      <x:c r="I92" t="str">
        <x:v>Failed</x:v>
      </x:c>
      <x:c r="J92" t="str">
        <x:v>/Users/mason/.codex/visualizations/2026/09/01/01a05def-1c0d-76d1-abc6-07c63a443582/emulator-runs/initial/android/NUT-052-recipe-b-blank-servings-before-log.png
/Users/mason/.codex/visualizations/2026/09/01/01a05def-1c0d-76d1-abc6-07c63a443582/emulator-runs/initial/android/NUT-052-recipe-b-blank-servings-logged.png</x:v>
      </x:c>
      <x:c r="K92" t="str">
        <x:v>Zero was natively rejected and 100.1 showed a server maximum error with no meal. That error survived Back/reopen, and a completely blank field was accepted as the saved yield and created a meal.</x:v>
      </x:c>
      <x:c r="L92" t="str">
        <x:v>DEF-034, DEF-035</x:v>
      </x:c>
      <x:c r="M92" t="str">
        <x:v>Deleted/stale recipe-id and invalid meal-type branches remain covered by the request layer.</x:v>
      </x:c>
    </x:row>
    <x:row r="93">
      <x:c r="A93" t="str">
        <x:v>RUN-0089</x:v>
      </x:c>
      <x:c r="B93" t="str">
        <x:v>NUT-053</x:v>
      </x:c>
      <x:c r="C93" t="str">
        <x:v>Initial</x:v>
      </x:c>
      <x:c r="D93" t="str">
        <x:v>Android</x:v>
      </x:c>
      <x:c r="E93" t="str">
        <x:v>Medium_Phone</x:v>
      </x:c>
      <x:c r="F93" t="str">
        <x:v>Android 17</x:v>
      </x:c>
      <x:c r="G93" t="str">
        <x:v>9e9dcf1+dirty; com.spacemancodes.buff 1.0.0 (12)</x:v>
      </x:c>
      <x:c r="H93" s="60" t="n">
        <x:v>46266.87496527778</x:v>
      </x:c>
      <x:c r="I93" t="str">
        <x:v>Failed</x:v>
      </x:c>
      <x:c r="J93" t="str">
        <x:v>/Users/mason/.codex/visualizations/2026/09/01/01a05def-1c0d-76d1-abc6-07c63a443582/emulator-runs/initial/android/NUT-053-recipe-list-after-delete.png</x:v>
      </x:c>
      <x:c r="K93" t="str">
        <x:v>The confirmation named Recipe B, Cancel retained it, Confirm removed it, and the list refreshed. Android Back did not dismiss the confirmation in place, and every row's delete control had the same accessible name.</x:v>
      </x:c>
      <x:c r="L93" t="str">
        <x:v>DEF-018, DEF-036</x:v>
      </x:c>
      <x:c r="M93" t="str">
        <x:v>Processing timing was too brief to assess visually.</x:v>
      </x:c>
    </x:row>
    <x:row r="94">
      <x:c r="A94" t="str">
        <x:v>RUN-0090</x:v>
      </x:c>
      <x:c r="B94" t="str">
        <x:v>NUT-054</x:v>
      </x:c>
      <x:c r="C94" t="str">
        <x:v>Initial</x:v>
      </x:c>
      <x:c r="D94" t="str">
        <x:v>Android</x:v>
      </x:c>
      <x:c r="E94" t="str">
        <x:v>Medium_Phone</x:v>
      </x:c>
      <x:c r="F94" t="str">
        <x:v>Android 17</x:v>
      </x:c>
      <x:c r="G94" t="str">
        <x:v>9e9dcf1+dirty; com.spacemancodes.buff 1.0.0 (12)</x:v>
      </x:c>
      <x:c r="H94" s="60" t="n">
        <x:v>46266.87496527778</x:v>
      </x:c>
      <x:c r="I94" t="str">
        <x:v>Blocked</x:v>
      </x:c>
      <x:c r="J94" t="str">
        <x:v>/Users/mason/.codex/visualizations/2026/09/01/01a05def-1c0d-76d1-abc6-07c63a443582/emulator-runs/initial/android/NUT-053-recipe-list-after-delete.png</x:v>
      </x:c>
      <x:c r="K94" t="str">
        <x:v>Airplane mode cannot force this local loopback mutation to fail. The scoped XMLHttpRequest redirection did not intercept Inertia's current transport and the disposable recipe deleted successfully, so no failure result is claimed.</x:v>
      </x:c>
      <x:c r="L94" t="str"/>
      <x:c r="M94" t="str">
        <x:v>Retry with CDP Network.setBlockedURLs or a deterministic server-failure test hook.</x:v>
      </x:c>
    </x:row>
    <x:row r="95">
      <x:c r="A95" t="str">
        <x:v>RUN-0091</x:v>
      </x:c>
      <x:c r="B95" t="str">
        <x:v>NUT-055</x:v>
      </x:c>
      <x:c r="C95" t="str">
        <x:v>Initial</x:v>
      </x:c>
      <x:c r="D95" t="str">
        <x:v>Android</x:v>
      </x:c>
      <x:c r="E95" t="str">
        <x:v>Medium_Phone</x:v>
      </x:c>
      <x:c r="F95" t="str">
        <x:v>Android 17</x:v>
      </x:c>
      <x:c r="G95" t="str">
        <x:v>9e9dcf1+dirty; com.spacemancodes.buff 1.0.0 (12)</x:v>
      </x:c>
      <x:c r="H95" s="60" t="n">
        <x:v>46266.87496527778</x:v>
      </x:c>
      <x:c r="I95" t="str">
        <x:v>Passed</x:v>
      </x:c>
      <x:c r="J95" t="str">
        <x:v>/Users/mason/.codex/visualizations/2026/09/01/01a05def-1c0d-76d1-abc6-07c63a443582/emulator-runs/initial/android/NUT-052-recipe-b-blank-servings-logged.png
/Users/mason/.codex/visualizations/2026/09/01/01a05def-1c0d-76d1-abc6-07c63a443582/emulator-runs/initial/android/NUT-053-recipe-list-after-delete.png</x:v>
      </x:c>
      <x:c r="K95" t="str">
        <x:v>Deleting saved Recipe B removed it from Recipes, while its existing dated 0.1-serving, 39-kcal meal remained on Today with the original name and macros.</x:v>
      </x:c>
      <x:c r="L95" t="str"/>
      <x:c r="M95" t="str">
        <x:v>The retained meal remained a normal detail/edit/delete target.</x:v>
      </x:c>
    </x:row>
    <x:row r="96">
      <x:c r="A96" t="str">
        <x:v>RUN-0092</x:v>
      </x:c>
      <x:c r="B96" t="str">
        <x:v>NUT-056</x:v>
      </x:c>
      <x:c r="C96" t="str">
        <x:v>Initial</x:v>
      </x:c>
      <x:c r="D96" t="str">
        <x:v>Android</x:v>
      </x:c>
      <x:c r="E96" t="str">
        <x:v>Medium_Phone</x:v>
      </x:c>
      <x:c r="F96" t="str">
        <x:v>Android 17</x:v>
      </x:c>
      <x:c r="G96" t="str">
        <x:v>9e9dcf1+dirty; com.spacemancodes.buff 1.0.0 (12)</x:v>
      </x:c>
      <x:c r="H96" s="60" t="n">
        <x:v>46266.87496527778</x:v>
      </x:c>
      <x:c r="I96" t="str">
        <x:v>Failed</x:v>
      </x:c>
      <x:c r="J96" t="str">
        <x:v>/Users/mason/.codex/visualizations/2026/09/01/01a05def-1c0d-76d1-abc6-07c63a443582/emulator-runs/initial/android/NUT-053-recipe-list-after-delete.png</x:v>
      </x:c>
      <x:c r="K96" t="str">
        <x:v>Saved recipe rows and the log review exposed only log, Back, and delete paths; no user-visible action reaches the implemented update route.</x:v>
      </x:c>
      <x:c r="L96" t="str">
        <x:v>DEF-037</x:v>
      </x:c>
      <x:c r="M96" t="str">
        <x:v>Static route/controller inspection confirmed that PUT update logic already exists.</x:v>
      </x:c>
    </x:row>
    <x:row r="97">
      <x:c r="A97" t="str">
        <x:v>RUN-0093</x:v>
      </x:c>
      <x:c r="B97" t="str">
        <x:v>NUT-057</x:v>
      </x:c>
      <x:c r="C97" t="str">
        <x:v>Initial</x:v>
      </x:c>
      <x:c r="D97" t="str">
        <x:v>Android</x:v>
      </x:c>
      <x:c r="E97" t="str">
        <x:v>Medium_Phone</x:v>
      </x:c>
      <x:c r="F97" t="str">
        <x:v>Android 17</x:v>
      </x:c>
      <x:c r="G97" t="str">
        <x:v>9e9dcf1+dirty; com.spacemancodes.buff 1.0.0 (12)</x:v>
      </x:c>
      <x:c r="H97" s="60" t="n">
        <x:v>46266.87496527778</x:v>
      </x:c>
      <x:c r="I97" t="str">
        <x:v>Blocked</x:v>
      </x:c>
      <x:c r="J97" t="str">
        <x:v>/Users/mason/.codex/visualizations/2026/09/01/01a05def-1c0d-76d1-abc6-07c63a443582/emulator-runs/initial/android/NUT-057-recipe-b-offline-before-save.png</x:v>
      </x:c>
      <x:c r="K97" t="str">
        <x:v>Recipe B was created offline, appeared immediately newest-first, survived force-stop/relaunch offline, and remained after reconnect. Cross-device iOS receipt, recipe-meal receipt, conflict, and delete propagation are not yet verified.</x:v>
      </x:c>
      <x:c r="L97" t="str"/>
      <x:c r="M97" t="str">
        <x:v>Update/conflict is API-only until recipe editing is exposed.</x:v>
      </x:c>
    </x:row>
    <x:row r="98">
      <x:c r="A98" t="str">
        <x:v>RUN-0094</x:v>
      </x:c>
      <x:c r="B98" t="str">
        <x:v>ACC-001</x:v>
      </x:c>
      <x:c r="C98" t="str">
        <x:v>Initial</x:v>
      </x:c>
      <x:c r="D98" t="str">
        <x:v>Android</x:v>
      </x:c>
      <x:c r="E98" t="str">
        <x:v>Medium_Phone, Android user 10 fresh profile</x:v>
      </x:c>
      <x:c r="F98" t="str">
        <x:v>Android 17</x:v>
      </x:c>
      <x:c r="G98" t="str">
        <x:v>9e9dcf1+dirty; com.spacemancodes.buff 1.0.0 (12)</x:v>
      </x:c>
      <x:c r="H98" s="60" t="n">
        <x:v>46267.33642361111</x:v>
      </x:c>
      <x:c r="I98" t="str">
        <x:v>Failed</x:v>
      </x:c>
      <x:c r="J98" t="str">
        <x:v>/Users/mason/.codex/visualizations/2026/09/01/01a05def-1c0d-76d1-abc6-07c63a443582/emulator-runs/initial/android-guest/ACC-001-signed-out-launch.png</x:v>
      </x:c>
      <x:c r="K98" t="str">
        <x:v>A genuinely fresh Android user launched to a blank black WebView because packaged public/hot pointed at unreachable Buff.test:5173. Removing only that generated marker from the disposable profile made protected root redirect to Sign in.</x:v>
      </x:c>
      <x:c r="L98" t="str">
        <x:v>DEF-002</x:v>
      </x:c>
      <x:c r="M98" t="str">
        <x:v>The launch failure is now reproduced in both AAB inspection and a fresh installed profile.</x:v>
      </x:c>
    </x:row>
    <x:row r="99">
      <x:c r="A99" t="str">
        <x:v>RUN-0095</x:v>
      </x:c>
      <x:c r="B99" t="str">
        <x:v>ACC-004</x:v>
      </x:c>
      <x:c r="C99" t="str">
        <x:v>Initial</x:v>
      </x:c>
      <x:c r="D99" t="str">
        <x:v>Android</x:v>
      </x:c>
      <x:c r="E99" t="str">
        <x:v>Medium_Phone, Android user 10 fresh profile</x:v>
      </x:c>
      <x:c r="F99" t="str">
        <x:v>Android 17</x:v>
      </x:c>
      <x:c r="G99" t="str">
        <x:v>9e9dcf1+dirty; com.spacemancodes.buff 1.0.0 (12)</x:v>
      </x:c>
      <x:c r="H99" s="60" t="n">
        <x:v>46267.33642361111</x:v>
      </x:c>
      <x:c r="I99" t="str">
        <x:v>Failed</x:v>
      </x:c>
      <x:c r="J99" t="str">
        <x:v>/Users/mason/.codex/visualizations/2026/09/01/01a05def-1c0d-76d1-abc6-07c63a443582/emulator-runs/initial/android-guest/ACC-004-return-bypass-and-progress.png</x:v>
      </x:c>
      <x:c r="K99" t="str">
        <x:v>Android reproduced keyboard Return advancing past blank name and malformed email, while the four registration steps showed 7/14/21/29% progress. Password 7 remained disabled and exactly 8 enabled account creation.</x:v>
      </x:c>
      <x:c r="L99" t="str">
        <x:v>DEF-004, DEF-005</x:v>
      </x:c>
      <x:c r="M99" t="str">
        <x:v>Back, provider selection, and server validation otherwise worked.</x:v>
      </x:c>
    </x:row>
    <x:row r="100">
      <x:c r="A100" t="str">
        <x:v>RUN-0096</x:v>
      </x:c>
      <x:c r="B100" t="str">
        <x:v>ACC-005</x:v>
      </x:c>
      <x:c r="C100" t="str">
        <x:v>Initial</x:v>
      </x:c>
      <x:c r="D100" t="str">
        <x:v>Android</x:v>
      </x:c>
      <x:c r="E100" t="str">
        <x:v>Medium_Phone, Android user 10 fresh profile</x:v>
      </x:c>
      <x:c r="F100" t="str">
        <x:v>Android 17</x:v>
      </x:c>
      <x:c r="G100" t="str">
        <x:v>9e9dcf1+dirty; com.spacemancodes.buff 1.0.0 (12)</x:v>
      </x:c>
      <x:c r="H100" s="60" t="n">
        <x:v>46267.33642361111</x:v>
      </x:c>
      <x:c r="I100" t="str">
        <x:v>Passed</x:v>
      </x:c>
      <x:c r="J100" t="str">
        <x:v>/Users/mason/.codex/visualizations/2026/09/01/01a05def-1c0d-76d1-abc6-07c63a443582/emulator-runs/initial/android-guest/ACC-005-registration-onboarding.png</x:v>
      </x:c>
      <x:c r="K100" t="str">
        <x:v>A new QA account was created with an eight-character password, signed in immediately, and redirected to onboarding before email verification; protected setup remained usable.</x:v>
      </x:c>
      <x:c r="L100" t="str"/>
      <x:c r="M100" t="str">
        <x:v>Verification mail delivery and resend behavior remain covered by focused automated tests and later account testing.</x:v>
      </x:c>
    </x:row>
    <x:row r="101">
      <x:c r="A101" t="str">
        <x:v>RUN-0097</x:v>
      </x:c>
      <x:c r="B101" t="str">
        <x:v>ACC-025</x:v>
      </x:c>
      <x:c r="C101" t="str">
        <x:v>Initial</x:v>
      </x:c>
      <x:c r="D101" t="str">
        <x:v>Android</x:v>
      </x:c>
      <x:c r="E101" t="str">
        <x:v>Medium_Phone, Android user 10 disposable account</x:v>
      </x:c>
      <x:c r="F101" t="str">
        <x:v>Android 17</x:v>
      </x:c>
      <x:c r="G101" t="str">
        <x:v>9e9dcf1+dirty; com.spacemancodes.buff 1.0.0 (12)</x:v>
      </x:c>
      <x:c r="H101" s="60" t="n">
        <x:v>46267.33642361111</x:v>
      </x:c>
      <x:c r="I101" t="str">
        <x:v>Failed</x:v>
      </x:c>
      <x:c r="J101" t="str">
        <x:v>/Users/mason/.codex/visualizations/2026/09/01/01a05def-1c0d-76d1-abc6-07c63a443582/emulator-runs/initial/android-guest/ACC-025-draft-before-process-death.png
/Users/mason/.codex/visualizations/2026/09/01/01a05def-1c0d-76d1-abc6-07c63a443582/emulator-runs/initial/android-guest/ACC-025-draft-resumed-after-process-death.png
/Users/mason/.codex/visualizations/2026/09/01/01a05def-1c0d-76d1-abc6-07c63a443582/emulator-runs/initial/android-guest/dom-observations-batch-014.json</x:v>
      </x:c>
      <x:c r="K101" t="str">
        <x:v>Age 30, male, 180 cm resumed on the exact height step after force-stop and completion cleared the draft/direct onboarding redirected home. The story failed because a plan-step draft interrupted before its response resumed into a corrupted simple-plan state.</x:v>
      </x:c>
      <x:c r="L101" t="str">
        <x:v>DEF-043</x:v>
      </x:c>
      <x:c r="M101" t="str">
        <x:v>Normal draft isolation and malformed-draft handling remain covered by server/component inspection.</x:v>
      </x:c>
    </x:row>
    <x:row r="102">
      <x:c r="A102" t="str">
        <x:v>RUN-0098</x:v>
      </x:c>
      <x:c r="B102" t="str">
        <x:v>ACC-026</x:v>
      </x:c>
      <x:c r="C102" t="str">
        <x:v>Initial</x:v>
      </x:c>
      <x:c r="D102" t="str">
        <x:v>Android</x:v>
      </x:c>
      <x:c r="E102" t="str">
        <x:v>Medium_Phone, Android user 10 disposable account</x:v>
      </x:c>
      <x:c r="F102" t="str">
        <x:v>Android 17</x:v>
      </x:c>
      <x:c r="G102" t="str">
        <x:v>9e9dcf1+dirty; com.spacemancodes.buff 1.0.0 (12)</x:v>
      </x:c>
      <x:c r="H102" s="60" t="n">
        <x:v>46267.33642361111</x:v>
      </x:c>
      <x:c r="I102" t="str">
        <x:v>Failed</x:v>
      </x:c>
      <x:c r="J102" t="str">
        <x:v>/Users/mason/.codex/visualizations/2026/09/01/01a05def-1c0d-76d1-abc6-07c63a443582/emulator-runs/initial/android-guest/ACC-026-current-weight-1001-no-error.png
/Users/mason/.codex/visualizations/2026/09/01/01a05def-1c0d-76d1-abc6-07c63a443582/emulator-runs/initial/android-guest/dom-observations-batch-014.json</x:v>
      </x:c>
      <x:c r="K102" t="str">
        <x:v>Age 12/121 and height 49/261 correctly disabled progression; sex/activity radios exposed selected state; 80 kg round-tripped through pounds. Height unit toggling changed canonical centimetres and 1001 kg was silently invalid with no exposed maximum or error.</x:v>
      </x:c>
      <x:c r="L102" t="str">
        <x:v>DEF-038, DEF-039</x:v>
      </x:c>
      <x:c r="M102" t="str">
        <x:v>The completed fixture was restored to 180 cm and 80 kg.</x:v>
      </x:c>
    </x:row>
    <x:row r="103">
      <x:c r="A103" t="str">
        <x:v>RUN-0099</x:v>
      </x:c>
      <x:c r="B103" t="str">
        <x:v>ACC-027</x:v>
      </x:c>
      <x:c r="C103" t="str">
        <x:v>Initial</x:v>
      </x:c>
      <x:c r="D103" t="str">
        <x:v>Android</x:v>
      </x:c>
      <x:c r="E103" t="str">
        <x:v>Medium_Phone, Android user 10 disposable account</x:v>
      </x:c>
      <x:c r="F103" t="str">
        <x:v>Android 17</x:v>
      </x:c>
      <x:c r="G103" t="str">
        <x:v>9e9dcf1+dirty; com.spacemancodes.buff 1.0.0 (12)</x:v>
      </x:c>
      <x:c r="H103" s="60" t="n">
        <x:v>46267.33642361111</x:v>
      </x:c>
      <x:c r="I103" t="str">
        <x:v>Failed</x:v>
      </x:c>
      <x:c r="J103" t="str">
        <x:v>/Users/mason/.codex/visualizations/2026/09/01/01a05def-1c0d-76d1-abc6-07c63a443582/emulator-runs/initial/android-guest/ACC-027-target-zero-next-enabled.png
/Users/mason/.codex/visualizations/2026/09/01/01a05def-1c0d-76d1-abc6-07c63a443582/emulator-runs/initial/android-guest/ACC-029-teen-age17-maintenance-only.png</x:v>
      </x:c>
      <x:c r="K103" t="str">
        <x:v>Adult lose exposed target and pace; age 17 removed both and cleared their values; maintain branching and body-fat bounds are covered by tests. A zero target incorrectly enabled Next and advanced to pace.</x:v>
      </x:c>
      <x:c r="L103" t="str">
        <x:v>DEF-040</x:v>
      </x:c>
      <x:c r="M103" t="str">
        <x:v>Target was restored to 70 kg and pace to 0.5 kg/week before completion.</x:v>
      </x:c>
    </x:row>
    <x:row r="104">
      <x:c r="A104" t="str">
        <x:v>RUN-0100</x:v>
      </x:c>
      <x:c r="B104" t="str">
        <x:v>ACC-028</x:v>
      </x:c>
      <x:c r="C104" t="str">
        <x:v>Initial</x:v>
      </x:c>
      <x:c r="D104" t="str">
        <x:v>Android</x:v>
      </x:c>
      <x:c r="E104" t="str">
        <x:v>Medium_Phone, Android user 10 disposable account</x:v>
      </x:c>
      <x:c r="F104" t="str">
        <x:v>Android 17</x:v>
      </x:c>
      <x:c r="G104" t="str">
        <x:v>9e9dcf1+dirty; com.spacemancodes.buff 1.0.0 (12)</x:v>
      </x:c>
      <x:c r="H104" s="60" t="n">
        <x:v>46267.33642361111</x:v>
      </x:c>
      <x:c r="I104" t="str">
        <x:v>Failed</x:v>
      </x:c>
      <x:c r="J104" t="str">
        <x:v>/Users/mason/.codex/visualizations/2026/09/01/01a05def-1c0d-76d1-abc6-07c63a443582/emulator-runs/initial/android-guest/ACC-028-adult-age30-lose-plan.png
/Users/mason/.codex/visualizations/2026/09/01/01a05def-1c0d-76d1-abc6-07c63a443582/emulator-runs/initial/android-guest/ACC-028-age18-adolescent-equation-adult-loss.png</x:v>
      </x:c>
      <x:c r="K104" t="str">
        <x:v>Age 30 produced maintenance 2750 and a capped/rounded 2200-kcal loss plan with 165/220/73.33 macros. Age 18 used adult goal controls but an adolescent 3600-kcal baseline, producing a 3050-kcal loss plan and the inconsistent boundary defect.</x:v>
      </x:c>
      <x:c r="L104" t="str">
        <x:v>DEF-042</x:v>
      </x:c>
      <x:c r="M104" t="str">
        <x:v>Maintain/gain and cap extremes remain covered by estimator/controller tests.</x:v>
      </x:c>
    </x:row>
    <x:row r="105">
      <x:c r="A105" t="str">
        <x:v>RUN-0101</x:v>
      </x:c>
      <x:c r="B105" t="str">
        <x:v>ACC-029</x:v>
      </x:c>
      <x:c r="C105" t="str">
        <x:v>Initial</x:v>
      </x:c>
      <x:c r="D105" t="str">
        <x:v>Android</x:v>
      </x:c>
      <x:c r="E105" t="str">
        <x:v>Medium_Phone, Android user 10 disposable account</x:v>
      </x:c>
      <x:c r="F105" t="str">
        <x:v>Android 17</x:v>
      </x:c>
      <x:c r="G105" t="str">
        <x:v>9e9dcf1+dirty; com.spacemancodes.buff 1.0.0 (12)</x:v>
      </x:c>
      <x:c r="H105" s="60" t="n">
        <x:v>46267.33642361111</x:v>
      </x:c>
      <x:c r="I105" t="str">
        <x:v>Passed</x:v>
      </x:c>
      <x:c r="J105" t="str">
        <x:v>/Users/mason/.codex/visualizations/2026/09/01/01a05def-1c0d-76d1-abc6-07c63a443582/emulator-runs/initial/android-guest/ACC-029-teen-age17-maintenance-only.png</x:v>
      </x:c>
      <x:c r="K105" t="str">
        <x:v>At age 17 Lose weight skipped target and pace, returned the same 3600-kcal maintenance recommendation, and displayed the parent/guardian and qualified-professional notice.</x:v>
      </x:c>
      <x:c r="L105" t="str"/>
      <x:c r="M105" t="str">
        <x:v>The separate age-18 boundary is recorded against adult/boundary stories.</x:v>
      </x:c>
    </x:row>
    <x:row r="106">
      <x:c r="A106" t="str">
        <x:v>RUN-0102</x:v>
      </x:c>
      <x:c r="B106" t="str">
        <x:v>ACC-030</x:v>
      </x:c>
      <x:c r="C106" t="str">
        <x:v>Initial</x:v>
      </x:c>
      <x:c r="D106" t="str">
        <x:v>Android</x:v>
      </x:c>
      <x:c r="E106" t="str">
        <x:v>Medium_Phone, Android user 10 disposable account</x:v>
      </x:c>
      <x:c r="F106" t="str">
        <x:v>Android 17</x:v>
      </x:c>
      <x:c r="G106" t="str">
        <x:v>9e9dcf1+dirty; com.spacemancodes.buff 1.0.0 (12)</x:v>
      </x:c>
      <x:c r="H106" s="60" t="n">
        <x:v>46267.33642361111</x:v>
      </x:c>
      <x:c r="I106" t="str">
        <x:v>Failed</x:v>
      </x:c>
      <x:c r="J106" t="str">
        <x:v>/Users/mason/.codex/visualizations/2026/09/01/01a05def-1c0d-76d1-abc6-07c63a443582/emulator-runs/initial/android-guest/ACC-030-incomplete-profile-safe-defaults.png
/Users/mason/.codex/visualizations/2026/09/01/01a05def-1c0d-76d1-abc6-07c63a443582/emulator-runs/initial/android-guest/ACC-030-offline-local-personalized-plan.png
/Users/mason/.codex/visualizations/2026/09/01/01a05def-1c0d-76d1-abc6-07c63a443582/emulator-runs/initial/android-guest/dom-observations-batch-014.json</x:v>
      </x:c>
      <x:c r="K106" t="str">
        <x:v>Missing age returned editable 2000/170/195/60 defaults and explanation; airplane mode still calculated the local personalized plan. The request-failure branch failed because cold-resume validation errors became a broken plan instead of safe defaults with feedback.</x:v>
      </x:c>
      <x:c r="L106" t="str">
        <x:v>DEF-043</x:v>
      </x:c>
      <x:c r="M106" t="str">
        <x:v>The canonical expected behavior should note that ordinary plan calculation is local and works in airplane mode.</x:v>
      </x:c>
    </x:row>
    <x:row r="107">
      <x:c r="A107" t="str">
        <x:v>RUN-0103</x:v>
      </x:c>
      <x:c r="B107" t="str">
        <x:v>ACC-031</x:v>
      </x:c>
      <x:c r="C107" t="str">
        <x:v>Initial</x:v>
      </x:c>
      <x:c r="D107" t="str">
        <x:v>Android</x:v>
      </x:c>
      <x:c r="E107" t="str">
        <x:v>Medium_Phone, Android user 10 disposable account</x:v>
      </x:c>
      <x:c r="F107" t="str">
        <x:v>Android 17</x:v>
      </x:c>
      <x:c r="G107" t="str">
        <x:v>9e9dcf1+dirty; com.spacemancodes.buff 1.0.0 (12)</x:v>
      </x:c>
      <x:c r="H107" s="60" t="n">
        <x:v>46267.33642361111</x:v>
      </x:c>
      <x:c r="I107" t="str">
        <x:v>Failed</x:v>
      </x:c>
      <x:c r="J107" t="str">
        <x:v>/Users/mason/.codex/visualizations/2026/09/01/01a05def-1c0d-76d1-abc6-07c63a443582/emulator-runs/initial/android-guest/ACC-031-custom-split-resets-to-fat-100.png
/Users/mason/.codex/visualizations/2026/09/01/01a05def-1c0d-76d1-abc6-07c63a443582/emulator-runs/initial/android-guest/ACC-031-onboarding-complete-home.png
/Users/mason/.codex/visualizations/2026/09/01/01a05def-1c0d-76d1-abc6-07c63a443582/emulator-runs/initial/android-guest/dom-observations-batch-014.json</x:v>
      </x:c>
      <x:c r="K107" t="str">
        <x:v>Completion atomically created Home/Goals/Profile/Units/today's 80-kg Progress state and cleared the draft. The story failed because Custom silently reset targets to a valid fat-only plan and the custom wheels lacked usable semantics.</x:v>
      </x:c>
      <x:c r="L107" t="str">
        <x:v>DEF-041, DEF-047</x:v>
      </x:c>
      <x:c r="M107" t="str">
        <x:v>The final account used the restored recommended 30/40/30 split.</x:v>
      </x:c>
    </x:row>
    <x:row r="108">
      <x:c r="A108" t="str">
        <x:v>RUN-0104</x:v>
      </x:c>
      <x:c r="B108" t="str">
        <x:v>ACC-036</x:v>
      </x:c>
      <x:c r="C108" t="str">
        <x:v>Initial</x:v>
      </x:c>
      <x:c r="D108" t="str">
        <x:v>Android</x:v>
      </x:c>
      <x:c r="E108" t="str">
        <x:v>Medium_Phone, Android user 10 disposable account</x:v>
      </x:c>
      <x:c r="F108" t="str">
        <x:v>Android 17</x:v>
      </x:c>
      <x:c r="G108" t="str">
        <x:v>9e9dcf1+dirty; com.spacemancodes.buff 1.0.0 (12)</x:v>
      </x:c>
      <x:c r="H108" s="60" t="n">
        <x:v>46267.33642361111</x:v>
      </x:c>
      <x:c r="I108" t="str">
        <x:v>Failed</x:v>
      </x:c>
      <x:c r="J108" t="str">
        <x:v>/Users/mason/.codex/visualizations/2026/09/01/01a05def-1c0d-76d1-abc6-07c63a443582/emulator-runs/initial/android-guest/ACC-036-body-height-client-server-min-mismatch.png
/Users/mason/.codex/visualizations/2026/09/01/01a05def-1c0d-76d1-abc6-07c63a443582/emulator-runs/initial/android-guest/ACC-036-optional-profile-fields-cannot-clear.png</x:v>
      </x:c>
      <x:c r="K108" t="str">
        <x:v>The saved age/sex/height/activity appeared correctly and valid resave worked. The cm field exposed the wrong bounds, and set sex/activity values had no way to return to their supported nullable state.</x:v>
      </x:c>
      <x:c r="L108" t="str">
        <x:v>DEF-044, DEF-045</x:v>
      </x:c>
      <x:c r="M108" t="str">
        <x:v>The invalid 49-cm request did not persist; 180 cm was restored.</x:v>
      </x:c>
    </x:row>
    <x:row r="109">
      <x:c r="A109" t="str">
        <x:v>RUN-0105</x:v>
      </x:c>
      <x:c r="B109" t="str">
        <x:v>ACC-079</x:v>
      </x:c>
      <x:c r="C109" t="str">
        <x:v>Initial</x:v>
      </x:c>
      <x:c r="D109" t="str">
        <x:v>Android</x:v>
      </x:c>
      <x:c r="E109" t="str">
        <x:v>Medium_Phone, Android user 10 disposable account</x:v>
      </x:c>
      <x:c r="F109" t="str">
        <x:v>Android 17</x:v>
      </x:c>
      <x:c r="G109" t="str">
        <x:v>9e9dcf1+dirty; com.spacemancodes.buff 1.0.0 (12)</x:v>
      </x:c>
      <x:c r="H109" s="60" t="n">
        <x:v>46267.33642361111</x:v>
      </x:c>
      <x:c r="I109" t="str">
        <x:v>Failed</x:v>
      </x:c>
      <x:c r="J109" t="str">
        <x:v>/Users/mason/.codex/visualizations/2026/09/01/01a05def-1c0d-76d1-abc6-07c63a443582/emulator-runs/initial/android-guest/dom-observations-batch-014.json
/Users/mason/.codex/visualizations/2026/09/01/01a05def-1c0d-76d1-abc6-07c63a443582/emulator-runs/initial/android-guest/ACC-031-onboarding-complete-home.png</x:v>
      </x:c>
      <x:c r="K109" t="str">
        <x:v>Home, Goals, Progress, and Settings navigation worked and the current destination was visibly highlighted, but the active link had no programmatic current state.</x:v>
      </x:c>
      <x:c r="L109" t="str">
        <x:v>DEF-046</x:v>
      </x:c>
      <x:c r="M109" t="str">
        <x:v>Both desktop and mobile navigation copies lacked aria-current.</x:v>
      </x:c>
    </x:row>
    <x:row r="110">
      <x:c r="A110" t="str">
        <x:v>RUN-0106</x:v>
      </x:c>
      <x:c r="B110" t="str">
        <x:v>HLT-029</x:v>
      </x:c>
      <x:c r="C110" t="str">
        <x:v>Initial</x:v>
      </x:c>
      <x:c r="D110" t="str">
        <x:v>Android</x:v>
      </x:c>
      <x:c r="E110" t="str">
        <x:v>Medium_Phone, Android user 10 disposable account</x:v>
      </x:c>
      <x:c r="F110" t="str">
        <x:v>Android 17</x:v>
      </x:c>
      <x:c r="G110" t="str">
        <x:v>9e9dcf1+dirty; com.spacemancodes.buff 1.0.0 (12)</x:v>
      </x:c>
      <x:c r="H110" s="60" t="n">
        <x:v>46267.33642361111</x:v>
      </x:c>
      <x:c r="I110" t="str">
        <x:v>Failed</x:v>
      </x:c>
      <x:c r="J110" t="str">
        <x:v>/Users/mason/.codex/visualizations/2026/09/01/01a05def-1c0d-76d1-abc6-07c63a443582/emulator-runs/initial/android-guest/HLT-029-custom-split-resets-to-fat-100.png
/Users/mason/.codex/visualizations/2026/09/01/01a05def-1c0d-76d1-abc6-07c63a443582/emulator-runs/initial/android-guest/dom-observations-batch-014.json</x:v>
      </x:c>
      <x:c r="K110" t="str">
        <x:v>Calories and all three presets rendered with correct generated grams, but Custom immediately changed 30/40/30 to 0/0/100 and its wheels were not exposed as labelled selected controls.</x:v>
      </x:c>
      <x:c r="L110" t="str">
        <x:v>DEF-041, DEF-047</x:v>
      </x:c>
      <x:c r="M110" t="str">
        <x:v>Reload discarded the unsaved fat-only change and restored the 2200-kcal balanced goal.</x:v>
      </x:c>
    </x:row>
    <x:row r="111">
      <x:c r="A111" t="str">
        <x:v>RUN-0107</x:v>
      </x:c>
      <x:c r="B111" t="str">
        <x:v>HLT-035</x:v>
      </x:c>
      <x:c r="C111" t="str">
        <x:v>Initial</x:v>
      </x:c>
      <x:c r="D111" t="str">
        <x:v>Android</x:v>
      </x:c>
      <x:c r="E111" t="str">
        <x:v>Medium_Phone, Android user 10 disposable account</x:v>
      </x:c>
      <x:c r="F111" t="str">
        <x:v>Android 17</x:v>
      </x:c>
      <x:c r="G111" t="str">
        <x:v>9e9dcf1+dirty; com.spacemancodes.buff 1.0.0 (12)</x:v>
      </x:c>
      <x:c r="H111" s="60" t="n">
        <x:v>46267.33642361111</x:v>
      </x:c>
      <x:c r="I111" t="str">
        <x:v>Failed</x:v>
      </x:c>
      <x:c r="J111" t="str">
        <x:v>/Users/mason/.codex/visualizations/2026/09/01/01a05def-1c0d-76d1-abc6-07c63a443582/emulator-runs/initial/android-guest/ACC-025-draft-before-process-death.png
/Users/mason/.codex/visualizations/2026/09/01/01a05def-1c0d-76d1-abc6-07c63a443582/emulator-runs/initial/android-guest/ACC-025-draft-resumed-after-process-death.png
/Users/mason/.codex/visualizations/2026/09/01/01a05def-1c0d-76d1-abc6-07c63a443582/emulator-runs/initial/android-guest/dom-observations-batch-014.json</x:v>
      </x:c>
      <x:c r="K111" t="str">
        <x:v>Ordinary height-step process death restored exact step/data and successful completion cleared the draft. Interrupting the plan-loading state instead corrupted the response and targets on resume.</x:v>
      </x:c>
      <x:c r="L111" t="str">
        <x:v>DEF-043</x:v>
      </x:c>
      <x:c r="M111" t="str">
        <x:v>Back/forward adaptive teen steps otherwise worked.</x:v>
      </x:c>
    </x:row>
    <x:row r="112">
      <x:c r="A112" t="str">
        <x:v>RUN-0108</x:v>
      </x:c>
      <x:c r="B112" t="str">
        <x:v>HLT-036</x:v>
      </x:c>
      <x:c r="C112" t="str">
        <x:v>Initial</x:v>
      </x:c>
      <x:c r="D112" t="str">
        <x:v>Android</x:v>
      </x:c>
      <x:c r="E112" t="str">
        <x:v>Medium_Phone, Android user 10 disposable account</x:v>
      </x:c>
      <x:c r="F112" t="str">
        <x:v>Android 17</x:v>
      </x:c>
      <x:c r="G112" t="str">
        <x:v>9e9dcf1+dirty; com.spacemancodes.buff 1.0.0 (12)</x:v>
      </x:c>
      <x:c r="H112" s="60" t="n">
        <x:v>46267.33642361111</x:v>
      </x:c>
      <x:c r="I112" t="str">
        <x:v>Failed</x:v>
      </x:c>
      <x:c r="J112" t="str">
        <x:v>/Users/mason/.codex/visualizations/2026/09/01/01a05def-1c0d-76d1-abc6-07c63a443582/emulator-runs/initial/android-guest/ACC-027-target-zero-next-enabled.png
/Users/mason/.codex/visualizations/2026/09/01/01a05def-1c0d-76d1-abc6-07c63a443582/emulator-runs/initial/android-guest/ACC-028-adult-age30-lose-plan.png
/Users/mason/.codex/visualizations/2026/09/01/01a05def-1c0d-76d1-abc6-07c63a443582/emulator-runs/initial/android-guest/ACC-028-age18-adolescent-equation-adult-loss.png
/Users/mason/.codex/visualizations/2026/09/01/01a05def-1c0d-76d1-abc6-07c63a443582/emulator-runs/initial/android-guest/ACC-031-custom-split-resets-to-fat-100.png</x:v>
      </x:c>
      <x:c r="K112" t="str">
        <x:v>The age-30 loss calculation and pace selection worked, but zero target advanced, age 18 mixed adult controls with the adolescent equation, and Custom reset the valid split to fat-only.</x:v>
      </x:c>
      <x:c r="L112" t="str">
        <x:v>DEF-040, DEF-041, DEF-042</x:v>
      </x:c>
      <x:c r="M112" t="str">
        <x:v>Maintain/gain and extreme cap calculations remain covered by focused tests.</x:v>
      </x:c>
    </x:row>
    <x:row r="113">
      <x:c r="A113" t="str">
        <x:v>RUN-0109</x:v>
      </x:c>
      <x:c r="B113" t="str">
        <x:v>HLT-037</x:v>
      </x:c>
      <x:c r="C113" t="str">
        <x:v>Initial</x:v>
      </x:c>
      <x:c r="D113" t="str">
        <x:v>Android</x:v>
      </x:c>
      <x:c r="E113" t="str">
        <x:v>Medium_Phone, Android user 10 disposable account</x:v>
      </x:c>
      <x:c r="F113" t="str">
        <x:v>Android 17</x:v>
      </x:c>
      <x:c r="G113" t="str">
        <x:v>9e9dcf1+dirty; com.spacemancodes.buff 1.0.0 (12)</x:v>
      </x:c>
      <x:c r="H113" s="60" t="n">
        <x:v>46267.33642361111</x:v>
      </x:c>
      <x:c r="I113" t="str">
        <x:v>Failed</x:v>
      </x:c>
      <x:c r="J113" t="str">
        <x:v>/Users/mason/.codex/visualizations/2026/09/01/01a05def-1c0d-76d1-abc6-07c63a443582/emulator-runs/initial/android-guest/ACC-029-teen-age17-maintenance-only.png
/Users/mason/.codex/visualizations/2026/09/01/01a05def-1c0d-76d1-abc6-07c63a443582/emulator-runs/initial/android-guest/ACC-028-age18-adolescent-equation-adult-loss.png</x:v>
      </x:c>
      <x:c r="K113" t="str">
        <x:v>Age 17 correctly skipped pace and stayed at maintenance with safety notice, but the requested 18/19 boundary review exposed inconsistent policy and equation thresholds at exactly 18.</x:v>
      </x:c>
      <x:c r="L113" t="str">
        <x:v>DEF-042</x:v>
      </x:c>
      <x:c r="M113" t="str">
        <x:v>Ages 13-17 core behavior passed; the story fails on its explicit age-18 boundary.</x:v>
      </x:c>
    </x:row>
    <x:row r="114">
      <x:c r="A114" t="str">
        <x:v>RUN-0110</x:v>
      </x:c>
      <x:c r="B114" t="str">
        <x:v>HLT-038</x:v>
      </x:c>
      <x:c r="C114" t="str">
        <x:v>Initial</x:v>
      </x:c>
      <x:c r="D114" t="str">
        <x:v>Android</x:v>
      </x:c>
      <x:c r="E114" t="str">
        <x:v>Medium_Phone, Android user 10 disposable account</x:v>
      </x:c>
      <x:c r="F114" t="str">
        <x:v>Android 17</x:v>
      </x:c>
      <x:c r="G114" t="str">
        <x:v>9e9dcf1+dirty; com.spacemancodes.buff 1.0.0 (12)</x:v>
      </x:c>
      <x:c r="H114" s="60" t="n">
        <x:v>46267.33642361111</x:v>
      </x:c>
      <x:c r="I114" t="str">
        <x:v>Failed</x:v>
      </x:c>
      <x:c r="J114" t="str">
        <x:v>/Users/mason/.codex/visualizations/2026/09/01/01a05def-1c0d-76d1-abc6-07c63a443582/emulator-runs/initial/android-guest/ACC-030-incomplete-profile-safe-defaults.png
/Users/mason/.codex/visualizations/2026/09/01/01a05def-1c0d-76d1-abc6-07c63a443582/emulator-runs/initial/android-guest/ACC-030-offline-local-personalized-plan.png
/Users/mason/.codex/visualizations/2026/09/01/01a05def-1c0d-76d1-abc6-07c63a443582/emulator-runs/initial/android-guest/dom-observations-batch-014.json</x:v>
      </x:c>
      <x:c r="K114" t="str">
        <x:v>Skipped age returned usable defaults and airplane-mode calculation remained local, but a real resume-time request failure rendered a corrupt simple plan instead of defaults plus the documented error message.</x:v>
      </x:c>
      <x:c r="L114" t="str">
        <x:v>DEF-043</x:v>
      </x:c>
      <x:c r="M114" t="str">
        <x:v>Current weight remained required throughout.</x:v>
      </x:c>
    </x:row>
    <x:row r="115">
      <x:c r="A115" t="str">
        <x:v>RUN-0111</x:v>
      </x:c>
      <x:c r="B115" t="str">
        <x:v>HLT-039</x:v>
      </x:c>
      <x:c r="C115" t="str">
        <x:v>Initial</x:v>
      </x:c>
      <x:c r="D115" t="str">
        <x:v>Android</x:v>
      </x:c>
      <x:c r="E115" t="str">
        <x:v>Medium_Phone, Android user 10 disposable account</x:v>
      </x:c>
      <x:c r="F115" t="str">
        <x:v>Android 17</x:v>
      </x:c>
      <x:c r="G115" t="str">
        <x:v>9e9dcf1+dirty; com.spacemancodes.buff 1.0.0 (12)</x:v>
      </x:c>
      <x:c r="H115" s="60" t="n">
        <x:v>46267.33642361111</x:v>
      </x:c>
      <x:c r="I115" t="str">
        <x:v>Passed</x:v>
      </x:c>
      <x:c r="J115" t="str">
        <x:v>/Users/mason/.codex/visualizations/2026/09/01/01a05def-1c0d-76d1-abc6-07c63a443582/emulator-runs/initial/android-guest/ACC-031-onboarding-complete-home.png</x:v>
      </x:c>
      <x:c r="K115" t="str">
        <x:v>One Start Buff submission created the 2200/165/220/73 goal, age-30 male 180-cm moderate profile, kg/cm/cm preferences, and today's 80-kg metric; Home/Goals/Profile/Units/Progress all matched, draft cleared, and direct /onboarding redirected home.</x:v>
      </x:c>
      <x:c r="L115" t="str"/>
      <x:c r="M115" t="str">
        <x:v>Atomic rollback and concurrent-goal branches remain covered by focused feature tests.</x:v>
      </x:c>
    </x:row>
    <x:row r="116">
      <x:c r="A116" t="str">
        <x:v>RUN-0112</x:v>
      </x:c>
      <x:c r="B116" t="str">
        <x:v>ACC-002</x:v>
      </x:c>
      <x:c r="C116" t="str">
        <x:v>Initial</x:v>
      </x:c>
      <x:c r="D116" t="str">
        <x:v>Android</x:v>
      </x:c>
      <x:c r="E116" t="str">
        <x:v>Medium_Phone, Android user 10 disposable account</x:v>
      </x:c>
      <x:c r="F116" t="str">
        <x:v>Android 17</x:v>
      </x:c>
      <x:c r="G116" t="str">
        <x:v>9e9dcf1+dirty; com.spacemancodes.buff 1.0.0 (12)</x:v>
      </x:c>
      <x:c r="H116" s="60" t="n">
        <x:v>46267.37259259259</x:v>
      </x:c>
      <x:c r="I116" t="str">
        <x:v>Passed</x:v>
      </x:c>
      <x:c r="J116" t="str">
        <x:v>/Users/mason/.codex/visualizations/2026/09/01/01a05def-1c0d-76d1-abc6-07c63a443582/emulator-runs/initial/android-guest/dom-observations-batch-015.json</x:v>
      </x:c>
      <x:c r="K116" t="str">
        <x:v>Direct authenticated visits to /account/login and /account/register both redirected to Home without rendering account forms.</x:v>
      </x:c>
      <x:c r="L116" t="str"/>
      <x:c r="M116" t="str">
        <x:v>The account had completed onboarding and an active access token.</x:v>
      </x:c>
    </x:row>
    <x:row r="117">
      <x:c r="A117" t="str">
        <x:v>RUN-0113</x:v>
      </x:c>
      <x:c r="B117" t="str">
        <x:v>ACC-014</x:v>
      </x:c>
      <x:c r="C117" t="str">
        <x:v>Initial</x:v>
      </x:c>
      <x:c r="D117" t="str">
        <x:v>Android</x:v>
      </x:c>
      <x:c r="E117" t="str">
        <x:v>Medium_Phone, Android user 10 disposable account</x:v>
      </x:c>
      <x:c r="F117" t="str">
        <x:v>Android 17</x:v>
      </x:c>
      <x:c r="G117" t="str">
        <x:v>9e9dcf1+dirty; com.spacemancodes.buff 1.0.0 (12)</x:v>
      </x:c>
      <x:c r="H117" s="60" t="n">
        <x:v>46267.37259259259</x:v>
      </x:c>
      <x:c r="I117" t="str">
        <x:v>Passed</x:v>
      </x:c>
      <x:c r="J117" t="str">
        <x:v>/Users/mason/.codex/visualizations/2026/09/01/01a05def-1c0d-76d1-abc6-07c63a443582/emulator-runs/initial/android-guest/dom-observations-batch-015.json</x:v>
      </x:c>
      <x:c r="K117" t="str">
        <x:v>The unverified account rendered Check your email, polled verification status immediately and every five seconds while visible, and Continue to Buff returned Home without requiring verification.</x:v>
      </x:c>
      <x:c r="L117" t="str"/>
      <x:c r="M117" t="str">
        <x:v>Six consecutive poll start times were captured.</x:v>
      </x:c>
    </x:row>
    <x:row r="118">
      <x:c r="A118" t="str">
        <x:v>RUN-0114</x:v>
      </x:c>
      <x:c r="B118" t="str">
        <x:v>ACC-015</x:v>
      </x:c>
      <x:c r="C118" t="str">
        <x:v>Initial</x:v>
      </x:c>
      <x:c r="D118" t="str">
        <x:v>Android</x:v>
      </x:c>
      <x:c r="E118" t="str">
        <x:v>Medium_Phone, Android user 10 disposable account</x:v>
      </x:c>
      <x:c r="F118" t="str">
        <x:v>Android 17</x:v>
      </x:c>
      <x:c r="G118" t="str">
        <x:v>9e9dcf1+dirty; com.spacemancodes.buff 1.0.0 (12)</x:v>
      </x:c>
      <x:c r="H118" s="60" t="n">
        <x:v>46267.37259259259</x:v>
      </x:c>
      <x:c r="I118" t="str">
        <x:v>Blocked</x:v>
      </x:c>
      <x:c r="J118" t="str">
        <x:v>/Users/mason/.codex/visualizations/2026/09/01/01a05def-1c0d-76d1-abc6-07c63a443582/emulator-runs/initial/android-guest/ACC-015-verification-resend.png</x:v>
      </x:c>
      <x:c r="K118" t="str">
        <x:v>Resend returned the generic status 'If verification is required, a new link has been sent.' End-to-end signature, expiry, replay, and cross-account verification require inbox access that is unavailable for the reserved-domain QA address.</x:v>
      </x:c>
      <x:c r="L118" t="str"/>
      <x:c r="M118" t="str">
        <x:v>One resend was issued; no further rate-limit pressure was created.</x:v>
      </x:c>
    </x:row>
    <x:row r="119">
      <x:c r="A119" t="str">
        <x:v>RUN-0115</x:v>
      </x:c>
      <x:c r="B119" t="str">
        <x:v>ACC-016</x:v>
      </x:c>
      <x:c r="C119" t="str">
        <x:v>Initial</x:v>
      </x:c>
      <x:c r="D119" t="str">
        <x:v>Android</x:v>
      </x:c>
      <x:c r="E119" t="str">
        <x:v>Medium_Phone, Android user 10 disposable account</x:v>
      </x:c>
      <x:c r="F119" t="str">
        <x:v>Android 17</x:v>
      </x:c>
      <x:c r="G119" t="str">
        <x:v>9e9dcf1+dirty; com.spacemancodes.buff 1.0.0 (12)</x:v>
      </x:c>
      <x:c r="H119" s="60" t="n">
        <x:v>46267.37259259259</x:v>
      </x:c>
      <x:c r="I119" t="str">
        <x:v>Passed</x:v>
      </x:c>
      <x:c r="J119" t="str">
        <x:v>/Users/mason/.codex/visualizations/2026/09/01/01a05def-1c0d-76d1-abc6-07c63a443582/emulator-runs/initial/android-guest/ACC-016-password-reset-generic-response.png
/Users/mason/.codex/visualizations/2026/09/01/01a05def-1c0d-76d1-abc6-07c63a443582/emulator-runs/initial/android-guest/dom-observations-batch-015.json</x:v>
      </x:c>
      <x:c r="K119" t="str">
        <x:v>The form prefilled the QA address, browser-blocked malformed email without a request, and returned the identical non-enumerating success copy for existing and unknown reserved-domain addresses.</x:v>
      </x:c>
      <x:c r="L119" t="str"/>
      <x:c r="M119" t="str">
        <x:v>No real mailbox was targeted.</x:v>
      </x:c>
    </x:row>
    <x:row r="120">
      <x:c r="A120" t="str">
        <x:v>RUN-0116</x:v>
      </x:c>
      <x:c r="B120" t="str">
        <x:v>ACC-017</x:v>
      </x:c>
      <x:c r="C120" t="str">
        <x:v>Initial</x:v>
      </x:c>
      <x:c r="D120" t="str">
        <x:v>Android</x:v>
      </x:c>
      <x:c r="E120" t="str">
        <x:v>Medium_Phone, Android user 10 disposable account</x:v>
      </x:c>
      <x:c r="F120" t="str">
        <x:v>Android 17</x:v>
      </x:c>
      <x:c r="G120" t="str">
        <x:v>9e9dcf1+dirty; com.spacemancodes.buff 1.0.0 (12)</x:v>
      </x:c>
      <x:c r="H120" s="60" t="n">
        <x:v>46267.37259259259</x:v>
      </x:c>
      <x:c r="I120" t="str">
        <x:v>Blocked</x:v>
      </x:c>
      <x:c r="J120" t="str">
        <x:v>/Users/mason/.codex/visualizations/2026/09/01/01a05def-1c0d-76d1-abc6-07c63a443582/emulator-runs/initial/android-guest/ACC-017-invalid-reset-token.png
/Users/mason/.codex/visualizations/2026/09/01/01a05def-1c0d-76d1-abc6-07c63a443582/emulator-runs/initial/android-guest/dom-observations-batch-015.json</x:v>
      </x:c>
      <x:c r="K120" t="str">
        <x:v>Seven-character, confirmation-mismatch, and invalid-token cases produced specific inline errors without changing credentials. A valid token, successful reset, and cross-device session invalidation require inbox access.</x:v>
      </x:c>
      <x:c r="L120" t="str"/>
      <x:c r="M120" t="str">
        <x:v>The existing QA password remained unchanged.</x:v>
      </x:c>
    </x:row>
    <x:row r="121">
      <x:c r="A121" t="str">
        <x:v>RUN-0117</x:v>
      </x:c>
      <x:c r="B121" t="str">
        <x:v>ACC-021</x:v>
      </x:c>
      <x:c r="C121" t="str">
        <x:v>Initial</x:v>
      </x:c>
      <x:c r="D121" t="str">
        <x:v>Android</x:v>
      </x:c>
      <x:c r="E121" t="str">
        <x:v>Medium_Phone, Android user 10 disposable account</x:v>
      </x:c>
      <x:c r="F121" t="str">
        <x:v>Android 17</x:v>
      </x:c>
      <x:c r="G121" t="str">
        <x:v>9e9dcf1+dirty; com.spacemancodes.buff 1.0.0 (12)</x:v>
      </x:c>
      <x:c r="H121" s="60" t="n">
        <x:v>46267.37259259259</x:v>
      </x:c>
      <x:c r="I121" t="str">
        <x:v>Passed</x:v>
      </x:c>
      <x:c r="J121" t="str">
        <x:v>/Users/mason/.codex/visualizations/2026/09/01/01a05def-1c0d-76d1-abc6-07c63a443582/emulator-runs/initial/android-guest/ACC-021-022-account-profile-updated.png
/Users/mason/.codex/visualizations/2026/09/01/01a05def-1c0d-76d1-abc6-07c63a443582/emulator-runs/initial/android-guest/dom-observations-batch-015.json</x:v>
      </x:c>
      <x:c r="K121" t="str">
        <x:v>The generated avatar changed deterministically from BA/red to BT/amber with the temporary QA name, persisted after reload, and restored to BA/red. No upload control was presented.</x:v>
      </x:c>
      <x:c r="L121" t="str"/>
      <x:c r="M121" t="str">
        <x:v>Only the disposable QA identity was edited.</x:v>
      </x:c>
    </x:row>
    <x:row r="122">
      <x:c r="A122" t="str">
        <x:v>RUN-0118</x:v>
      </x:c>
      <x:c r="B122" t="str">
        <x:v>ACC-022</x:v>
      </x:c>
      <x:c r="C122" t="str">
        <x:v>Initial</x:v>
      </x:c>
      <x:c r="D122" t="str">
        <x:v>Android</x:v>
      </x:c>
      <x:c r="E122" t="str">
        <x:v>Medium_Phone, Android user 10 disposable account</x:v>
      </x:c>
      <x:c r="F122" t="str">
        <x:v>Android 17</x:v>
      </x:c>
      <x:c r="G122" t="str">
        <x:v>9e9dcf1+dirty; com.spacemancodes.buff 1.0.0 (12)</x:v>
      </x:c>
      <x:c r="H122" s="60" t="n">
        <x:v>46267.37259259259</x:v>
      </x:c>
      <x:c r="I122" t="str">
        <x:v>Passed</x:v>
      </x:c>
      <x:c r="J122" t="str">
        <x:v>/Users/mason/.codex/visualizations/2026/09/01/01a05def-1c0d-76d1-abc6-07c63a443582/emulator-runs/initial/android-guest/ACC-021-022-account-profile-updated.png
/Users/mason/.codex/visualizations/2026/09/01/01a05def-1c0d-76d1-abc6-07c63a443582/emulator-runs/initial/android-guest/dom-observations-batch-015.json</x:v>
      </x:c>
      <x:c r="K122" t="str">
        <x:v>Name and timezone edits saved and survived reload while the email stayed unchanged; blank name was blocked by browser validation. The original QA name and Europe/London timezone were restored successfully.</x:v>
      </x:c>
      <x:c r="L122" t="str"/>
      <x:c r="M122" t="str">
        <x:v>Email-change verification behavior was not invoked to avoid changing account verification state.</x:v>
      </x:c>
    </x:row>
    <x:row r="123">
      <x:c r="A123" t="str">
        <x:v>RUN-0119</x:v>
      </x:c>
      <x:c r="B123" t="str">
        <x:v>ACC-033</x:v>
      </x:c>
      <x:c r="C123" t="str">
        <x:v>Initial</x:v>
      </x:c>
      <x:c r="D123" t="str">
        <x:v>Android</x:v>
      </x:c>
      <x:c r="E123" t="str">
        <x:v>Medium_Phone, Android user 10 disposable account</x:v>
      </x:c>
      <x:c r="F123" t="str">
        <x:v>Android 17</x:v>
      </x:c>
      <x:c r="G123" t="str">
        <x:v>9e9dcf1+dirty; com.spacemancodes.buff 1.0.0 (12)</x:v>
      </x:c>
      <x:c r="H123" s="60" t="n">
        <x:v>46267.37259259259</x:v>
      </x:c>
      <x:c r="I123" t="str">
        <x:v>Passed</x:v>
      </x:c>
      <x:c r="J123" t="str">
        <x:v>/Users/mason/.codex/visualizations/2026/09/01/01a05def-1c0d-76d1-abc6-07c63a443582/emulator-runs/initial/android-guest/dom-observations-batch-015.json</x:v>
      </x:c>
      <x:c r="K123" t="str">
        <x:v>Weight, height, and measurement selectors autosaved with local Saving/Saved states; rapid kg-to-lb-to-kg changes serialized correctly, offline saves remained local, and final kg/cm/cm persisted after automatic reconnect sync.</x:v>
      </x:c>
      <x:c r="L123" t="str"/>
      <x:c r="M123" t="str">
        <x:v>All three original units were restored.</x:v>
      </x:c>
    </x:row>
    <x:row r="124">
      <x:c r="A124" t="str">
        <x:v>RUN-0120</x:v>
      </x:c>
      <x:c r="B124" t="str">
        <x:v>ACC-034</x:v>
      </x:c>
      <x:c r="C124" t="str">
        <x:v>Initial</x:v>
      </x:c>
      <x:c r="D124" t="str">
        <x:v>Android</x:v>
      </x:c>
      <x:c r="E124" t="str">
        <x:v>Medium_Phone, Android user 10 disposable account</x:v>
      </x:c>
      <x:c r="F124" t="str">
        <x:v>Android 17</x:v>
      </x:c>
      <x:c r="G124" t="str">
        <x:v>9e9dcf1+dirty; com.spacemancodes.buff 1.0.0 (12)</x:v>
      </x:c>
      <x:c r="H124" s="60" t="n">
        <x:v>46267.37259259259</x:v>
      </x:c>
      <x:c r="I124" t="str">
        <x:v>Passed</x:v>
      </x:c>
      <x:c r="J124" t="str">
        <x:v>/Users/mason/.codex/visualizations/2026/09/01/01a05def-1c0d-76d1-abc6-07c63a443582/emulator-runs/initial/android-guest/dom-observations-batch-015.json</x:v>
      </x:c>
      <x:c r="K124" t="str">
        <x:v>Light, Dark, and System applied immediately with correct aria-pressed and persistence. System followed Android night-mode changes live, and Reduce motion toggled aria-checked/storage then restored off.</x:v>
      </x:c>
      <x:c r="L124" t="str"/>
      <x:c r="M124" t="str">
        <x:v>Android night mode and Buff appearance were restored to light/System.</x:v>
      </x:c>
    </x:row>
    <x:row r="125">
      <x:c r="A125" t="str">
        <x:v>RUN-0121</x:v>
      </x:c>
      <x:c r="B125" t="str">
        <x:v>ACC-049</x:v>
      </x:c>
      <x:c r="C125" t="str">
        <x:v>Initial</x:v>
      </x:c>
      <x:c r="D125" t="str">
        <x:v>Android</x:v>
      </x:c>
      <x:c r="E125" t="str">
        <x:v>Medium_Phone, Android user 10 disposable account</x:v>
      </x:c>
      <x:c r="F125" t="str">
        <x:v>Android 17</x:v>
      </x:c>
      <x:c r="G125" t="str">
        <x:v>9e9dcf1+dirty; com.spacemancodes.buff 1.0.0 (12)</x:v>
      </x:c>
      <x:c r="H125" s="60" t="n">
        <x:v>46267.37259259259</x:v>
      </x:c>
      <x:c r="I125" t="str">
        <x:v>Passed</x:v>
      </x:c>
      <x:c r="J125" t="str">
        <x:v>/Users/mason/.codex/visualizations/2026/09/01/01a05def-1c0d-76d1-abc6-07c63a443582/emulator-runs/initial/android-guest/ACC-049-050-subscription.png</x:v>
      </x:c>
      <x:c r="K125" t="str">
        <x:v>The signed-in free account displayed Buff+ benefits, no active-expiry label, inactive hub summary, legal/support links, and a manual status refresh action.</x:v>
      </x:c>
      <x:c r="L125" t="str"/>
      <x:c r="M125" t="str">
        <x:v>The signed-out transitional card will be revisited during the late logout sequence.</x:v>
      </x:c>
    </x:row>
    <x:row r="126">
      <x:c r="A126" t="str">
        <x:v>RUN-0122</x:v>
      </x:c>
      <x:c r="B126" t="str">
        <x:v>ACC-050</x:v>
      </x:c>
      <x:c r="C126" t="str">
        <x:v>Initial</x:v>
      </x:c>
      <x:c r="D126" t="str">
        <x:v>Android</x:v>
      </x:c>
      <x:c r="E126" t="str">
        <x:v>Medium_Phone, Android user 10 disposable account</x:v>
      </x:c>
      <x:c r="F126" t="str">
        <x:v>Android 17</x:v>
      </x:c>
      <x:c r="G126" t="str">
        <x:v>9e9dcf1+dirty; com.spacemancodes.buff 1.0.0 (12)</x:v>
      </x:c>
      <x:c r="H126" s="60" t="n">
        <x:v>46267.37259259259</x:v>
      </x:c>
      <x:c r="I126" t="str">
        <x:v>Failed</x:v>
      </x:c>
      <x:c r="J126" t="str">
        <x:v>/Users/mason/.codex/visualizations/2026/09/01/01a05def-1c0d-76d1-abc6-07c63a443582/emulator-runs/initial/android-guest/ACC-049-050-subscription.png
/Users/mason/.codex/visualizations/2026/09/01/01a05def-1c0d-76d1-abc6-07c63a443582/emulator-runs/initial/android-guest/ACC-050-053-subscription-empty-after-refresh.png
/Users/mason/.codex/visualizations/2026/09/01/01a05def-1c0d-76d1-abc6-07c63a443582/emulator-runs/initial/android-guest/ACC-050-058-platform-mode-mismatch.log</x:v>
      </x:c>
      <x:c r="K126" t="str">
        <x:v>The Android store bridge rejected an iOS-mode public key, the page mislabeled Android as unsupported and told the user to use the mobile app, then Refresh status erased the error while leaving no offerings or explanatory empty state.</x:v>
      </x:c>
      <x:c r="L126" t="str">
        <x:v>DEF-048, DEF-049, DEF-050</x:v>
      </x:c>
      <x:c r="M126" t="str">
        <x:v>Purchase and restore actions were not attempted.</x:v>
      </x:c>
    </x:row>
    <x:row r="127">
      <x:c r="A127" t="str">
        <x:v>RUN-0123</x:v>
      </x:c>
      <x:c r="B127" t="str">
        <x:v>ACC-053</x:v>
      </x:c>
      <x:c r="C127" t="str">
        <x:v>Initial</x:v>
      </x:c>
      <x:c r="D127" t="str">
        <x:v>Android</x:v>
      </x:c>
      <x:c r="E127" t="str">
        <x:v>Medium_Phone, Android user 10 disposable account</x:v>
      </x:c>
      <x:c r="F127" t="str">
        <x:v>Android 17</x:v>
      </x:c>
      <x:c r="G127" t="str">
        <x:v>9e9dcf1+dirty; com.spacemancodes.buff 1.0.0 (12)</x:v>
      </x:c>
      <x:c r="H127" s="60" t="n">
        <x:v>46267.37259259259</x:v>
      </x:c>
      <x:c r="I127" t="str">
        <x:v>Passed</x:v>
      </x:c>
      <x:c r="J127" t="str">
        <x:v>/Users/mason/.codex/visualizations/2026/09/01/01a05def-1c0d-76d1-abc6-07c63a443582/emulator-runs/initial/android-guest/dom-observations-batch-015.json</x:v>
      </x:c>
      <x:c r="K127" t="str">
        <x:v>Mount and manual empty-body /subscription/refresh requests completed, the manual button disabled while checking, and the server projection remained non-entitled without accepting client entitlement fields.</x:v>
      </x:c>
      <x:c r="L127" t="str"/>
      <x:c r="M127" t="str">
        <x:v>Provider 503 and rate-limit branches remain covered by focused server tests.</x:v>
      </x:c>
    </x:row>
    <x:row r="128">
      <x:c r="A128" t="str">
        <x:v>RUN-0124</x:v>
      </x:c>
      <x:c r="B128" t="str">
        <x:v>ACC-058</x:v>
      </x:c>
      <x:c r="C128" t="str">
        <x:v>Initial</x:v>
      </x:c>
      <x:c r="D128" t="str">
        <x:v>Android</x:v>
      </x:c>
      <x:c r="E128" t="str">
        <x:v>Medium_Phone, Android user 10 disposable account</x:v>
      </x:c>
      <x:c r="F128" t="str">
        <x:v>Android 17</x:v>
      </x:c>
      <x:c r="G128" t="str">
        <x:v>9e9dcf1+dirty; com.spacemancodes.buff 1.0.0 (12)</x:v>
      </x:c>
      <x:c r="H128" s="60" t="n">
        <x:v>46267.37259259259</x:v>
      </x:c>
      <x:c r="I128" t="str">
        <x:v>Failed</x:v>
      </x:c>
      <x:c r="J128" t="str">
        <x:v>/Users/mason/.codex/visualizations/2026/09/01/01a05def-1c0d-76d1-abc6-07c63a443582/emulator-runs/initial/android-guest/ACC-050-058-platform-mode-mismatch.log
/Users/mason/.codex/visualizations/2026/09/01/01a05def-1c0d-76d1-abc6-07c63a443582/emulator-runs/initial/android-guest/ACC-056-060-android-ios-mode-banner.png</x:v>
      </x:c>
      <x:c r="K128" t="str">
        <x:v>Adult policy and the banner worked, but Android's frontend identified itself as iOS, selected the iOS subscription key and reapplied iOS-only non-personalized tracking logic before native initialization.</x:v>
      </x:c>
      <x:c r="L128" t="str">
        <x:v>DEF-048</x:v>
      </x:c>
      <x:c r="M128" t="str">
        <x:v>Android has no legitimate ATT branch; this is a compiled-platform mismatch.</x:v>
      </x:c>
    </x:row>
    <x:row r="129">
      <x:c r="A129" t="str">
        <x:v>RUN-0125</x:v>
      </x:c>
      <x:c r="B129" t="str">
        <x:v>ACC-059</x:v>
      </x:c>
      <x:c r="C129" t="str">
        <x:v>Initial</x:v>
      </x:c>
      <x:c r="D129" t="str">
        <x:v>Android</x:v>
      </x:c>
      <x:c r="E129" t="str">
        <x:v>Medium_Phone, Android user 10 disposable account</x:v>
      </x:c>
      <x:c r="F129" t="str">
        <x:v>Android 17</x:v>
      </x:c>
      <x:c r="G129" t="str">
        <x:v>9e9dcf1+dirty; com.spacemancodes.buff 1.0.0 (12)</x:v>
      </x:c>
      <x:c r="H129" s="60" t="n">
        <x:v>46267.37259259259</x:v>
      </x:c>
      <x:c r="I129" t="str">
        <x:v>Passed</x:v>
      </x:c>
      <x:c r="J129" t="str">
        <x:v>/Users/mason/.codex/visualizations/2026/09/01/01a05def-1c0d-76d1-abc6-07c63a443582/emulator-runs/initial/android-guest/ACC-059-ump-refusal-result.png
/Users/mason/.codex/visualizations/2026/09/01/01a05def-1c0d-76d1-abc6-07c63a443582/emulator-runs/initial/android-guest/ACC-050-058-platform-mode-mismatch.log</x:v>
      </x:c>
      <x:c r="K129" t="str">
        <x:v>A required UMP form appeared before initialization. Choosing Do not consent completed to an obtained/can-request state, policy was constrained natively, and only then did initialize/load/show run; unresolved/error gating remains covered by coordinator tests.</x:v>
      </x:c>
      <x:c r="L129" t="str"/>
      <x:c r="M129" t="str">
        <x:v>The canonical expected behavior was clarified so refusal is not conflated with a native error or unresolved status.</x:v>
      </x:c>
    </x:row>
    <x:row r="130">
      <x:c r="A130" t="str">
        <x:v>RUN-0126</x:v>
      </x:c>
      <x:c r="B130" t="str">
        <x:v>ACC-061</x:v>
      </x:c>
      <x:c r="C130" t="str">
        <x:v>Initial</x:v>
      </x:c>
      <x:c r="D130" t="str">
        <x:v>Android</x:v>
      </x:c>
      <x:c r="E130" t="str">
        <x:v>Medium_Phone, Android user 10 disposable account</x:v>
      </x:c>
      <x:c r="F130" t="str">
        <x:v>Android 17</x:v>
      </x:c>
      <x:c r="G130" t="str">
        <x:v>9e9dcf1+dirty; com.spacemancodes.buff 1.0.0 (12)</x:v>
      </x:c>
      <x:c r="H130" s="60" t="n">
        <x:v>46267.37259259259</x:v>
      </x:c>
      <x:c r="I130" t="str">
        <x:v>Passed</x:v>
      </x:c>
      <x:c r="J130" t="str">
        <x:v>/Users/mason/.codex/visualizations/2026/09/01/01a05def-1c0d-76d1-abc6-07c63a443582/emulator-runs/initial/android-guest/ACC-061-privacy-options-open.png
/Users/mason/.codex/visualizations/2026/09/01/01a05def-1c0d-76d1-abc6-07c63a443582/emulator-runs/initial/android-guest/dom-observations-batch-015.json</x:v>
      </x:c>
      <x:c r="K130" t="str">
        <x:v>Settings showed Ad privacy choices only when required; tapping exposed Opening…, opened the native privacy form, and refreshed the row after the choice completed.</x:v>
      </x:c>
      <x:c r="L130" t="str"/>
      <x:c r="M130" t="str">
        <x:v>The refusal choice was preserved.</x:v>
      </x:c>
    </x:row>
    <x:row r="131">
      <x:c r="A131" t="str">
        <x:v>RUN-0127</x:v>
      </x:c>
      <x:c r="B131" t="str">
        <x:v>ACC-062</x:v>
      </x:c>
      <x:c r="C131" t="str">
        <x:v>Initial</x:v>
      </x:c>
      <x:c r="D131" t="str">
        <x:v>Android</x:v>
      </x:c>
      <x:c r="E131" t="str">
        <x:v>Medium_Phone, Android user 10 disposable account</x:v>
      </x:c>
      <x:c r="F131" t="str">
        <x:v>Android 17</x:v>
      </x:c>
      <x:c r="G131" t="str">
        <x:v>9e9dcf1+dirty; com.spacemancodes.buff 1.0.0 (12)</x:v>
      </x:c>
      <x:c r="H131" s="60" t="n">
        <x:v>46267.37259259259</x:v>
      </x:c>
      <x:c r="I131" t="str">
        <x:v>Passed</x:v>
      </x:c>
      <x:c r="J131" t="str">
        <x:v>/Users/mason/.codex/visualizations/2026/09/01/01a05def-1c0d-76d1-abc6-07c63a443582/emulator-runs/initial/android-guest/ACC-062-offline-fail-closed.png
/Users/mason/.codex/visualizations/2026/09/01/01a05def-1c0d-76d1-abc6-07c63a443582/emulator-runs/initial/android-guest/ACC-062-online-recovered-banner.png</x:v>
      </x:c>
      <x:c r="K131" t="str">
        <x:v>Navigating to an eligible route offline left banner height at zero with no ad error or blank reserve. Reconnection triggered automatic sync/subscription refresh and restored the 64px banner without user intervention.</x:v>
      </x:c>
      <x:c r="L131" t="str"/>
      <x:c r="M131" t="str">
        <x:v>Airplane mode was disabled afterward.</x:v>
      </x:c>
    </x:row>
    <x:row r="132">
      <x:c r="A132" t="str">
        <x:v>RUN-0128</x:v>
      </x:c>
      <x:c r="B132" t="str">
        <x:v>ACC-066</x:v>
      </x:c>
      <x:c r="C132" t="str">
        <x:v>Initial</x:v>
      </x:c>
      <x:c r="D132" t="str">
        <x:v>Android</x:v>
      </x:c>
      <x:c r="E132" t="str">
        <x:v>Medium_Phone, Android user 10 disposable account</x:v>
      </x:c>
      <x:c r="F132" t="str">
        <x:v>Android 17</x:v>
      </x:c>
      <x:c r="G132" t="str">
        <x:v>9e9dcf1+dirty; com.spacemancodes.buff 1.0.0 (12)</x:v>
      </x:c>
      <x:c r="H132" s="60" t="n">
        <x:v>46267.37259259259</x:v>
      </x:c>
      <x:c r="I132" t="str">
        <x:v>Failed</x:v>
      </x:c>
      <x:c r="J132" t="str">
        <x:v>/Users/mason/.codex/visualizations/2026/09/01/01a05def-1c0d-76d1-abc6-07c63a443582/emulator-runs/initial/android-guest/ACC-066-connected-assistants-empty.png
/Users/mason/.codex/visualizations/2026/09/01/01a05def-1c0d-76d1-abc6-07c63a443582/emulator-runs/initial/android-guest/dom-observations-batch-015.json</x:v>
      </x:c>
      <x:c r="K132" t="str">
        <x:v>The empty inventory, readonly MCP endpoint, copy fallback, and assistant instructions worked, but the inventory region's aria-labelledby target did not exist.</x:v>
      </x:c>
      <x:c r="L132" t="str">
        <x:v>DEF-051</x:v>
      </x:c>
      <x:c r="M132" t="str">
        <x:v>No sacrificial active connection existed for history/revocation branches.</x:v>
      </x:c>
    </x:row>
    <x:row r="133">
      <x:c r="A133" t="str">
        <x:v>RUN-0129</x:v>
      </x:c>
      <x:c r="B133" t="str">
        <x:v>ACC-077</x:v>
      </x:c>
      <x:c r="C133" t="str">
        <x:v>Initial</x:v>
      </x:c>
      <x:c r="D133" t="str">
        <x:v>Android</x:v>
      </x:c>
      <x:c r="E133" t="str">
        <x:v>Medium_Phone, Android user 10 disposable account</x:v>
      </x:c>
      <x:c r="F133" t="str">
        <x:v>Android 17</x:v>
      </x:c>
      <x:c r="G133" t="str">
        <x:v>9e9dcf1+dirty; com.spacemancodes.buff 1.0.0 (12)</x:v>
      </x:c>
      <x:c r="H133" s="60" t="n">
        <x:v>46267.37259259259</x:v>
      </x:c>
      <x:c r="I133" t="str">
        <x:v>Passed</x:v>
      </x:c>
      <x:c r="J133" t="str">
        <x:v>/Users/mason/.codex/visualizations/2026/09/01/01a05def-1c0d-76d1-abc6-07c63a443582/emulator-runs/initial/android-guest/ACC-062-offline-fail-closed.png
/Users/mason/.codex/visualizations/2026/09/01/01a05def-1c0d-76d1-abc6-07c63a443582/emulator-runs/initial/android-guest/dom-observations-batch-015.json</x:v>
      </x:c>
      <x:c r="K133" t="str">
        <x:v>Airplane mode immediately exposed the live No internet connection status, local routes and unit saves remained usable, and the banner disappeared after reconnection.</x:v>
      </x:c>
      <x:c r="L133" t="str"/>
      <x:c r="M133" t="str">
        <x:v>The role=status copy was accessible and nonblocking.</x:v>
      </x:c>
    </x:row>
    <x:row r="134">
      <x:c r="A134" t="str">
        <x:v>RUN-0130</x:v>
      </x:c>
      <x:c r="B134" t="str">
        <x:v>ACC-078</x:v>
      </x:c>
      <x:c r="C134" t="str">
        <x:v>Initial</x:v>
      </x:c>
      <x:c r="D134" t="str">
        <x:v>Android</x:v>
      </x:c>
      <x:c r="E134" t="str">
        <x:v>Medium_Phone, Android user 10 disposable account</x:v>
      </x:c>
      <x:c r="F134" t="str">
        <x:v>Android 17</x:v>
      </x:c>
      <x:c r="G134" t="str">
        <x:v>9e9dcf1+dirty; com.spacemancodes.buff 1.0.0 (12)</x:v>
      </x:c>
      <x:c r="H134" s="60" t="n">
        <x:v>46267.37259259259</x:v>
      </x:c>
      <x:c r="I134" t="str">
        <x:v>Failed</x:v>
      </x:c>
      <x:c r="J134" t="str">
        <x:v>/Users/mason/.codex/visualizations/2026/09/01/01a05def-1c0d-76d1-abc6-07c63a443582/emulator-runs/initial/android-guest/dom-observations-batch-015.json</x:v>
      </x:c>
      <x:c r="K134" t="str">
        <x:v>Automatic resume synchronized offline unit changes after reconnect, but pending count, progress, last success/error, and manual Retry were absent from the rendered UI.</x:v>
      </x:c>
      <x:c r="L134" t="str">
        <x:v>DEF-052</x:v>
      </x:c>
      <x:c r="M134" t="str">
        <x:v>The shared Inertia payload contained last_succeeded_at, last_error, and pending=0 after recovery.</x:v>
      </x:c>
    </x:row>
    <x:row r="135">
      <x:c r="A135" t="str">
        <x:v>RUN-0131</x:v>
      </x:c>
      <x:c r="B135" t="str">
        <x:v>HLT-007</x:v>
      </x:c>
      <x:c r="C135" t="str">
        <x:v>Initial</x:v>
      </x:c>
      <x:c r="D135" t="str">
        <x:v>Android</x:v>
      </x:c>
      <x:c r="E135" t="str">
        <x:v>Medium_Phone, Android user 10 disposable account</x:v>
      </x:c>
      <x:c r="F135" t="str">
        <x:v>Android 17</x:v>
      </x:c>
      <x:c r="G135" t="str">
        <x:v>9e9dcf1+dirty; com.spacemancodes.buff 1.0.0 (12)</x:v>
      </x:c>
      <x:c r="H135" s="60" t="n">
        <x:v>46267.37259259259</x:v>
      </x:c>
      <x:c r="I135" t="str">
        <x:v>Failed</x:v>
      </x:c>
      <x:c r="J135" t="str">
        <x:v>/Users/mason/.codex/visualizations/2026/09/01/01a05def-1c0d-76d1-abc6-07c63a443582/emulator-runs/initial/android-guest/dom-observations-batch-014.json</x:v>
      </x:c>
      <x:c r="K135" t="str">
        <x:v>Metric and imperial display controls worked, but onboarding's 180 cm to feet/inches to centimetres round trip changed the canonical height to 180.1 cm.</x:v>
      </x:c>
      <x:c r="L135" t="str">
        <x:v>DEF-038</x:v>
      </x:c>
      <x:c r="M135" t="str">
        <x:v>The fixture was restored to exactly 180 cm before completion.</x:v>
      </x:c>
    </x:row>
    <x:row r="136">
      <x:c r="A136" t="str">
        <x:v>RUN-0132</x:v>
      </x:c>
      <x:c r="B136" t="str">
        <x:v>HLT-033</x:v>
      </x:c>
      <x:c r="C136" t="str">
        <x:v>Initial</x:v>
      </x:c>
      <x:c r="D136" t="str">
        <x:v>Android</x:v>
      </x:c>
      <x:c r="E136" t="str">
        <x:v>Medium_Phone, Android user 10 disposable account</x:v>
      </x:c>
      <x:c r="F136" t="str">
        <x:v>Android 17</x:v>
      </x:c>
      <x:c r="G136" t="str">
        <x:v>9e9dcf1+dirty; com.spacemancodes.buff 1.0.0 (12)</x:v>
      </x:c>
      <x:c r="H136" s="60" t="n">
        <x:v>46267.37259259259</x:v>
      </x:c>
      <x:c r="I136" t="str">
        <x:v>Failed</x:v>
      </x:c>
      <x:c r="J136" t="str">
        <x:v>/Users/mason/.codex/visualizations/2026/09/01/01a05def-1c0d-76d1-abc6-07c63a443582/emulator-runs/initial/android-guest/ACC-036-body-height-client-server-min-mismatch.png
/Users/mason/.codex/visualizations/2026/09/01/01a05def-1c0d-76d1-abc6-07c63a443582/emulator-runs/initial/android-guest/ACC-036-optional-profile-fields-cannot-clear.png</x:v>
      </x:c>
      <x:c r="K136" t="str">
        <x:v>Body-profile inputs fed the energy calculations and saved valid values, but the centimetre affordance exposed the wrong bounds and nullable sex/activity fields could not be cleared.</x:v>
      </x:c>
      <x:c r="L136" t="str">
        <x:v>DEF-044, DEF-045</x:v>
      </x:c>
      <x:c r="M136" t="str">
        <x:v>Age 30, 180 cm, male, moderate was retained.</x:v>
      </x:c>
    </x:row>
    <x:row r="137">
      <x:c r="A137" t="str">
        <x:v>RUN-0133</x:v>
      </x:c>
      <x:c r="B137" t="str">
        <x:v>HLT-034</x:v>
      </x:c>
      <x:c r="C137" t="str">
        <x:v>Initial</x:v>
      </x:c>
      <x:c r="D137" t="str">
        <x:v>Android</x:v>
      </x:c>
      <x:c r="E137" t="str">
        <x:v>Medium_Phone, Android user 10 disposable account</x:v>
      </x:c>
      <x:c r="F137" t="str">
        <x:v>Android 17</x:v>
      </x:c>
      <x:c r="G137" t="str">
        <x:v>9e9dcf1+dirty; com.spacemancodes.buff 1.0.0 (12)</x:v>
      </x:c>
      <x:c r="H137" s="60" t="n">
        <x:v>46267.37259259259</x:v>
      </x:c>
      <x:c r="I137" t="str">
        <x:v>Passed</x:v>
      </x:c>
      <x:c r="J137" t="str">
        <x:v>/Users/mason/.codex/visualizations/2026/09/01/01a05def-1c0d-76d1-abc6-07c63a443582/emulator-runs/initial/android-guest/ACC-028-adult-age30-lose-plan.png</x:v>
      </x:c>
      <x:c r="K137" t="str">
        <x:v>The completed 80 kg, 180 cm, age-30 male moderate profile produced 2750 maintenance and a capped/rounded 2200-kcal loss goal with 165/220/73.33 macros, matching the code formulas.</x:v>
      </x:c>
      <x:c r="L137" t="str"/>
      <x:c r="M137" t="str">
        <x:v>Age-boundary inconsistency is tracked separately by DEF-042.</x:v>
      </x:c>
    </x:row>
    <x:row r="138">
      <x:c r="A138" t="str">
        <x:v>RUN-0134</x:v>
      </x:c>
      <x:c r="B138" t="str">
        <x:v>HLT-044</x:v>
      </x:c>
      <x:c r="C138" t="str">
        <x:v>Initial</x:v>
      </x:c>
      <x:c r="D138" t="str">
        <x:v>Android</x:v>
      </x:c>
      <x:c r="E138" t="str">
        <x:v>Medium_Phone, Android user 10 disposable account</x:v>
      </x:c>
      <x:c r="F138" t="str">
        <x:v>Android 17</x:v>
      </x:c>
      <x:c r="G138" t="str">
        <x:v>9e9dcf1+dirty; com.spacemancodes.buff 1.0.0 (12)</x:v>
      </x:c>
      <x:c r="H138" s="60" t="n">
        <x:v>46267.421006944445</x:v>
      </x:c>
      <x:c r="I138" t="str">
        <x:v>Blocked</x:v>
      </x:c>
      <x:c r="J138" t="str">
        <x:v>/Users/mason/.codex/visualizations/2026/09/01/01a05def-1c0d-76d1-abc6-07c63a443582/emulator-runs/initial/android-guest/HLT-042-workout-edited-499.png</x:v>
      </x:c>
      <x:c r="K138" t="str">
        <x:v>The current disposable profile showed Connect and contained only a manually created workout. No imported Health Connect workout was available, so edit/delete persistence, reimport suppression, and source-scoped external-ID behavior could not be exercised on device.</x:v>
      </x:c>
      <x:c r="L138" t="str"/>
      <x:c r="M138" t="str">
        <x:v>Controller/importer tests cover ignore creation and source scoping. This run can be superseded if a usable Health Connect fixture becomes available in the later health batch.</x:v>
      </x:c>
    </x:row>
    <x:row r="139">
      <x:c r="A139" t="str">
        <x:v>RUN-0135</x:v>
      </x:c>
      <x:c r="B139" t="str">
        <x:v>ACC-035</x:v>
      </x:c>
      <x:c r="C139" t="str">
        <x:v>Initial</x:v>
      </x:c>
      <x:c r="D139" t="str">
        <x:v>Android</x:v>
      </x:c>
      <x:c r="E139" t="str">
        <x:v>Medium_Phone, Android user 10 disposable account</x:v>
      </x:c>
      <x:c r="F139" t="str">
        <x:v>Android 17</x:v>
      </x:c>
      <x:c r="G139" t="str">
        <x:v>9e9dcf1+dirty; com.spacemancodes.buff 1.0.0 (12)</x:v>
      </x:c>
      <x:c r="H139" s="60" t="n">
        <x:v>46267.42701388889</x:v>
      </x:c>
      <x:c r="I139" t="str">
        <x:v>Failed</x:v>
      </x:c>
      <x:c r="J139" t="str">
        <x:v>/Users/mason/.codex/visualizations/2026/09/01/01a05def-1c0d-76d1-abc6-07c63a443582/emulator-runs/initial/android-guest/ACC-035-android-remove-animations-on.png
/Users/mason/.codex/visualizations/2026/09/01/01a05def-1c0d-76d1-abc6-07c63a443582/emulator-runs/initial/android-guest/ACC-035-buff-after-system-remove-animations-on.png
/Users/mason/.codex/visualizations/2026/09/01/01a05def-1c0d-76d1-abc6-07c63a443582/emulator-runs/initial/android-guest/dom-observations-batch-016.json</x:v>
      </x:c>
      <x:c r="K139" t="str">
        <x:v>Buff's own Reduce motion switch persisted and worked, and a cold launch respected Android Remove animations. Enabling Remove animations while Buff was backgrounded and then resuming left the WebView preference and Buff's data-reduce-motion state false until the process was restarted.</x:v>
      </x:c>
      <x:c r="L139" t="str">
        <x:v>DEF-054</x:v>
      </x:c>
      <x:c r="M139" t="str">
        <x:v>The device animation scales and Buff-local preference were restored after testing.</x:v>
      </x:c>
    </x:row>
    <x:row r="140">
      <x:c r="A140" t="str">
        <x:v>RUN-0136</x:v>
      </x:c>
      <x:c r="B140" t="str">
        <x:v>ACC-038</x:v>
      </x:c>
      <x:c r="C140" t="str">
        <x:v>Initial</x:v>
      </x:c>
      <x:c r="D140" t="str">
        <x:v>Android</x:v>
      </x:c>
      <x:c r="E140" t="str">
        <x:v>Medium_Phone, Android user 10 disposable account</x:v>
      </x:c>
      <x:c r="F140" t="str">
        <x:v>Android 17</x:v>
      </x:c>
      <x:c r="G140" t="str">
        <x:v>9e9dcf1+dirty; com.spacemancodes.buff 1.0.0 (12)</x:v>
      </x:c>
      <x:c r="H140" s="60" t="n">
        <x:v>46267.446226851855</x:v>
      </x:c>
      <x:c r="I140" t="str">
        <x:v>Passed</x:v>
      </x:c>
      <x:c r="J140" t="str">
        <x:v>/Users/mason/.codex/visualizations/2026/09/01/01a05def-1c0d-76d1-abc6-07c63a443582/emulator-runs/initial/android-guest/ACC-038-040-breakfast-enabled-1128.png
/Users/mason/.codex/visualizations/2026/09/01/01a05def-1c0d-76d1-abc6-07c63a443582/emulator-runs/initial/android-guest/ACC-038-settings-summary-3-on.png
/Users/mason/.codex/visualizations/2026/09/01/01a05def-1c0d-76d1-abc6-07c63a443582/emulator-runs/initial/android-guest/dom-observations-batch-017.json</x:v>
      </x:c>
      <x:c r="K140" t="str">
        <x:v>The page loaded with breakfast, lunch, and dinner off at 08:00, 12:00, and 18:00. Rapid edits exposed Saving/Saved feedback, all three enabled values persisted after reload, Settings summarized 3 on, and AlarmManager contained exactly three non-duplicate meal alarms.</x:v>
      </x:c>
      <x:c r="L140" t="str"/>
      <x:c r="M140" t="str">
        <x:v>The original off/default state and power state were restored after the reminder batch.</x:v>
      </x:c>
    </x:row>
    <x:row r="141">
      <x:c r="A141" t="str">
        <x:v>RUN-0137</x:v>
      </x:c>
      <x:c r="B141" t="str">
        <x:v>ACC-039</x:v>
      </x:c>
      <x:c r="C141" t="str">
        <x:v>Initial</x:v>
      </x:c>
      <x:c r="D141" t="str">
        <x:v>Android</x:v>
      </x:c>
      <x:c r="E141" t="str">
        <x:v>Medium_Phone, Android user 10 disposable account</x:v>
      </x:c>
      <x:c r="F141" t="str">
        <x:v>Android 17</x:v>
      </x:c>
      <x:c r="G141" t="str">
        <x:v>9e9dcf1+dirty; com.spacemancodes.buff 1.0.0 (12)</x:v>
      </x:c>
      <x:c r="H141" s="60" t="n">
        <x:v>46267.446226851855</x:v>
      </x:c>
      <x:c r="I141" t="str">
        <x:v>Passed</x:v>
      </x:c>
      <x:c r="J141" t="str">
        <x:v>/Users/mason/.codex/visualizations/2026/09/01/01a05def-1c0d-76d1-abc6-07c63a443582/emulator-runs/initial/android-guest/ACC-039-notification-permission-prompt.png
/Users/mason/.codex/visualizations/2026/09/01/01a05def-1c0d-76d1-abc6-07c63a443582/emulator-runs/initial/android-guest/ACC-040-breakfast-reminder-delivered.png
/Users/mason/.codex/visualizations/2026/09/01/01a05def-1c0d-76d1-abc6-07c63a443582/emulator-runs/initial/android-guest/dom-observations-batch-017.json</x:v>
      </x:c>
      <x:c r="K141" t="str">
        <x:v>First enable showed the Android notification prompt and allow-notifications inline status. Denial retained the schedule and the next save reported notifications off. Directly granting POST_NOTIFICATIONS produced the saved state and a real notification; disabling the Meal reminders channel reported notifications off without losing the schedule, and re-enabling restored normal saved/delivery behavior.</x:v>
      </x:c>
      <x:c r="L141" t="str"/>
      <x:c r="M141" t="str">
        <x:v>A second true first-request Allow prompt was fixture-limited after denial because the plugin records that it has requested once. The granted state, channel state changes, schedule retention, and end-to-end delivery were directly verified.</x:v>
      </x:c>
    </x:row>
    <x:row r="142">
      <x:c r="A142" t="str">
        <x:v>RUN-0138</x:v>
      </x:c>
      <x:c r="B142" t="str">
        <x:v>ACC-040</x:v>
      </x:c>
      <x:c r="C142" t="str">
        <x:v>Initial</x:v>
      </x:c>
      <x:c r="D142" t="str">
        <x:v>Android</x:v>
      </x:c>
      <x:c r="E142" t="str">
        <x:v>Medium_Phone, Android user 10 disposable account</x:v>
      </x:c>
      <x:c r="F142" t="str">
        <x:v>Android 17</x:v>
      </x:c>
      <x:c r="G142" t="str">
        <x:v>9e9dcf1+dirty; com.spacemancodes.buff 1.0.0 (12)</x:v>
      </x:c>
      <x:c r="H142" s="60" t="n">
        <x:v>46267.446226851855</x:v>
      </x:c>
      <x:c r="I142" t="str">
        <x:v>Failed</x:v>
      </x:c>
      <x:c r="J142" t="str">
        <x:v>/Users/mason/.codex/visualizations/2026/09/01/01a05def-1c0d-76d1-abc6-07c63a443582/emulator-runs/initial/android-guest/ACC-038-040-breakfast-enabled-1128.png
/Users/mason/.codex/visualizations/2026/09/01/01a05def-1c0d-76d1-abc6-07c63a443582/emulator-runs/initial/android-guest/ACC-040-breakfast-reminder-delivered.png
/Users/mason/.codex/visualizations/2026/09/01/01a05def-1c0d-76d1-abc6-07c63a443582/emulator-runs/initial/android-guest/dom-observations-batch-017.json</x:v>
      </x:c>
      <x:c r="K142" t="str">
        <x:v>Normal unlogged delivery produced notification ID 4101 with the expected Breakfast reminder title/body, and tapping opened /add?mode=food&amp;meal=breakfast with Breakfast selected. A same-day breakfast fixture suppressed delivery and was deleted, and reboot restored the current alarm. Under forced deep idle, however, the 11:38 alarm fired and four local meal checks returned no result; after three retries the fourth work attempt succeeded silently, emitted no notification, and moved the alarm to 2026-09-03 11:38.</x:v>
      </x:c>
      <x:c r="L142" t="str">
        <x:v>DEF-055</x:v>
      </x:c>
      <x:c r="M142" t="str">
        <x:v>The failure is confined to exhausted local-check retries observed under Doze; normal delivery, suppression, deep link, and reboot restoration passed. Deep idle, battery state, reminder settings, and the disposable meal fixture were restored.</x:v>
      </x:c>
    </x:row>
    <x:row r="143">
      <x:c r="A143" t="str">
        <x:v>RUN-0139</x:v>
      </x:c>
      <x:c r="B143" t="str">
        <x:v>ACC-042</x:v>
      </x:c>
      <x:c r="C143" t="str">
        <x:v>Initial</x:v>
      </x:c>
      <x:c r="D143" t="str">
        <x:v>Android</x:v>
      </x:c>
      <x:c r="E143" t="str">
        <x:v>Medium_Phone, Android user 10 disposable account</x:v>
      </x:c>
      <x:c r="F143" t="str">
        <x:v>Android 17</x:v>
      </x:c>
      <x:c r="G143" t="str">
        <x:v>9e9dcf1+dirty; com.spacemancodes.buff 1.0.0 (12)</x:v>
      </x:c>
      <x:c r="H143" s="60" t="n">
        <x:v>46267.446226851855</x:v>
      </x:c>
      <x:c r="I143" t="str">
        <x:v>Blocked</x:v>
      </x:c>
      <x:c r="J143" t="str">
        <x:v>/Users/mason/.codex/visualizations/2026/09/01/01a05def-1c0d-76d1-abc6-07c63a443582/emulator-runs/initial/android-guest/dom-observations-batch-017.json</x:v>
      </x:c>
      <x:c r="K143" t="str">
        <x:v>Local reminder scheduling and persistence were exercised, but no second signed-in device or controlled newer remote AppPreference payload was available to drive accepted remote reminder reconciliation on Android.</x:v>
      </x:c>
      <x:c r="L143" t="str"/>
      <x:c r="M143" t="str">
        <x:v>Requires a second signed-in device or controlled remote sync fixture, plus native bridge success/error variants, before Android reconciliation can receive story credit.</x:v>
      </x:c>
    </x:row>
    <x:row r="144">
      <x:c r="A144" t="str">
        <x:v>RUN-0140</x:v>
      </x:c>
      <x:c r="B144" t="str">
        <x:v>HLT-058</x:v>
      </x:c>
      <x:c r="C144" t="str">
        <x:v>Initial</x:v>
      </x:c>
      <x:c r="D144" t="str">
        <x:v>Android</x:v>
      </x:c>
      <x:c r="E144" t="str">
        <x:v>Medium_Phone, Android user 0 scheduled-worker process observed while user 10 was foreground</x:v>
      </x:c>
      <x:c r="F144" t="str">
        <x:v>Android 17</x:v>
      </x:c>
      <x:c r="G144" t="str">
        <x:v>9e9dcf1+dirty; com.spacemancodes.buff 1.0.0 (12)</x:v>
      </x:c>
      <x:c r="H144" s="60" t="n">
        <x:v>46267.4468287037</x:v>
      </x:c>
      <x:c r="I144" t="str">
        <x:v>Failed</x:v>
      </x:c>
      <x:c r="J144" t="str">
        <x:v>/Users/mason/.codex/visualizations/2026/09/01/01a05def-1c0d-76d1-abc6-07c63a443582/emulator-runs/initial/android-guest/dom-observations-batch-018.json</x:v>
      </x:c>
      <x:c r="K144" t="str">
        <x:v>The two registered ten-minute ScheduledTaskWorker IDs repeatedly entered NativePHP as background-task:run &lt;id&gt;, then failed with 'Not enough arguments (missing: "task")' before health-connect:sync or apple-health:sync could execute. Source tracing confirmed the runtime loses the positional task binding.</x:v>
      </x:c>
      <x:c r="L144" t="str">
        <x:v>DEF-056</x:v>
      </x:c>
      <x:c r="M144" t="str">
        <x:v>The task hashes map exactly to health-connect:sync and apple-health:sync. HealthConnectSyncWorker's named --payload import call is separate and was not implicated.</x:v>
      </x:c>
    </x:row>
    <x:row r="145">
      <x:c r="A145" t="str">
        <x:v>RUN-0141</x:v>
      </x:c>
      <x:c r="B145" t="str">
        <x:v>ACC-044</x:v>
      </x:c>
      <x:c r="C145" t="str">
        <x:v>Initial</x:v>
      </x:c>
      <x:c r="D145" t="str">
        <x:v>Android</x:v>
      </x:c>
      <x:c r="E145" t="str">
        <x:v>Medium_Phone emulator, Android user 10 disposable account</x:v>
      </x:c>
      <x:c r="F145" t="str">
        <x:v>Android 17</x:v>
      </x:c>
      <x:c r="G145" t="str">
        <x:v>9e9dcf1+dirty; com.spacemancodes.buff 1.0.0 (12)</x:v>
      </x:c>
      <x:c r="H145" s="60" t="n">
        <x:v>46267.46519675926</x:v>
      </x:c>
      <x:c r="I145" t="str">
        <x:v>Failed</x:v>
      </x:c>
      <x:c r="J145" t="str">
        <x:v>/Users/mason/.codex/visualizations/2026/09/01/01a05def-1c0d-76d1-abc6-07c63a443582/emulator-runs/initial/android-guest/dom-observations-batch-019.json
/Users/mason/.codex/visualizations/2026/09/01/01a05def-1c0d-76d1-abc6-07c63a443582/emulator-runs/initial/android-guest/ACC-044-health-connect-foreground-prompt.png
/Users/mason/.codex/visualizations/2026/09/01/01a05def-1c0d-76d1-abc6-07c63a443582/emulator-runs/initial/android-guest/ACC-044-health-connect-background-prompt.png</x:v>
      </x:c>
      <x:c r="K145" t="str">
        <x:v>The first foreground request was denied; the second granted Exercise only. Later Connect attempts for the twice-denied missing permissions opened and immediately closed HealthConnectPermissionActivity with no OS sheet, message, or Settings route, leaving Permission needed.</x:v>
      </x:c>
      <x:c r="L145" t="str">
        <x:v>DEF-057</x:v>
      </x:c>
      <x:c r="M145" t="str">
        <x:v>The later background permission prompt was independently reachable after foreground access was completed.</x:v>
      </x:c>
    </x:row>
    <x:row r="146">
      <x:c r="A146" t="str">
        <x:v>RUN-0142</x:v>
      </x:c>
      <x:c r="B146" t="str">
        <x:v>HLT-052</x:v>
      </x:c>
      <x:c r="C146" t="str">
        <x:v>Initial</x:v>
      </x:c>
      <x:c r="D146" t="str">
        <x:v>Android</x:v>
      </x:c>
      <x:c r="E146" t="str">
        <x:v>Medium_Phone emulator, Android user 10 disposable account</x:v>
      </x:c>
      <x:c r="F146" t="str">
        <x:v>Android 17</x:v>
      </x:c>
      <x:c r="G146" t="str">
        <x:v>9e9dcf1+dirty; com.spacemancodes.buff 1.0.0 (12)</x:v>
      </x:c>
      <x:c r="H146" s="60" t="n">
        <x:v>46267.46519675926</x:v>
      </x:c>
      <x:c r="I146" t="str">
        <x:v>Blocked</x:v>
      </x:c>
      <x:c r="J146" t="str">
        <x:v>/Users/mason/.codex/visualizations/2026/09/01/01a05def-1c0d-76d1-abc6-07c63a443582/emulator-runs/initial/android-guest/dom-observations-batch-019.json</x:v>
      </x:c>
      <x:c r="K146" t="str">
        <x:v>The Android 17 system Health Connect provider was present, current, and available, so provider-absent and provider-outdated branches could not be exercised read-only.</x:v>
      </x:c>
      <x:c r="L146" t="str"/>
      <x:c r="M146" t="str">
        <x:v>Requires a provider-absent/outdated emulator image or a controlled provider fixture.</x:v>
      </x:c>
    </x:row>
    <x:row r="147">
      <x:c r="A147" t="str">
        <x:v>RUN-0143</x:v>
      </x:c>
      <x:c r="B147" t="str">
        <x:v>HLT-053</x:v>
      </x:c>
      <x:c r="C147" t="str">
        <x:v>Initial</x:v>
      </x:c>
      <x:c r="D147" t="str">
        <x:v>Android</x:v>
      </x:c>
      <x:c r="E147" t="str">
        <x:v>Medium_Phone emulator, Android user 10 disposable account</x:v>
      </x:c>
      <x:c r="F147" t="str">
        <x:v>Android 17</x:v>
      </x:c>
      <x:c r="G147" t="str">
        <x:v>9e9dcf1+dirty; com.spacemancodes.buff 1.0.0 (12)</x:v>
      </x:c>
      <x:c r="H147" s="60" t="n">
        <x:v>46267.46519675926</x:v>
      </x:c>
      <x:c r="I147" t="str">
        <x:v>Failed</x:v>
      </x:c>
      <x:c r="J147" t="str">
        <x:v>/Users/mason/.codex/visualizations/2026/09/01/01a05def-1c0d-76d1-abc6-07c63a443582/emulator-runs/initial/android-guest/dom-observations-batch-019.json</x:v>
      </x:c>
      <x:c r="K147" t="str">
        <x:v>Twice-denied missing foreground permissions could not be recovered from Buff: the permission activity immediately closed without OS UI or directing the user to Health Connect Settings.</x:v>
      </x:c>
      <x:c r="L147" t="str">
        <x:v>DEF-057</x:v>
      </x:c>
      <x:c r="M147" t="str">
        <x:v>The observed behavior conflicts with the official cancelled-twice Health Connect permission UX guidance.</x:v>
      </x:c>
    </x:row>
    <x:row r="148">
      <x:c r="A148" t="str">
        <x:v>RUN-0144</x:v>
      </x:c>
      <x:c r="B148" t="str">
        <x:v>HLT-054</x:v>
      </x:c>
      <x:c r="C148" t="str">
        <x:v>Initial</x:v>
      </x:c>
      <x:c r="D148" t="str">
        <x:v>Android</x:v>
      </x:c>
      <x:c r="E148" t="str">
        <x:v>Medium_Phone emulator, Android user 10 disposable account</x:v>
      </x:c>
      <x:c r="F148" t="str">
        <x:v>Android 17</x:v>
      </x:c>
      <x:c r="G148" t="str">
        <x:v>9e9dcf1+dirty; com.spacemancodes.buff 1.0.0 (12)</x:v>
      </x:c>
      <x:c r="H148" s="60" t="n">
        <x:v>46267.46519675926</x:v>
      </x:c>
      <x:c r="I148" t="str">
        <x:v>Passed</x:v>
      </x:c>
      <x:c r="J148" t="str">
        <x:v>/Users/mason/.codex/visualizations/2026/09/01/01a05def-1c0d-76d1-abc6-07c63a443582/emulator-runs/initial/android-guest/dom-observations-batch-019.json</x:v>
      </x:c>
      <x:c r="K148" t="str">
        <x:v>Status moved from permission_required through foreground partial and background_permission_required to connected. Denying background retained the required state; granting it on the second request connected and queued immediate sync.</x:v>
      </x:c>
      <x:c r="L148" t="str"/>
      <x:c r="M148" t="str">
        <x:v>With foreground granted and background denied, direct POST /health-connect/sync returned HTTP 200 while native correctly refused the work and the page remained background_permission_required.</x:v>
      </x:c>
    </x:row>
    <x:row r="149">
      <x:c r="A149" t="str">
        <x:v>RUN-0145</x:v>
      </x:c>
      <x:c r="B149" t="str">
        <x:v>ACC-045</x:v>
      </x:c>
      <x:c r="C149" t="str">
        <x:v>Initial</x:v>
      </x:c>
      <x:c r="D149" t="str">
        <x:v>Android</x:v>
      </x:c>
      <x:c r="E149" t="str">
        <x:v>Medium_Phone emulator, Android user 10 disposable account</x:v>
      </x:c>
      <x:c r="F149" t="str">
        <x:v>Android 17</x:v>
      </x:c>
      <x:c r="G149" t="str">
        <x:v>9e9dcf1+dirty; com.spacemancodes.buff 1.0.0 (12)</x:v>
      </x:c>
      <x:c r="H149" s="60" t="n">
        <x:v>46267.46519675926</x:v>
      </x:c>
      <x:c r="I149" t="str">
        <x:v>Failed</x:v>
      </x:c>
      <x:c r="J149" t="str">
        <x:v>/Users/mason/.codex/visualizations/2026/09/01/01a05def-1c0d-76d1-abc6-07c63a443582/emulator-runs/initial/android-guest/dom-observations-batch-019.json
/Users/mason/.codex/visualizations/2026/09/01/01a05def-1c0d-76d1-abc6-07c63a443582/emulator-runs/initial/android-guest/HLT-055-health-connect-sync-queued-stuck.png</x:v>
      </x:c>
      <x:c r="K149" t="str">
        <x:v>After full permission grant, the initial immediate zero-record sync succeeded. A manual Sync now committed PHP success but empty returned Artisan stdout caused false failure and retries, so Settings stayed Sync queued.</x:v>
      </x:c>
      <x:c r="L149" t="str">
        <x:v>DEF-058</x:v>
      </x:c>
      <x:c r="M149" t="str">
        <x:v>The status record after restart proved the third PHP import committed at 2026-09-02T10:54:26+00:00.</x:v>
      </x:c>
    </x:row>
    <x:row r="150">
      <x:c r="A150" t="str">
        <x:v>RUN-0146</x:v>
      </x:c>
      <x:c r="B150" t="str">
        <x:v>HLT-055</x:v>
      </x:c>
      <x:c r="C150" t="str">
        <x:v>Initial</x:v>
      </x:c>
      <x:c r="D150" t="str">
        <x:v>Android</x:v>
      </x:c>
      <x:c r="E150" t="str">
        <x:v>Medium_Phone emulator, Android user 10 disposable account</x:v>
      </x:c>
      <x:c r="F150" t="str">
        <x:v>Android 17</x:v>
      </x:c>
      <x:c r="G150" t="str">
        <x:v>9e9dcf1+dirty; com.spacemancodes.buff 1.0.0 (12)</x:v>
      </x:c>
      <x:c r="H150" s="60" t="n">
        <x:v>46267.46519675926</x:v>
      </x:c>
      <x:c r="I150" t="str">
        <x:v>Failed</x:v>
      </x:c>
      <x:c r="J150" t="str">
        <x:v>/Users/mason/.codex/visualizations/2026/09/01/01a05def-1c0d-76d1-abc6-07c63a443582/emulator-runs/initial/android-guest/dom-observations-batch-019.json
/Users/mason/.codex/visualizations/2026/09/01/01a05def-1c0d-76d1-abc6-07c63a443582/emulator-runs/initial/android-guest/HLT-055-health-connect-sync-queued-stuck.png</x:v>
      </x:c>
      <x:c r="K150" t="str">
        <x:v>Sync now showed Syncing..., then Sync queued. Workers at 11:52:56, 11:53:26, and 11:54:26 committed zero-record PHP imports but retried after 'Health Connect import did not report success.'; the page never showed completion, progress, or failure.</x:v>
      </x:c>
      <x:c r="L150" t="str">
        <x:v>DEF-058</x:v>
      </x:c>
      <x:c r="M150" t="str">
        <x:v>The first automatic worker at 11:51:07 returned SUCCESS with the expected sentinel, isolating the later false-negative output path.</x:v>
      </x:c>
    </x:row>
    <x:row r="151">
      <x:c r="A151" t="str">
        <x:v>RUN-0147</x:v>
      </x:c>
      <x:c r="B151" t="str">
        <x:v>HLT-056</x:v>
      </x:c>
      <x:c r="C151" t="str">
        <x:v>Initial</x:v>
      </x:c>
      <x:c r="D151" t="str">
        <x:v>Android</x:v>
      </x:c>
      <x:c r="E151" t="str">
        <x:v>Medium_Phone emulator, Android user 10 disposable account</x:v>
      </x:c>
      <x:c r="F151" t="str">
        <x:v>Android 17</x:v>
      </x:c>
      <x:c r="G151" t="str">
        <x:v>9e9dcf1+dirty; com.spacemancodes.buff 1.0.0 (12)</x:v>
      </x:c>
      <x:c r="H151" s="60" t="n">
        <x:v>46267.46519675926</x:v>
      </x:c>
      <x:c r="I151" t="str">
        <x:v>Blocked</x:v>
      </x:c>
      <x:c r="J151" t="str">
        <x:v>/Users/mason/.codex/visualizations/2026/09/01/01a05def-1c0d-76d1-abc6-07c63a443582/emulator-runs/initial/android-guest/dom-observations-batch-019.json</x:v>
      </x:c>
      <x:c r="K151" t="str">
        <x:v>The empty-store read/import path was exercised, but no Health Connect writer or prepared store supplied a real exercise/calorie record for device-level mapping and import verification.</x:v>
      </x:c>
      <x:c r="L151" t="str"/>
      <x:c r="M151" t="str">
        <x:v>Requires a real Health Connect writer fixture with deterministic exercise and calorie records.</x:v>
      </x:c>
    </x:row>
    <x:row r="152">
      <x:c r="A152" t="str">
        <x:v>RUN-0148</x:v>
      </x:c>
      <x:c r="B152" t="str">
        <x:v>HLT-057</x:v>
      </x:c>
      <x:c r="C152" t="str">
        <x:v>Initial</x:v>
      </x:c>
      <x:c r="D152" t="str">
        <x:v>Android</x:v>
      </x:c>
      <x:c r="E152" t="str">
        <x:v>Medium_Phone emulator, Android user 10 disposable account</x:v>
      </x:c>
      <x:c r="F152" t="str">
        <x:v>Android 17</x:v>
      </x:c>
      <x:c r="G152" t="str">
        <x:v>9e9dcf1+dirty; com.spacemancodes.buff 1.0.0 (12)</x:v>
      </x:c>
      <x:c r="H152" s="60" t="n">
        <x:v>46267.46519675926</x:v>
      </x:c>
      <x:c r="I152" t="str">
        <x:v>Blocked</x:v>
      </x:c>
      <x:c r="J152" t="str">
        <x:v>/Users/mason/.codex/visualizations/2026/09/01/01a05def-1c0d-76d1-abc6-07c63a443582/emulator-runs/initial/android-guest/dom-observations-batch-019.json</x:v>
      </x:c>
      <x:c r="K152" t="str">
        <x:v>No deterministic real-record fixture existed for multi-page reads, updates, source removals, or corresponding imported-row reconciliation.</x:v>
      </x:c>
      <x:c r="L152" t="str"/>
      <x:c r="M152" t="str">
        <x:v>Requires a Health Connect writer/store fixture capable of pagination and controlled record update/delete.</x:v>
      </x:c>
    </x:row>
    <x:row r="153">
      <x:c r="A153" t="str">
        <x:v>RUN-0149</x:v>
      </x:c>
      <x:c r="B153" t="str">
        <x:v>HLT-059</x:v>
      </x:c>
      <x:c r="C153" t="str">
        <x:v>Initial</x:v>
      </x:c>
      <x:c r="D153" t="str">
        <x:v>Android</x:v>
      </x:c>
      <x:c r="E153" t="str">
        <x:v>Medium_Phone emulator, Android user 10 disposable account</x:v>
      </x:c>
      <x:c r="F153" t="str">
        <x:v>Android 17</x:v>
      </x:c>
      <x:c r="G153" t="str">
        <x:v>9e9dcf1+dirty; com.spacemancodes.buff 1.0.0 (12)</x:v>
      </x:c>
      <x:c r="H153" s="60" t="n">
        <x:v>46267.46519675926</x:v>
      </x:c>
      <x:c r="I153" t="str">
        <x:v>Blocked</x:v>
      </x:c>
      <x:c r="J153" t="str">
        <x:v>/Users/mason/.codex/visualizations/2026/09/01/01a05def-1c0d-76d1-abc6-07c63a443582/emulator-runs/initial/android-guest/dom-observations-batch-019.json</x:v>
      </x:c>
      <x:c r="K153" t="str">
        <x:v>Disconnect revoked access, removed the relevant controls/queued-work affordances, and remained permission_required after restart. Imported-row retention could not be verified because the store contained no genuine imported workout.</x:v>
      </x:c>
      <x:c r="L153" t="str"/>
      <x:c r="M153" t="str">
        <x:v>Functional disconnect passed; the story remains Blocked only on the imported-history retention fixture.</x:v>
      </x:c>
    </x:row>
    <x:row r="154">
      <x:c r="A154" t="str">
        <x:v>RUN-0150</x:v>
      </x:c>
      <x:c r="B154" t="str">
        <x:v>HLT-060</x:v>
      </x:c>
      <x:c r="C154" t="str">
        <x:v>Initial</x:v>
      </x:c>
      <x:c r="D154" t="str">
        <x:v>Android</x:v>
      </x:c>
      <x:c r="E154" t="str">
        <x:v>Medium_Phone emulator, Android user 10 disposable account</x:v>
      </x:c>
      <x:c r="F154" t="str">
        <x:v>Android 17</x:v>
      </x:c>
      <x:c r="G154" t="str">
        <x:v>9e9dcf1+dirty; com.spacemancodes.buff 1.0.0 (12)</x:v>
      </x:c>
      <x:c r="H154" s="60" t="n">
        <x:v>46267.46519675926</x:v>
      </x:c>
      <x:c r="I154" t="str">
        <x:v>Failed</x:v>
      </x:c>
      <x:c r="J154" t="str">
        <x:v>/Users/mason/.codex/visualizations/2026/09/01/01a05def-1c0d-76d1-abc6-07c63a443582/emulator-runs/initial/android-guest/dom-observations-batch-019.json
/Users/mason/.codex/visualizations/2026/09/01/01a05def-1c0d-76d1-abc6-07c63a443582/emulator-runs/initial/android-guest/HLT-055-health-connect-sync-queued-stuck.png</x:v>
      </x:c>
      <x:c r="K154" t="str">
        <x:v>A committed import was treated as failed and retried because returned Artisan stdout was empty, while controlled status/connect/sync/disconnect request failures produced no visible error. Provider-absent/outdated, malformed bridge, and real-record recovery sub-branches remain fixture-blocked.</x:v>
      </x:c>
      <x:c r="L154" t="str">
        <x:v>DEF-058, DEF-059</x:v>
      </x:c>
      <x:c r="M154" t="str">
        <x:v>The directly observed recovery/error-reporting failures are sufficient for Failed even though additional provider and real-record variants remain blocked.</x:v>
      </x:c>
    </x:row>
    <x:row r="155">
      <x:c r="A155" t="str">
        <x:v>RUN-0151</x:v>
      </x:c>
      <x:c r="B155" t="str">
        <x:v>ACC-046</x:v>
      </x:c>
      <x:c r="C155" t="str">
        <x:v>Initial</x:v>
      </x:c>
      <x:c r="D155" t="str">
        <x:v>Android</x:v>
      </x:c>
      <x:c r="E155" t="str">
        <x:v>Medium_Phone emulator, Android user 10 disposable account</x:v>
      </x:c>
      <x:c r="F155" t="str">
        <x:v>Android 17</x:v>
      </x:c>
      <x:c r="G155" t="str">
        <x:v>9e9dcf1+dirty; com.spacemancodes.buff 1.0.0 (12)</x:v>
      </x:c>
      <x:c r="H155" s="60" t="n">
        <x:v>46267.46519675926</x:v>
      </x:c>
      <x:c r="I155" t="str">
        <x:v>Blocked</x:v>
      </x:c>
      <x:c r="J155" t="str">
        <x:v>/Users/mason/.codex/visualizations/2026/09/01/01a05def-1c0d-76d1-abc6-07c63a443582/emulator-runs/initial/android-guest/dom-observations-batch-019.json</x:v>
      </x:c>
      <x:c r="K155" t="str">
        <x:v>The connection could be revoked and stayed revoked after restart, but there was no genuine Health Connect-imported workout row with which to prove imported history remains after disconnect.</x:v>
      </x:c>
      <x:c r="L155" t="str"/>
      <x:c r="M155" t="str">
        <x:v>Same imported-history fixture gap as HLT-059.</x:v>
      </x:c>
    </x:row>
    <x:row r="156">
      <x:c r="A156" t="str">
        <x:v>RUN-0152</x:v>
      </x:c>
      <x:c r="B156" t="str">
        <x:v>ACC-048</x:v>
      </x:c>
      <x:c r="C156" t="str">
        <x:v>Initial</x:v>
      </x:c>
      <x:c r="D156" t="str">
        <x:v>Android</x:v>
      </x:c>
      <x:c r="E156" t="str">
        <x:v>Medium_Phone emulator, Android user 10 disposable account</x:v>
      </x:c>
      <x:c r="F156" t="str">
        <x:v>Android 17</x:v>
      </x:c>
      <x:c r="G156" t="str">
        <x:v>9e9dcf1+dirty; com.spacemancodes.buff 1.0.0 (12)</x:v>
      </x:c>
      <x:c r="H156" s="60" t="n">
        <x:v>46267.46519675926</x:v>
      </x:c>
      <x:c r="I156" t="str">
        <x:v>Failed</x:v>
      </x:c>
      <x:c r="J156" t="str">
        <x:v>/Users/mason/.codex/visualizations/2026/09/01/01a05def-1c0d-76d1-abc6-07c63a443582/emulator-runs/initial/android-guest/dom-observations-batch-019.json</x:v>
      </x:c>
      <x:c r="K156" t="str">
        <x:v>Controlled one-request failures for status, connect, sync, and disconnect reset their controls but displayed no alert. A GET status failure after prior success kept Last synced visible because the success timestamp outranked last_error.</x:v>
      </x:c>
      <x:c r="L156" t="str">
        <x:v>DEF-059</x:v>
      </x:c>
      <x:c r="M156" t="str">
        <x:v>The harness confirmed the intended request was intercepted with blocked=1 for each case.</x:v>
      </x:c>
    </x:row>
    <x:row r="157">
      <x:c r="A157" t="str">
        <x:v>RUN-0153</x:v>
      </x:c>
      <x:c r="B157" t="str">
        <x:v>HLT-001</x:v>
      </x:c>
      <x:c r="C157" t="str">
        <x:v>Initial</x:v>
      </x:c>
      <x:c r="D157" t="str">
        <x:v>Android</x:v>
      </x:c>
      <x:c r="E157" t="str">
        <x:v>Medium_Phone emulator, Android user 10 disposable account</x:v>
      </x:c>
      <x:c r="F157" t="str">
        <x:v>Android 17</x:v>
      </x:c>
      <x:c r="G157" t="str">
        <x:v>9e9dcf1+dirty; com.spacemancodes.buff 1.0.0 (12)</x:v>
      </x:c>
      <x:c r="H157" s="60" t="n">
        <x:v>46267.492789351854</x:v>
      </x:c>
      <x:c r="I157" t="str">
        <x:v>Blocked</x:v>
      </x:c>
      <x:c r="J157" t="str">
        <x:v>/Users/mason/.codex/visualizations/2026/09/01/01a05def-1c0d-76d1-abc6-07c63a443582/emulator-runs/initial/android-guest/progress-observations-batch-020-draft.json</x:v>
      </x:c>
      <x:c r="K157" t="str">
        <x:v>Deleting all disposable check-ins produced the first-entry and empty-history state.</x:v>
      </x:c>
      <x:c r="L157" t="str"/>
      <x:c r="M157" t="str">
        <x:v>No-prior-weight validation and pull-to-refresh remain.</x:v>
      </x:c>
    </x:row>
    <x:row r="158">
      <x:c r="A158" t="str">
        <x:v>RUN-0154</x:v>
      </x:c>
      <x:c r="B158" t="str">
        <x:v>HLT-003</x:v>
      </x:c>
      <x:c r="C158" t="str">
        <x:v>Initial</x:v>
      </x:c>
      <x:c r="D158" t="str">
        <x:v>Android</x:v>
      </x:c>
      <x:c r="E158" t="str">
        <x:v>Medium_Phone emulator, Android user 10 disposable account</x:v>
      </x:c>
      <x:c r="F158" t="str">
        <x:v>Android 17</x:v>
      </x:c>
      <x:c r="G158" t="str">
        <x:v>9e9dcf1+dirty; com.spacemancodes.buff 1.0.0 (12)</x:v>
      </x:c>
      <x:c r="H158" s="60" t="n">
        <x:v>46267.492789351854</x:v>
      </x:c>
      <x:c r="I158" t="str">
        <x:v>Passed</x:v>
      </x:c>
      <x:c r="J158" t="str">
        <x:v>/Users/mason/.codex/visualizations/2026/09/01/01a05def-1c0d-76d1-abc6-07c63a443582/emulator-runs/initial/android-guest/HLT-003-006-progress-summary.png
/Users/mason/.codex/visualizations/2026/09/01/01a05def-1c0d-76d1-abc6-07c63a443582/emulator-runs/initial/android-guest/progress-observations-batch-020-draft.json</x:v>
      </x:c>
      <x:c r="K158" t="str">
        <x:v>Three irregular readings produced an 81.3 kg EMA headline and -0.7 kg trend delta while the chart/history stayed raw.</x:v>
      </x:c>
      <x:c r="L158" t="str"/>
      <x:c r="M158" t="str">
        <x:v>The dataset spanned more than seven days.</x:v>
      </x:c>
    </x:row>
    <x:row r="159">
      <x:c r="A159" t="str">
        <x:v>RUN-0155</x:v>
      </x:c>
      <x:c r="B159" t="str">
        <x:v>HLT-004</x:v>
      </x:c>
      <x:c r="C159" t="str">
        <x:v>Initial</x:v>
      </x:c>
      <x:c r="D159" t="str">
        <x:v>Android</x:v>
      </x:c>
      <x:c r="E159" t="str">
        <x:v>Medium_Phone emulator, Android user 10 disposable account</x:v>
      </x:c>
      <x:c r="F159" t="str">
        <x:v>Android 17</x:v>
      </x:c>
      <x:c r="G159" t="str">
        <x:v>9e9dcf1+dirty; com.spacemancodes.buff 1.0.0 (12)</x:v>
      </x:c>
      <x:c r="H159" s="60" t="n">
        <x:v>46267.492789351854</x:v>
      </x:c>
      <x:c r="I159" t="str">
        <x:v>Blocked</x:v>
      </x:c>
      <x:c r="J159" t="str">
        <x:v>/Users/mason/.codex/visualizations/2026/09/01/01a05def-1c0d-76d1-abc6-07c63a443582/emulator-runs/initial/android-guest/HLT-003-006-progress-summary.png
/Users/mason/.codex/visualizations/2026/09/01/01a05def-1c0d-76d1-abc6-07c63a443582/emulator-runs/initial/android-guest/progress-observations-batch-020-draft.json</x:v>
      </x:c>
      <x:c r="K159" t="str">
        <x:v>Body fat 23.5%/-0.5%, BMI 24.7 at 180 cm, TDEE 2,759, and BMR 1,780 matched the complete-profile data.</x:v>
      </x:c>
      <x:c r="L159" t="str"/>
      <x:c r="M159" t="str">
        <x:v>Incomplete-profile and latest-outside-range variants remain.</x:v>
      </x:c>
    </x:row>
    <x:row r="160">
      <x:c r="A160" t="str">
        <x:v>RUN-0156</x:v>
      </x:c>
      <x:c r="B160" t="str">
        <x:v>HLT-005</x:v>
      </x:c>
      <x:c r="C160" t="str">
        <x:v>Initial</x:v>
      </x:c>
      <x:c r="D160" t="str">
        <x:v>Android</x:v>
      </x:c>
      <x:c r="E160" t="str">
        <x:v>Medium_Phone emulator, Android user 10 disposable account</x:v>
      </x:c>
      <x:c r="F160" t="str">
        <x:v>Android 17</x:v>
      </x:c>
      <x:c r="G160" t="str">
        <x:v>9e9dcf1+dirty; com.spacemancodes.buff 1.0.0 (12)</x:v>
      </x:c>
      <x:c r="H160" s="60" t="n">
        <x:v>46267.492789351854</x:v>
      </x:c>
      <x:c r="I160" t="str">
        <x:v>Blocked</x:v>
      </x:c>
      <x:c r="J160" t="str">
        <x:v>/Users/mason/.codex/visualizations/2026/09/01/01a05def-1c0d-76d1-abc6-07c63a443582/emulator-runs/initial/android-guest/HLT-003-006-progress-summary.png
/Users/mason/.codex/visualizations/2026/09/01/01a05def-1c0d-76d1-abc6-07c63a443582/emulator-runs/initial/android-guest/progress-observations-batch-020-draft.json</x:v>
      </x:c>
      <x:c r="K160" t="str">
        <x:v>Weight/body-fat chart switches, target series, raw points, and summary copy rendered for the populated target dataset.</x:v>
      </x:c>
      <x:c r="L160" t="str"/>
      <x:c r="M160" t="str">
        <x:v>No-target, no-body-fat, and opposite-target variants remain.</x:v>
      </x:c>
    </x:row>
    <x:row r="161">
      <x:c r="A161" t="str">
        <x:v>RUN-0157</x:v>
      </x:c>
      <x:c r="B161" t="str">
        <x:v>HLT-006</x:v>
      </x:c>
      <x:c r="C161" t="str">
        <x:v>Initial</x:v>
      </x:c>
      <x:c r="D161" t="str">
        <x:v>Android</x:v>
      </x:c>
      <x:c r="E161" t="str">
        <x:v>Medium_Phone emulator, Android user 10 disposable account</x:v>
      </x:c>
      <x:c r="F161" t="str">
        <x:v>Android 17</x:v>
      </x:c>
      <x:c r="G161" t="str">
        <x:v>9e9dcf1+dirty; com.spacemancodes.buff 1.0.0 (12)</x:v>
      </x:c>
      <x:c r="H161" s="60" t="n">
        <x:v>46267.492789351854</x:v>
      </x:c>
      <x:c r="I161" t="str">
        <x:v>Passed</x:v>
      </x:c>
      <x:c r="J161" t="str">
        <x:v>/Users/mason/.codex/visualizations/2026/09/01/01a05def-1c0d-76d1-abc6-07c63a443582/emulator-runs/initial/android-guest/HLT-003-006-progress-summary.png
/Users/mason/.codex/visualizations/2026/09/01/01a05def-1c0d-76d1-abc6-07c63a443582/emulator-runs/initial/android-guest/progress-observations-batch-020-draft.json</x:v>
      </x:c>
      <x:c r="K161" t="str">
        <x:v>All five measurement fields saved across staggered dates, latest non-null values and deltas rendered, and the 501 cm boundary was rejected.</x:v>
      </x:c>
      <x:c r="L161" t="str"/>
      <x:c r="M161" t="str">
        <x:v>Canonical centimetre preferences were retained.</x:v>
      </x:c>
    </x:row>
    <x:row r="162">
      <x:c r="A162" t="str">
        <x:v>RUN-0158</x:v>
      </x:c>
      <x:c r="B162" t="str">
        <x:v>HLT-008</x:v>
      </x:c>
      <x:c r="C162" t="str">
        <x:v>Initial</x:v>
      </x:c>
      <x:c r="D162" t="str">
        <x:v>Android</x:v>
      </x:c>
      <x:c r="E162" t="str">
        <x:v>Medium_Phone emulator, Android user 10 disposable account</x:v>
      </x:c>
      <x:c r="F162" t="str">
        <x:v>Android 17</x:v>
      </x:c>
      <x:c r="G162" t="str">
        <x:v>9e9dcf1+dirty; com.spacemancodes.buff 1.0.0 (12)</x:v>
      </x:c>
      <x:c r="H162" s="60" t="n">
        <x:v>46267.492789351854</x:v>
      </x:c>
      <x:c r="I162" t="str">
        <x:v>Passed</x:v>
      </x:c>
      <x:c r="J162" t="str">
        <x:v>/Users/mason/.codex/visualizations/2026/09/01/01a05def-1c0d-76d1-abc6-07c63a443582/emulator-runs/initial/android-guest/progress-observations-batch-020-draft.json</x:v>
      </x:c>
      <x:c r="K162" t="str">
        <x:v>Complete dated check-ins saved once per date, appeared in history, and updated summaries and charts.</x:v>
      </x:c>
      <x:c r="L162" t="str"/>
      <x:c r="M162" t="str">
        <x:v>The disposable rows will be cleaned after Progress testing.</x:v>
      </x:c>
    </x:row>
    <x:row r="163">
      <x:c r="A163" t="str">
        <x:v>RUN-0159</x:v>
      </x:c>
      <x:c r="B163" t="str">
        <x:v>HLT-009</x:v>
      </x:c>
      <x:c r="C163" t="str">
        <x:v>Initial</x:v>
      </x:c>
      <x:c r="D163" t="str">
        <x:v>Android</x:v>
      </x:c>
      <x:c r="E163" t="str">
        <x:v>Medium_Phone emulator, Android user 10 disposable account</x:v>
      </x:c>
      <x:c r="F163" t="str">
        <x:v>Android 17</x:v>
      </x:c>
      <x:c r="G163" t="str">
        <x:v>9e9dcf1+dirty; com.spacemancodes.buff 1.0.0 (12)</x:v>
      </x:c>
      <x:c r="H163" s="60" t="n">
        <x:v>46267.492789351854</x:v>
      </x:c>
      <x:c r="I163" t="str">
        <x:v>Failed</x:v>
      </x:c>
      <x:c r="J163" t="str">
        <x:v>/Users/mason/.codex/visualizations/2026/09/01/01a05def-1c0d-76d1-abc6-07c63a443582/emulator-runs/initial/android-guest/progress-observations-batch-020-draft.json</x:v>
      </x:c>
      <x:c r="K163" t="str">
        <x:v>Selecting a historical date kept today's optional values and saving a weight edit overwrote the older body fat, measurements, and notes.</x:v>
      </x:c>
      <x:c r="L163" t="str">
        <x:v>DEF-060</x:v>
      </x:c>
      <x:c r="M163" t="str">
        <x:v>The row was restored after the run.</x:v>
      </x:c>
    </x:row>
    <x:row r="164">
      <x:c r="A164" t="str">
        <x:v>RUN-0160</x:v>
      </x:c>
      <x:c r="B164" t="str">
        <x:v>HLT-010</x:v>
      </x:c>
      <x:c r="C164" t="str">
        <x:v>Initial</x:v>
      </x:c>
      <x:c r="D164" t="str">
        <x:v>Android</x:v>
      </x:c>
      <x:c r="E164" t="str">
        <x:v>Medium_Phone emulator, Android user 10 disposable account</x:v>
      </x:c>
      <x:c r="F164" t="str">
        <x:v>Android 17</x:v>
      </x:c>
      <x:c r="G164" t="str">
        <x:v>9e9dcf1+dirty; com.spacemancodes.buff 1.0.0 (12)</x:v>
      </x:c>
      <x:c r="H164" s="60" t="n">
        <x:v>46267.492789351854</x:v>
      </x:c>
      <x:c r="I164" t="str">
        <x:v>Passed</x:v>
      </x:c>
      <x:c r="J164" t="str">
        <x:v>/Users/mason/.codex/visualizations/2026/09/01/01a05def-1c0d-76d1-abc6-07c63a443582/emulator-runs/initial/android-guest/progress-observations-batch-020-draft.json</x:v>
      </x:c>
      <x:c r="K164" t="str">
        <x:v>Blank weight plus waist 94 cm saved using the latest 80 kg weight.</x:v>
      </x:c>
      <x:c r="L164" t="str"/>
      <x:c r="M164" t="str">
        <x:v>The result appeared in history with the carried weight.</x:v>
      </x:c>
    </x:row>
    <x:row r="165">
      <x:c r="A165" t="str">
        <x:v>RUN-0161</x:v>
      </x:c>
      <x:c r="B165" t="str">
        <x:v>HLT-011</x:v>
      </x:c>
      <x:c r="C165" t="str">
        <x:v>Initial</x:v>
      </x:c>
      <x:c r="D165" t="str">
        <x:v>Android</x:v>
      </x:c>
      <x:c r="E165" t="str">
        <x:v>Medium_Phone emulator, Android user 10 disposable account</x:v>
      </x:c>
      <x:c r="F165" t="str">
        <x:v>Android 17</x:v>
      </x:c>
      <x:c r="G165" t="str">
        <x:v>9e9dcf1+dirty; com.spacemancodes.buff 1.0.0 (12)</x:v>
      </x:c>
      <x:c r="H165" s="60" t="n">
        <x:v>46267.492789351854</x:v>
      </x:c>
      <x:c r="I165" t="str">
        <x:v>Failed</x:v>
      </x:c>
      <x:c r="J165" t="str">
        <x:v>/Users/mason/.codex/visualizations/2026/09/01/01a05def-1c0d-76d1-abc6-07c63a443582/emulator-runs/initial/android-guest/HLT-011-native-validation.png
/Users/mason/.codex/visualizations/2026/09/01/01a05def-1c0d-76d1-abc6-07c63a443582/emulator-runs/initial/android-guest/progress-observations-batch-020-draft.json</x:v>
      </x:c>
      <x:c r="K165" t="str">
        <x:v>Numeric bounds worked, but notes errors were invisible/stale/unassociated and a future row became latest while disappearing from history/chart with no UI delete path.</x:v>
      </x:c>
      <x:c r="L165" t="str">
        <x:v>DEF-061, DEF-062</x:v>
      </x:c>
      <x:c r="M165" t="str">
        <x:v>The future row was removed after observation; local/cloud low-weight contract remains to test.</x:v>
      </x:c>
    </x:row>
    <x:row r="166">
      <x:c r="A166" t="str">
        <x:v>RUN-0162</x:v>
      </x:c>
      <x:c r="B166" t="str">
        <x:v>HLT-012</x:v>
      </x:c>
      <x:c r="C166" t="str">
        <x:v>Initial</x:v>
      </x:c>
      <x:c r="D166" t="str">
        <x:v>Android</x:v>
      </x:c>
      <x:c r="E166" t="str">
        <x:v>Medium_Phone emulator, Android user 10 disposable account</x:v>
      </x:c>
      <x:c r="F166" t="str">
        <x:v>Android 17</x:v>
      </x:c>
      <x:c r="G166" t="str">
        <x:v>9e9dcf1+dirty; com.spacemancodes.buff 1.0.0 (12)</x:v>
      </x:c>
      <x:c r="H166" s="60" t="n">
        <x:v>46267.492789351854</x:v>
      </x:c>
      <x:c r="I166" t="str">
        <x:v>Blocked</x:v>
      </x:c>
      <x:c r="J166" t="str">
        <x:v>/Users/mason/.codex/visualizations/2026/09/01/01a05def-1c0d-76d1-abc6-07c63a443582/emulator-runs/initial/android-guest/progress-observations-batch-020-draft.json</x:v>
      </x:c>
      <x:c r="K166" t="str">
        <x:v>Cancel preserved and Confirm removed a disposable check-in.</x:v>
      </x:c>
      <x:c r="L166" t="str"/>
      <x:c r="M166" t="str">
        <x:v>Cloud-photo purge, staged-photo discard, and offline-delete recovery remain.</x:v>
      </x:c>
    </x:row>
    <x:row r="167">
      <x:c r="A167" t="str">
        <x:v>RUN-0163</x:v>
      </x:c>
      <x:c r="B167" t="str">
        <x:v>HLT-014</x:v>
      </x:c>
      <x:c r="C167" t="str">
        <x:v>Initial</x:v>
      </x:c>
      <x:c r="D167" t="str">
        <x:v>Android</x:v>
      </x:c>
      <x:c r="E167" t="str">
        <x:v>Medium_Phone emulator, Android user 10 disposable account</x:v>
      </x:c>
      <x:c r="F167" t="str">
        <x:v>Android 17</x:v>
      </x:c>
      <x:c r="G167" t="str">
        <x:v>9e9dcf1+dirty; com.spacemancodes.buff 1.0.0 (12)</x:v>
      </x:c>
      <x:c r="H167" s="60" t="n">
        <x:v>46267.492789351854</x:v>
      </x:c>
      <x:c r="I167" t="str">
        <x:v>Blocked</x:v>
      </x:c>
      <x:c r="J167" t="str">
        <x:v>/Users/mason/.codex/visualizations/2026/09/01/01a05def-1c0d-76d1-abc6-07c63a443582/emulator-runs/initial/android-guest/progress-observations-batch-020-draft.json</x:v>
      </x:c>
      <x:c r="K167" t="str">
        <x:v>A body-metric mutation committed with both network transports disabled and later reached zero pending sync changes after reconnect/process recovery.</x:v>
      </x:c>
      <x:c r="L167" t="str"/>
      <x:c r="M167" t="str">
        <x:v>Other model types, deletions, invalid-batch quarantine, ordering, and size limits remain.</x:v>
      </x:c>
    </x:row>
    <x:row r="168">
      <x:c r="A168" t="str">
        <x:v>RUN-0164</x:v>
      </x:c>
      <x:c r="B168" t="str">
        <x:v>HLT-015</x:v>
      </x:c>
      <x:c r="C168" t="str">
        <x:v>Initial</x:v>
      </x:c>
      <x:c r="D168" t="str">
        <x:v>Android</x:v>
      </x:c>
      <x:c r="E168" t="str">
        <x:v>Medium_Phone emulator, Android user 10 disposable account</x:v>
      </x:c>
      <x:c r="F168" t="str">
        <x:v>Android 17</x:v>
      </x:c>
      <x:c r="G168" t="str">
        <x:v>9e9dcf1+dirty; com.spacemancodes.buff 1.0.0 (12)</x:v>
      </x:c>
      <x:c r="H168" s="60" t="n">
        <x:v>46267.492789351854</x:v>
      </x:c>
      <x:c r="I168" t="str">
        <x:v>Failed</x:v>
      </x:c>
      <x:c r="J168" t="str">
        <x:v>/Users/mason/.codex/visualizations/2026/09/01/01a05def-1c0d-76d1-abc6-07c63a443582/emulator-runs/initial/android-guest/HLT-015-camera-front.png
/Users/mason/.codex/visualizations/2026/09/01/01a05def-1c0d-76d1-abc6-07c63a443582/emulator-runs/initial/android-guest/progress-observations-batch-020-draft.json</x:v>
      </x:c>
      <x:c r="K168" t="str">
        <x:v>Camera, mirroring, flip, capture, pose advance, Back cleanup, retake, and remove worked, but the native banner covered the full-screen guidance area.</x:v>
      </x:c>
      <x:c r="L168" t="str">
        <x:v>DEF-064</x:v>
      </x:c>
      <x:c r="M168" t="str">
        <x:v>Captured media remained disposable QA data.</x:v>
      </x:c>
    </x:row>
    <x:row r="169">
      <x:c r="A169" t="str">
        <x:v>RUN-0165</x:v>
      </x:c>
      <x:c r="B169" t="str">
        <x:v>HLT-016</x:v>
      </x:c>
      <x:c r="C169" t="str">
        <x:v>Initial</x:v>
      </x:c>
      <x:c r="D169" t="str">
        <x:v>Android</x:v>
      </x:c>
      <x:c r="E169" t="str">
        <x:v>Medium_Phone emulator, Android user 10 disposable account</x:v>
      </x:c>
      <x:c r="F169" t="str">
        <x:v>Android 17</x:v>
      </x:c>
      <x:c r="G169" t="str">
        <x:v>9e9dcf1+dirty; com.spacemancodes.buff 1.0.0 (12)</x:v>
      </x:c>
      <x:c r="H169" s="60" t="n">
        <x:v>46267.492789351854</x:v>
      </x:c>
      <x:c r="I169" t="str">
        <x:v>Failed</x:v>
      </x:c>
      <x:c r="J169" t="str">
        <x:v>/Users/mason/.codex/visualizations/2026/09/01/01a05def-1c0d-76d1-abc6-07c63a443582/emulator-runs/initial/android-guest/HLT-016-camera-permission-prompt.png
/Users/mason/.codex/visualizations/2026/09/01/01a05def-1c0d-76d1-abc6-07c63a443582/emulator-runs/initial/android-guest/progress-observations-batch-020-draft.json</x:v>
      </x:c>
      <x:c r="K169" t="str">
        <x:v>Initial denial showed fallback copy, but twice-denied access became a promptless dead end with no direct Settings recovery action.</x:v>
      </x:c>
      <x:c r="L169" t="str">
        <x:v>DEF-063</x:v>
      </x:c>
      <x:c r="M169" t="str">
        <x:v>External permission grant restored the camera.</x:v>
      </x:c>
    </x:row>
    <x:row r="170">
      <x:c r="A170" t="str">
        <x:v>RUN-0166</x:v>
      </x:c>
      <x:c r="B170" t="str">
        <x:v>HLT-017</x:v>
      </x:c>
      <x:c r="C170" t="str">
        <x:v>Initial</x:v>
      </x:c>
      <x:c r="D170" t="str">
        <x:v>Android</x:v>
      </x:c>
      <x:c r="E170" t="str">
        <x:v>Medium_Phone emulator, Android user 10 disposable account</x:v>
      </x:c>
      <x:c r="F170" t="str">
        <x:v>Android 17</x:v>
      </x:c>
      <x:c r="G170" t="str">
        <x:v>9e9dcf1+dirty; com.spacemancodes.buff 1.0.0 (12)</x:v>
      </x:c>
      <x:c r="H170" s="60" t="n">
        <x:v>46267.492789351854</x:v>
      </x:c>
      <x:c r="I170" t="str">
        <x:v>Blocked</x:v>
      </x:c>
      <x:c r="J170" t="str">
        <x:v>/Users/mason/.codex/visualizations/2026/09/01/01a05def-1c0d-76d1-abc6-07c63a443582/emulator-runs/initial/android-guest/HLT-015-camera-front.png
/Users/mason/.codex/visualizations/2026/09/01/01a05def-1c0d-76d1-abc6-07c63a443582/emulator-runs/initial/android-guest/progress-observations-batch-020-draft.json</x:v>
      </x:c>
      <x:c r="K170" t="str">
        <x:v>Same-date fallback, 0-70% opacity, and newest other-date matching-pose overlay worked.</x:v>
      </x:c>
      <x:c r="L170" t="str"/>
      <x:c r="M170" t="str">
        <x:v>Legacy-unlabelled, missing-pose, and explicit no-cross-pose variants remain.</x:v>
      </x:c>
    </x:row>
    <x:row r="171">
      <x:c r="A171" t="str">
        <x:v>RUN-0167</x:v>
      </x:c>
      <x:c r="B171" t="str">
        <x:v>HLT-018</x:v>
      </x:c>
      <x:c r="C171" t="str">
        <x:v>Initial</x:v>
      </x:c>
      <x:c r="D171" t="str">
        <x:v>Android</x:v>
      </x:c>
      <x:c r="E171" t="str">
        <x:v>Medium_Phone emulator, Android user 10 disposable account</x:v>
      </x:c>
      <x:c r="F171" t="str">
        <x:v>Android 17</x:v>
      </x:c>
      <x:c r="G171" t="str">
        <x:v>9e9dcf1+dirty; com.spacemancodes.buff 1.0.0 (12)</x:v>
      </x:c>
      <x:c r="H171" s="60" t="n">
        <x:v>46267.492789351854</x:v>
      </x:c>
      <x:c r="I171" t="str">
        <x:v>Failed</x:v>
      </x:c>
      <x:c r="J171" t="str">
        <x:v>/Users/mason/.codex/visualizations/2026/09/01/01a05def-1c0d-76d1-abc6-07c63a443582/emulator-runs/initial/android-guest/progress-observations-batch-020-draft.json</x:v>
      </x:c>
      <x:c r="K171" t="str">
        <x:v>A 1080x2400 PNG became a 720x1600 JPEG around 65 KB, while a corrupt file failed with no visible message or selection.</x:v>
      </x:c>
      <x:c r="L171" t="str">
        <x:v>DEF-065</x:v>
      </x:c>
      <x:c r="M171" t="str">
        <x:v>The screenshot named HLT-018-photo-picker.png is not evidence and is intentionally omitted.</x:v>
      </x:c>
    </x:row>
    <x:row r="172">
      <x:c r="A172" t="str">
        <x:v>RUN-0168</x:v>
      </x:c>
      <x:c r="B172" t="str">
        <x:v>HLT-019</x:v>
      </x:c>
      <x:c r="C172" t="str">
        <x:v>Initial</x:v>
      </x:c>
      <x:c r="D172" t="str">
        <x:v>Android</x:v>
      </x:c>
      <x:c r="E172" t="str">
        <x:v>Medium_Phone emulator, Android user 10 disposable account</x:v>
      </x:c>
      <x:c r="F172" t="str">
        <x:v>Android 17</x:v>
      </x:c>
      <x:c r="G172" t="str">
        <x:v>9e9dcf1+dirty; com.spacemancodes.buff 1.0.0 (12)</x:v>
      </x:c>
      <x:c r="H172" s="60" t="n">
        <x:v>46267.492789351854</x:v>
      </x:c>
      <x:c r="I172" t="str">
        <x:v>Passed</x:v>
      </x:c>
      <x:c r="J172" t="str">
        <x:v>/Users/mason/.codex/visualizations/2026/09/01/01a05def-1c0d-76d1-abc6-07c63a443582/emulator-runs/initial/android-guest/progress-observations-batch-020-draft.json</x:v>
      </x:c>
      <x:c r="K172" t="str">
        <x:v>Metric saved first, then photo uploaded/reloaded before selection cleared. A controlled photo failure retained selection, showed the partial-failure error, and succeeded on retry.</x:v>
      </x:c>
      <x:c r="L172" t="str"/>
      <x:c r="M172" t="str">
        <x:v>The committed metric and success flash correctly remained during photo failure.</x:v>
      </x:c>
    </x:row>
    <x:row r="173">
      <x:c r="A173" t="str">
        <x:v>RUN-0169</x:v>
      </x:c>
      <x:c r="B173" t="str">
        <x:v>HLT-020</x:v>
      </x:c>
      <x:c r="C173" t="str">
        <x:v>Initial</x:v>
      </x:c>
      <x:c r="D173" t="str">
        <x:v>Android</x:v>
      </x:c>
      <x:c r="E173" t="str">
        <x:v>Medium_Phone emulator, Android user 10 disposable account</x:v>
      </x:c>
      <x:c r="F173" t="str">
        <x:v>Android 17</x:v>
      </x:c>
      <x:c r="G173" t="str">
        <x:v>9e9dcf1+dirty; com.spacemancodes.buff 1.0.0 (12)</x:v>
      </x:c>
      <x:c r="H173" s="60" t="n">
        <x:v>46267.492789351854</x:v>
      </x:c>
      <x:c r="I173" t="str">
        <x:v>Failed</x:v>
      </x:c>
      <x:c r="J173" t="str">
        <x:v>/Users/mason/.codex/visualizations/2026/09/01/01a05def-1c0d-76d1-abc6-07c63a443582/emulator-runs/initial/android-guest/progress-observations-batch-020-draft.json</x:v>
      </x:c>
      <x:c r="K173" t="str">
        <x:v>Historical upload/retake and pose ordering worked, but after all three poses existed every retake control disappeared.</x:v>
      </x:c>
      <x:c r="L173" t="str">
        <x:v>DEF-066</x:v>
      </x:c>
      <x:c r="M173" t="str">
        <x:v>A user must delete a pose before replacing it.</x:v>
      </x:c>
    </x:row>
    <x:row r="174">
      <x:c r="A174" t="str">
        <x:v>RUN-0170</x:v>
      </x:c>
      <x:c r="B174" t="str">
        <x:v>HLT-021</x:v>
      </x:c>
      <x:c r="C174" t="str">
        <x:v>Initial</x:v>
      </x:c>
      <x:c r="D174" t="str">
        <x:v>Android</x:v>
      </x:c>
      <x:c r="E174" t="str">
        <x:v>Medium_Phone emulator, Android user 10 disposable account</x:v>
      </x:c>
      <x:c r="F174" t="str">
        <x:v>Android 17</x:v>
      </x:c>
      <x:c r="G174" t="str">
        <x:v>9e9dcf1+dirty; com.spacemancodes.buff 1.0.0 (12)</x:v>
      </x:c>
      <x:c r="H174" s="60" t="n">
        <x:v>46267.492789351854</x:v>
      </x:c>
      <x:c r="I174" t="str">
        <x:v>Blocked</x:v>
      </x:c>
      <x:c r="J174" t="str">
        <x:v>/Users/mason/.codex/visualizations/2026/09/01/01a05def-1c0d-76d1-abc6-07c63a443582/emulator-runs/initial/android-guest/progress-observations-batch-020-draft.json</x:v>
      </x:c>
      <x:c r="K174" t="str">
        <x:v>The free disposable account displayed cloud photos by Front, Side, and Back through temporary private URLs.</x:v>
      </x:c>
      <x:c r="L174" t="str"/>
      <x:c r="M174" t="str">
        <x:v>Cross-account denial and URL-expiry refresh remain. No private URLs are in evidence.</x:v>
      </x:c>
    </x:row>
    <x:row r="175">
      <x:c r="A175" t="str">
        <x:v>RUN-0171</x:v>
      </x:c>
      <x:c r="B175" t="str">
        <x:v>HLT-022</x:v>
      </x:c>
      <x:c r="C175" t="str">
        <x:v>Initial</x:v>
      </x:c>
      <x:c r="D175" t="str">
        <x:v>Android</x:v>
      </x:c>
      <x:c r="E175" t="str">
        <x:v>Medium_Phone emulator, Android user 10 disposable account</x:v>
      </x:c>
      <x:c r="F175" t="str">
        <x:v>Android 17</x:v>
      </x:c>
      <x:c r="G175" t="str">
        <x:v>9e9dcf1+dirty; com.spacemancodes.buff 1.0.0 (12)</x:v>
      </x:c>
      <x:c r="H175" s="60" t="n">
        <x:v>46267.492789351854</x:v>
      </x:c>
      <x:c r="I175" t="str">
        <x:v>Failed</x:v>
      </x:c>
      <x:c r="J175" t="str">
        <x:v>/Users/mason/.codex/visualizations/2026/09/01/01a05def-1c0d-76d1-abc6-07c63a443582/emulator-runs/initial/android-guest/progress-observations-batch-020-draft.json</x:v>
      </x:c>
      <x:c r="K175" t="str">
        <x:v>Cancel, failure retention, successful single-pose deletion, and other-pose retention worked; Android Back navigated history instead of dismissing confirmation.</x:v>
      </x:c>
      <x:c r="L175" t="str">
        <x:v>DEF-018</x:v>
      </x:c>
      <x:c r="M175" t="str">
        <x:v>HLT-022 is added to the existing shared AppSheet/ConfirmSheet defect.</x:v>
      </x:c>
    </x:row>
    <x:row r="176">
      <x:c r="A176" t="str">
        <x:v>RUN-0172</x:v>
      </x:c>
      <x:c r="B176" t="str">
        <x:v>HLT-023</x:v>
      </x:c>
      <x:c r="C176" t="str">
        <x:v>Initial</x:v>
      </x:c>
      <x:c r="D176" t="str">
        <x:v>Android</x:v>
      </x:c>
      <x:c r="E176" t="str">
        <x:v>Medium_Phone emulator, Android user 10 disposable account</x:v>
      </x:c>
      <x:c r="F176" t="str">
        <x:v>Android 17</x:v>
      </x:c>
      <x:c r="G176" t="str">
        <x:v>9e9dcf1+dirty; com.spacemancodes.buff 1.0.0 (12)</x:v>
      </x:c>
      <x:c r="H176" s="60" t="n">
        <x:v>46267.492789351854</x:v>
      </x:c>
      <x:c r="I176" t="str">
        <x:v>Failed</x:v>
      </x:c>
      <x:c r="J176" t="str">
        <x:v>/Users/mason/.codex/visualizations/2026/09/01/01a05def-1c0d-76d1-abc6-07c63a443582/emulator-runs/initial/android/HLT-023-pending-photo-native-crash.json</x:v>
      </x:c>
      <x:c r="K176" t="str">
        <x:v>The metric/photo staged offline, but loading its local pending JPEG hit JNI NewStringUTF with binary byte 0xff and terminated the app with SIGABRT.</x:v>
      </x:c>
      <x:c r="L176" t="str">
        <x:v>DEF-067</x:v>
      </x:c>
      <x:c r="M176" t="str">
        <x:v>The crash occurred before local preview/relaunch requirements could complete.</x:v>
      </x:c>
    </x:row>
    <x:row r="177">
      <x:c r="A177" t="str">
        <x:v>RUN-0173</x:v>
      </x:c>
      <x:c r="B177" t="str">
        <x:v>HLT-024</x:v>
      </x:c>
      <x:c r="C177" t="str">
        <x:v>Initial</x:v>
      </x:c>
      <x:c r="D177" t="str">
        <x:v>Android</x:v>
      </x:c>
      <x:c r="E177" t="str">
        <x:v>Medium_Phone emulator, Android user 10 disposable account</x:v>
      </x:c>
      <x:c r="F177" t="str">
        <x:v>Android 17</x:v>
      </x:c>
      <x:c r="G177" t="str">
        <x:v>9e9dcf1+dirty; com.spacemancodes.buff 1.0.0 (12)</x:v>
      </x:c>
      <x:c r="H177" s="60" t="n">
        <x:v>46267.50709490741</x:v>
      </x:c>
      <x:c r="I177" t="str">
        <x:v>Blocked</x:v>
      </x:c>
      <x:c r="J177" t="str">
        <x:v>/Users/mason/.codex/visualizations/2026/09/01/01a05def-1c0d-76d1-abc6-07c63a443582/emulator-runs/initial/android/HLT-023-pending-photo-native-crash.json
/Users/mason/.codex/visualizations/2026/09/01/01a05def-1c0d-76d1-abc6-07c63a443582/emulator-runs/initial/android-guest/progress-observations-batch-020-draft.json</x:v>
      </x:c>
      <x:c r="K177" t="str">
        <x:v>After validated reconnect and process recovery, the staged row cleared, the date exposed one ordinary non-pending cloud front JPEG, and account sync reported pending=0.</x:v>
      </x:c>
      <x:c r="L177" t="str"/>
      <x:c r="M177" t="str">
        <x:v>Successful flush passed; forced failure/attempt tracking, missing-file discard, and metric/account deletion cleanup remain.</x:v>
      </x:c>
    </x:row>
    <x:row r="178">
      <x:c r="A178" t="str">
        <x:v>RUN-0174</x:v>
      </x:c>
      <x:c r="B178" t="str">
        <x:v>HLT-025</x:v>
      </x:c>
      <x:c r="C178" t="str">
        <x:v>Initial</x:v>
      </x:c>
      <x:c r="D178" t="str">
        <x:v>Android</x:v>
      </x:c>
      <x:c r="E178" t="str">
        <x:v>Medium_Phone emulator, Android user 10 disposable account</x:v>
      </x:c>
      <x:c r="F178" t="str">
        <x:v>Android 17</x:v>
      </x:c>
      <x:c r="G178" t="str">
        <x:v>9e9dcf1+dirty; com.spacemancodes.buff 1.0.0 (12)</x:v>
      </x:c>
      <x:c r="H178" s="60" t="n">
        <x:v>46267.50709490741</x:v>
      </x:c>
      <x:c r="I178" t="str">
        <x:v>Passed</x:v>
      </x:c>
      <x:c r="J178" t="str">
        <x:v>/Users/mason/.codex/visualizations/2026/09/01/01a05def-1c0d-76d1-abc6-07c63a443582/emulator-runs/initial/android-guest/progress-observations-batch-020-draft.json</x:v>
      </x:c>
      <x:c r="K178" t="str">
        <x:v>For an already-synced historical metric with no outbox/pending row, an intercepted photo POST failure showed the expected connection error and retained the selected front blob only in current UI memory; force-stop/relaunch cleared selection and the remote list stayed empty.</x:v>
      </x:c>
      <x:c r="L178" t="str"/>
      <x:c r="M178" t="str">
        <x:v>This confirms the intentional new-metric/existing-metric offline asymmetry.</x:v>
      </x:c>
    </x:row>
    <x:row r="179">
      <x:c r="A179" t="str">
        <x:v>RUN-0175</x:v>
      </x:c>
      <x:c r="B179" t="str">
        <x:v>HLT-027</x:v>
      </x:c>
      <x:c r="C179" t="str">
        <x:v>Initial</x:v>
      </x:c>
      <x:c r="D179" t="str">
        <x:v>Android</x:v>
      </x:c>
      <x:c r="E179" t="str">
        <x:v>Medium_Phone emulator, Android user 10 disposable account</x:v>
      </x:c>
      <x:c r="F179" t="str">
        <x:v>Android 17</x:v>
      </x:c>
      <x:c r="G179" t="str">
        <x:v>9e9dcf1+dirty; com.spacemancodes.buff 1.0.0 (12)</x:v>
      </x:c>
      <x:c r="H179" s="60" t="n">
        <x:v>46267.50709490741</x:v>
      </x:c>
      <x:c r="I179" t="str">
        <x:v>Failed</x:v>
      </x:c>
      <x:c r="J179" t="str">
        <x:v>/Users/mason/.codex/visualizations/2026/09/01/01a05def-1c0d-76d1-abc6-07c63a443582/emulator-runs/initial/android-guest/progress-observations-batch-020-draft.json</x:v>
      </x:c>
      <x:c r="K179" t="str">
        <x:v>Seven offline photo-list failures were cached empty; after validated reconnect the dated sheet issued no new request and falsely showed 'No photos for this measurement yet.'</x:v>
      </x:c>
      <x:c r="L179" t="str">
        <x:v>DEF-068</x:v>
      </x:c>
      <x:c r="M179" t="str">
        <x:v>A page reload is currently required to escape the false empty cache.</x:v>
      </x:c>
    </x:row>
    <x:row r="180">
      <x:c r="A180" t="str">
        <x:v>RUN-0176</x:v>
      </x:c>
      <x:c r="B180" t="str">
        <x:v>HLT-028</x:v>
      </x:c>
      <x:c r="C180" t="str">
        <x:v>Initial</x:v>
      </x:c>
      <x:c r="D180" t="str">
        <x:v>Android</x:v>
      </x:c>
      <x:c r="E180" t="str">
        <x:v>Medium_Phone emulator, Android user 10 disposable account</x:v>
      </x:c>
      <x:c r="F180" t="str">
        <x:v>Android 17</x:v>
      </x:c>
      <x:c r="G180" t="str">
        <x:v>9e9dcf1+dirty; com.spacemancodes.buff 1.0.0 (12)</x:v>
      </x:c>
      <x:c r="H180" s="60" t="n">
        <x:v>46267.510196759256</x:v>
      </x:c>
      <x:c r="I180" t="str">
        <x:v>Blocked</x:v>
      </x:c>
      <x:c r="J180" t="str">
        <x:v>/Users/mason/.codex/visualizations/2026/09/01/01a05def-1c0d-76d1-abc6-07c63a443582/emulator-runs/initial/android-guest/progress-observations-batch-020-draft.json</x:v>
      </x:c>
      <x:c r="K180" t="str">
        <x:v>The existing 2,200 kcal / 165 g protein / 220 g carbs / 73.33 g fat / 70 kg target loaded, Save stayed disabled until dirty, and valid save/reopen preserved the values.</x:v>
      </x:c>
      <x:c r="L180" t="str"/>
      <x:c r="M180" t="str">
        <x:v>The no-goal 2,000/170/195/60 default variant remains.</x:v>
      </x:c>
    </x:row>
    <x:row r="181">
      <x:c r="A181" t="str">
        <x:v>RUN-0177</x:v>
      </x:c>
      <x:c r="B181" t="str">
        <x:v>HLT-030</x:v>
      </x:c>
      <x:c r="C181" t="str">
        <x:v>Initial</x:v>
      </x:c>
      <x:c r="D181" t="str">
        <x:v>Android</x:v>
      </x:c>
      <x:c r="E181" t="str">
        <x:v>Medium_Phone emulator, Android user 10 disposable account</x:v>
      </x:c>
      <x:c r="F181" t="str">
        <x:v>Android 17</x:v>
      </x:c>
      <x:c r="G181" t="str">
        <x:v>9e9dcf1+dirty; com.spacemancodes.buff 1.0.0 (12)</x:v>
      </x:c>
      <x:c r="H181" s="60" t="n">
        <x:v>46267.510196759256</x:v>
      </x:c>
      <x:c r="I181" t="str">
        <x:v>Blocked</x:v>
      </x:c>
      <x:c r="J181" t="str">
        <x:v>/Users/mason/.codex/visualizations/2026/09/01/01a05def-1c0d-76d1-abc6-07c63a443582/emulator-runs/initial/android-guest/progress-observations-batch-020-draft.json</x:v>
      </x:c>
      <x:c r="K181" t="str">
        <x:v>Calories 0 and 20,001 disabled Save; a tampered mismatch returned 422 with the exact 1,700-kcal macro-total error and left the persisted 2,200/165/220/73.33 goal unchanged.</x:v>
      </x:c>
      <x:c r="L181" t="str"/>
      <x:c r="M181" t="str">
        <x:v>A remotely synced goal outside the editor range remains.</x:v>
      </x:c>
    </x:row>
    <x:row r="182">
      <x:c r="A182" t="str">
        <x:v>RUN-0178</x:v>
      </x:c>
      <x:c r="B182" t="str">
        <x:v>HLT-031</x:v>
      </x:c>
      <x:c r="C182" t="str">
        <x:v>Initial</x:v>
      </x:c>
      <x:c r="D182" t="str">
        <x:v>Android</x:v>
      </x:c>
      <x:c r="E182" t="str">
        <x:v>Medium_Phone emulator, Android user 10 disposable account</x:v>
      </x:c>
      <x:c r="F182" t="str">
        <x:v>Android 17</x:v>
      </x:c>
      <x:c r="G182" t="str">
        <x:v>9e9dcf1+dirty; com.spacemancodes.buff 1.0.0 (12)</x:v>
      </x:c>
      <x:c r="H182" s="60" t="n">
        <x:v>46267.510196759256</x:v>
      </x:c>
      <x:c r="I182" t="str">
        <x:v>Failed</x:v>
      </x:c>
      <x:c r="J182" t="str">
        <x:v>/Users/mason/.codex/visualizations/2026/09/01/01a05def-1c0d-76d1-abc6-07c63a443582/emulator-runs/initial/android-guest/progress-observations-batch-020-draft.json</x:v>
      </x:c>
      <x:c r="K182" t="str">
        <x:v>Valid 75 kg/20% targets rendered Goal lines and summaries. A locally accepted 10 kg/20% target showed success but cloud sync stayed pending with the server's 20-1000 kg validation error.</x:v>
      </x:c>
      <x:c r="L182" t="str">
        <x:v>DEF-069</x:v>
      </x:c>
      <x:c r="M182" t="str">
        <x:v>The canonical 70 kg/null targets were restored and sync returned to pending=0/error null.</x:v>
      </x:c>
    </x:row>
    <x:row r="183">
      <x:c r="A183" t="str">
        <x:v>RUN-0179</x:v>
      </x:c>
      <x:c r="B183" t="str">
        <x:v>HLT-041</x:v>
      </x:c>
      <x:c r="C183" t="str">
        <x:v>Initial</x:v>
      </x:c>
      <x:c r="D183" t="str">
        <x:v>Android</x:v>
      </x:c>
      <x:c r="E183" t="str">
        <x:v>Medium_Phone Android user 10 disposable account</x:v>
      </x:c>
      <x:c r="F183" t="str">
        <x:v>Android 17</x:v>
      </x:c>
      <x:c r="G183" t="str">
        <x:v>9e9dcf1+dirty; com.spacemancodes.buff 1.0.0 (12)</x:v>
      </x:c>
      <x:c r="H183" s="60" t="n">
        <x:v>46267.54482638889</x:v>
      </x:c>
      <x:c r="I183" t="str">
        <x:v>Blocked</x:v>
      </x:c>
      <x:c r="J183" t="str">
        <x:v>/Users/mason/.codex/visualizations/2026/09/01/01a05def-1c0d-76d1-abc6-07c63a443582/emulator-runs/initial/android/health-connect-real-fixture-observations.json
/Users/mason/.codex/visualizations/2026/09/01/01a05def-1c0d-76d1-abc6-07c63a443582/emulator-runs/initial/android/HLT-041-health-connect-workout-275.png
/Users/mason/.codex/visualizations/2026/09/01/01a05def-1c0d-76d1-abc6-07c63a443582/emulator-runs/initial/android/HLT-041-health-connect-workout-row-275.png</x:v>
      </x:c>
      <x:c r="K183" t="str">
        <x:v>The official Health Connect Toolbox workout imported as QA toolbox cycle with health_connect source metadata, rendered at 12:52 with 275 kcal, and produced exactly 275 kcal Total burned.</x:v>
      </x:c>
      <x:c r="L183" t="str"/>
      <x:c r="M183" t="str">
        <x:v>Only isolation from a second populated date remains.</x:v>
      </x:c>
    </x:row>
    <x:row r="184">
      <x:c r="A184" t="str">
        <x:v>RUN-0180</x:v>
      </x:c>
      <x:c r="B184" t="str">
        <x:v>HLT-044</x:v>
      </x:c>
      <x:c r="C184" t="str">
        <x:v>Initial</x:v>
      </x:c>
      <x:c r="D184" t="str">
        <x:v>Android</x:v>
      </x:c>
      <x:c r="E184" t="str">
        <x:v>Medium_Phone Android user 10 disposable account</x:v>
      </x:c>
      <x:c r="F184" t="str">
        <x:v>Android 17</x:v>
      </x:c>
      <x:c r="G184" t="str">
        <x:v>9e9dcf1+dirty; com.spacemancodes.buff 1.0.0 (12)</x:v>
      </x:c>
      <x:c r="H184" s="60" t="n">
        <x:v>46267.54482638889</x:v>
      </x:c>
      <x:c r="I184" t="str">
        <x:v>Passed</x:v>
      </x:c>
      <x:c r="J184" t="str">
        <x:v>/Users/mason/.codex/visualizations/2026/09/01/01a05def-1c0d-76d1-abc6-07c63a443582/emulator-runs/initial/android/health-connect-real-fixture-observations.json
/Users/mason/.codex/visualizations/2026/09/01/01a05def-1c0d-76d1-abc6-07c63a443582/emulator-runs/initial/android/HLT-044-imported-edit-sheet.png
/Users/mason/.codex/visualizations/2026/09/01/01a05def-1c0d-76d1-abc6-07c63a443582/emulator-runs/initial/android/HLT-044-imported-edit-saved.png
/Users/mason/.codex/visualizations/2026/09/01/01a05def-1c0d-76d1-abc6-07c63a443582/emulator-runs/initial/android/HLT-044-imported-delete-confirm.png
/Users/mason/.codex/visualizations/2026/09/01/01a05def-1c0d-76d1-abc6-07c63a443582/emulator-runs/initial/android/HLT-044-imported-delete-saved.png
/Users/mason/.codex/visualizations/2026/09/01/01a05def-1c0d-76d1-abc6-07c63a443582/emulator-runs/initial/android/HLT-044-imported-delete-saved-2.png</x:v>
      </x:c>
      <x:c r="K184" t="str">
        <x:v>Editing the genuine imported row changed it to QA toolbox cycle edited, 276 kcal at 12:53, converted source_type to manual, retained its Health Connect source package, and two subsequent health syncs left exactly one edited row with no original reimport. Delete Cancel retained the imported row; Confirm removed it, and two more syncs left zero matching rows.</x:v>
      </x:c>
      <x:c r="L184" t="str"/>
      <x:c r="M184" t="str">
        <x:v>Neither the edited nor deleted imported workout resurrected after two resyncs.</x:v>
      </x:c>
    </x:row>
    <x:row r="185">
      <x:c r="A185" t="str">
        <x:v>RUN-0181</x:v>
      </x:c>
      <x:c r="B185" t="str">
        <x:v>HLT-046</x:v>
      </x:c>
      <x:c r="C185" t="str">
        <x:v>Initial</x:v>
      </x:c>
      <x:c r="D185" t="str">
        <x:v>Android</x:v>
      </x:c>
      <x:c r="E185" t="str">
        <x:v>Medium_Phone Android user 10 disposable account</x:v>
      </x:c>
      <x:c r="F185" t="str">
        <x:v>Android 17</x:v>
      </x:c>
      <x:c r="G185" t="str">
        <x:v>9e9dcf1+dirty; com.spacemancodes.buff 1.0.0 (12)</x:v>
      </x:c>
      <x:c r="H185" s="60" t="n">
        <x:v>46267.54482638889</x:v>
      </x:c>
      <x:c r="I185" t="str">
        <x:v>Blocked</x:v>
      </x:c>
      <x:c r="J185" t="str">
        <x:v>/Users/mason/.codex/visualizations/2026/09/01/01a05def-1c0d-76d1-abc6-07c63a443582/emulator-runs/initial/android/HLT-046-workout-validation.png</x:v>
      </x:c>
      <x:c r="K185" t="str">
        <x:v>Fresh UI and server submissions rejected blank and 121-character titles, 0, 10001, and decimal calories, and malformed time. The UI retained submitted values and displayed the validation errors without creating or updating a workout.</x:v>
      </x:c>
      <x:c r="L185" t="str"/>
      <x:c r="M185" t="str">
        <x:v>Imported zero-calorie and imported upper-bound records remain.</x:v>
      </x:c>
    </x:row>
    <x:row r="186">
      <x:c r="A186" t="str">
        <x:v>RUN-0182</x:v>
      </x:c>
      <x:c r="B186" t="str">
        <x:v>HLT-050</x:v>
      </x:c>
      <x:c r="C186" t="str">
        <x:v>Initial</x:v>
      </x:c>
      <x:c r="D186" t="str">
        <x:v>Android</x:v>
      </x:c>
      <x:c r="E186" t="str">
        <x:v>Medium_Phone Android user 10 disposable account</x:v>
      </x:c>
      <x:c r="F186" t="str">
        <x:v>Android 17</x:v>
      </x:c>
      <x:c r="G186" t="str">
        <x:v>9e9dcf1+dirty; com.spacemancodes.buff 1.0.0 (12)</x:v>
      </x:c>
      <x:c r="H186" s="60" t="n">
        <x:v>46267.54482638889</x:v>
      </x:c>
      <x:c r="I186" t="str">
        <x:v>Failed</x:v>
      </x:c>
      <x:c r="J186" t="str">
        <x:v>/Users/mason/.codex/visualizations/2026/09/01/01a05def-1c0d-76d1-abc6-07c63a443582/emulator-runs/initial/android/HLT-050-settings-sync-queued-observations.json
/Users/mason/.codex/visualizations/2026/09/01/01a05def-1c0d-76d1-abc6-07c63a443582/emulator-runs/initial/android/HLT-050-settings-sync-queued-stale.png
/Users/mason/.codex/visualizations/2026/09/01/01a05def-1c0d-76d1-abc6-07c63a443582/emulator-runs/initial/android/HLT-050-settings-focus-refresh.png
/Users/mason/.codex/visualizations/2026/09/01/01a05def-1c0d-76d1-abc6-07c63a443582/emulator-runs/initial/android/HLT-050-today-sync-queued-polls-success.png</x:v>
      </x:c>
      <x:c r="K186" t="str">
        <x:v>Sync now changed Settings to Sync queued. Six seconds later the endpoint reported connected with last_status success and synced_records 1, but Settings still showed Sync queued on both the status and button; backgrounding and resuming refreshed them to Connected and Sync now.</x:v>
      </x:c>
      <x:c r="L186" t="str">
        <x:v>DEF-070</x:v>
      </x:c>
      <x:c r="M186" t="str">
        <x:v>Today polled its queued sync to success; the failure is the Settings completion path.</x:v>
      </x:c>
    </x:row>
    <x:row r="187">
      <x:c r="A187" t="str">
        <x:v>RUN-0183</x:v>
      </x:c>
      <x:c r="B187" t="str">
        <x:v>HLT-056</x:v>
      </x:c>
      <x:c r="C187" t="str">
        <x:v>Initial</x:v>
      </x:c>
      <x:c r="D187" t="str">
        <x:v>Android</x:v>
      </x:c>
      <x:c r="E187" t="str">
        <x:v>Medium_Phone Android user 10 disposable account</x:v>
      </x:c>
      <x:c r="F187" t="str">
        <x:v>Android 17</x:v>
      </x:c>
      <x:c r="G187" t="str">
        <x:v>9e9dcf1+dirty; com.spacemancodes.buff 1.0.0 (12)</x:v>
      </x:c>
      <x:c r="H187" s="60" t="n">
        <x:v>46267.54482638889</x:v>
      </x:c>
      <x:c r="I187" t="str">
        <x:v>Blocked</x:v>
      </x:c>
      <x:c r="J187" t="str">
        <x:v>/Users/mason/.codex/visualizations/2026/09/01/01a05def-1c0d-76d1-abc6-07c63a443582/emulator-runs/initial/android/health-connect-real-fixture-observations.json
/Users/mason/.codex/visualizations/2026/09/01/01a05def-1c0d-76d1-abc6-07c63a443582/emulator-runs/initial/android/HLT-056-toolbox-exercise-session.png
/Users/mason/.codex/visualizations/2026/09/01/01a05def-1c0d-76d1-abc6-07c63a443582/emulator-runs/initial/android/HLT-056-toolbox-total-calories.png
/Users/mason/.codex/visualizations/2026/09/01/01a05def-1c0d-76d1-abc6-07c63a443582/emulator-runs/initial/android/HLT-041-health-connect-workout-row-275.png</x:v>
      </x:c>
      <x:c r="K187" t="str">
        <x:v>Official Toolbox ExerciseSession QA toolbox cycle and TotalCaloriesBurned source records mapped to one health_connect workout at 12:52 for 275 kcal. Positive record import and partial/full-overlap handling produced no duplicate standalone calorie row.</x:v>
      </x:c>
      <x:c r="L187" t="str"/>
      <x:c r="M187" t="str">
        <x:v>Calorie-source priority, standalone records, zero-calorie skips, and pagination remain.</x:v>
      </x:c>
    </x:row>
    <x:row r="188">
      <x:c r="A188" t="str">
        <x:v>RUN-0184</x:v>
      </x:c>
      <x:c r="B188" t="str">
        <x:v>HLT-057</x:v>
      </x:c>
      <x:c r="C188" t="str">
        <x:v>Initial</x:v>
      </x:c>
      <x:c r="D188" t="str">
        <x:v>Android</x:v>
      </x:c>
      <x:c r="E188" t="str">
        <x:v>Medium_Phone Android user 10 disposable account</x:v>
      </x:c>
      <x:c r="F188" t="str">
        <x:v>Android 17</x:v>
      </x:c>
      <x:c r="G188" t="str">
        <x:v>9e9dcf1+dirty; com.spacemancodes.buff 1.0.0 (12)</x:v>
      </x:c>
      <x:c r="H188" s="60" t="n">
        <x:v>46267.54482638889</x:v>
      </x:c>
      <x:c r="I188" t="str">
        <x:v>Blocked</x:v>
      </x:c>
      <x:c r="J188" t="str">
        <x:v>/Users/mason/.codex/visualizations/2026/09/01/01a05def-1c0d-76d1-abc6-07c63a443582/emulator-runs/initial/android/HLT-057-provider-reconciliation-pending.json
/Users/mason/.codex/visualizations/2026/09/01/01a05def-1c0d-76d1-abc6-07c63a443582/emulator-runs/initial/android/HLT-057-provider-update-reconciled.png
/Users/mason/.codex/visualizations/2026/09/01/01a05def-1c0d-76d1-abc6-07c63a443582/emulator-runs/initial/android/HLT-057-provider-delete-reconciled.png</x:v>
      </x:c>
      <x:c r="K188" t="str">
        <x:v>The provider record was updated in place under the same external ID from QA reconcile cycle to QA reconcile cycle updated, then deleted; provider reads verified the update and later absence. Buff sync requests returned sync_queued, but no new worker ran because the existing unique worker remained in DEF-058 retry backoff.</x:v>
      </x:c>
      <x:c r="L188" t="str">
        <x:v>DEF-058</x:v>
      </x:c>
      <x:c r="M188" t="str">
        <x:v>Importer update/delete reconciliation remains unverified until a fresh worker can run.</x:v>
      </x:c>
    </x:row>
    <x:row r="189">
      <x:c r="A189" t="str">
        <x:v>RUN-0185</x:v>
      </x:c>
      <x:c r="B189" t="str">
        <x:v>HLT-059</x:v>
      </x:c>
      <x:c r="C189" t="str">
        <x:v>Initial</x:v>
      </x:c>
      <x:c r="D189" t="str">
        <x:v>Android</x:v>
      </x:c>
      <x:c r="E189" t="str">
        <x:v>Medium_Phone Android user 10 disposable account</x:v>
      </x:c>
      <x:c r="F189" t="str">
        <x:v>Android 17</x:v>
      </x:c>
      <x:c r="G189" t="str">
        <x:v>9e9dcf1+dirty; com.spacemancodes.buff 1.0.0 (12)</x:v>
      </x:c>
      <x:c r="H189" s="60" t="n">
        <x:v>46267.54482638889</x:v>
      </x:c>
      <x:c r="I189" t="str">
        <x:v>Passed</x:v>
      </x:c>
      <x:c r="J189" t="str">
        <x:v>/Users/mason/.codex/visualizations/2026/09/01/01a05def-1c0d-76d1-abc6-07c63a443582/emulator-runs/initial/android/HLT-059-disconnect-reconnect-observations.json
/Users/mason/.codex/visualizations/2026/09/01/01a05def-1c0d-76d1-abc6-07c63a443582/emulator-runs/initial/android/HLT-059-health-connected-genuine-import.png
/Users/mason/.codex/visualizations/2026/09/01/01a05def-1c0d-76d1-abc6-07c63a443582/emulator-runs/initial/android/HLT-059-disconnected-import-retained.png
/Users/mason/.codex/visualizations/2026/09/01/01a05def-1c0d-76d1-abc6-07c63a443582/emulator-runs/initial/android/HLT-059-restart-disconnected-import-retained.png
/Users/mason/.codex/visualizations/2026/09/01/01a05def-1c0d-76d1-abc6-07c63a443582/emulator-runs/initial/android/HLT-059-reconnected-foreground-background.png</x:v>
      </x:c>
      <x:c r="K189" t="str">
        <x:v>A genuine imported Health Connect row remained after Disconnect changed status to permission_required. After restart, exercise, total-calorie, active-calorie, and background OS grants were all false and the row still remained. Reconnect granted foreground and background access, returned connected with both grants true, and retained the row.</x:v>
      </x:c>
      <x:c r="L189" t="str"/>
      <x:c r="M189" t="str">
        <x:v>The full disconnect, restart, and reconnect lifecycle completed with imported history intact.</x:v>
      </x:c>
    </x:row>
    <x:row r="190">
      <x:c r="A190" t="str">
        <x:v>RUN-0186</x:v>
      </x:c>
      <x:c r="B190" t="str">
        <x:v>ACC-045</x:v>
      </x:c>
      <x:c r="C190" t="str">
        <x:v>Initial</x:v>
      </x:c>
      <x:c r="D190" t="str">
        <x:v>Android</x:v>
      </x:c>
      <x:c r="E190" t="str">
        <x:v>Medium_Phone Android user 10 disposable account</x:v>
      </x:c>
      <x:c r="F190" t="str">
        <x:v>Android 17</x:v>
      </x:c>
      <x:c r="G190" t="str">
        <x:v>9e9dcf1+dirty; com.spacemancodes.buff 1.0.0 (12)</x:v>
      </x:c>
      <x:c r="H190" s="60" t="n">
        <x:v>46267.54482638889</x:v>
      </x:c>
      <x:c r="I190" t="str">
        <x:v>Blocked</x:v>
      </x:c>
      <x:c r="J190" t="str">
        <x:v>/Users/mason/.codex/visualizations/2026/09/01/01a05def-1c0d-76d1-abc6-07c63a443582/emulator-runs/initial/android/health-connect-real-fixture-observations.json
/Users/mason/.codex/visualizations/2026/09/01/01a05def-1c0d-76d1-abc6-07c63a443582/emulator-runs/initial/android/HLT-056-toolbox-exercise-session.png
/Users/mason/.codex/visualizations/2026/09/01/01a05def-1c0d-76d1-abc6-07c63a443582/emulator-runs/initial/android/HLT-056-toolbox-total-calories.png
/Users/mason/.codex/visualizations/2026/09/01/01a05def-1c0d-76d1-abc6-07c63a443582/emulator-runs/initial/android/HLT-041-health-connect-workout-row-275.png</x:v>
      </x:c>
      <x:c r="K190" t="str">
        <x:v>The same official Toolbox dataset used for HLT-056 produced one 275-kcal Health Connect workout from real exercise-session and total-calorie records without duplicate exercise calories across overlap handling.</x:v>
      </x:c>
      <x:c r="L190" t="str"/>
      <x:c r="M190" t="str">
        <x:v>The remaining priority, standalone-record, zero-calorie, and pagination matrix is shared with HLT-056.</x:v>
      </x:c>
    </x:row>
    <x:row r="191">
      <x:c r="A191" t="str">
        <x:v>RUN-0187</x:v>
      </x:c>
      <x:c r="B191" t="str">
        <x:v>ACC-046</x:v>
      </x:c>
      <x:c r="C191" t="str">
        <x:v>Initial</x:v>
      </x:c>
      <x:c r="D191" t="str">
        <x:v>Android</x:v>
      </x:c>
      <x:c r="E191" t="str">
        <x:v>Medium_Phone Android user 10 disposable account</x:v>
      </x:c>
      <x:c r="F191" t="str">
        <x:v>Android 17</x:v>
      </x:c>
      <x:c r="G191" t="str">
        <x:v>9e9dcf1+dirty; com.spacemancodes.buff 1.0.0 (12)</x:v>
      </x:c>
      <x:c r="H191" s="60" t="n">
        <x:v>46267.54482638889</x:v>
      </x:c>
      <x:c r="I191" t="str">
        <x:v>Passed</x:v>
      </x:c>
      <x:c r="J191" t="str">
        <x:v>/Users/mason/.codex/visualizations/2026/09/01/01a05def-1c0d-76d1-abc6-07c63a443582/emulator-runs/initial/android/HLT-059-disconnect-reconnect-observations.json
/Users/mason/.codex/visualizations/2026/09/01/01a05def-1c0d-76d1-abc6-07c63a443582/emulator-runs/initial/android/HLT-059-health-connected-genuine-import.png
/Users/mason/.codex/visualizations/2026/09/01/01a05def-1c0d-76d1-abc6-07c63a443582/emulator-runs/initial/android/HLT-059-disconnected-import-retained.png
/Users/mason/.codex/visualizations/2026/09/01/01a05def-1c0d-76d1-abc6-07c63a443582/emulator-runs/initial/android/HLT-059-restart-disconnected-import-retained.png
/Users/mason/.codex/visualizations/2026/09/01/01a05def-1c0d-76d1-abc6-07c63a443582/emulator-runs/initial/android/HLT-059-reconnected-foreground-background.png</x:v>
      </x:c>
      <x:c r="K191" t="str">
        <x:v>The same HLT-059 lifecycle retained a genuine imported row through disconnect and restart, verified all Health Connect OS grants revoked, then restored foreground and background grants with connected status while keeping the row.</x:v>
      </x:c>
      <x:c r="L191" t="str"/>
      <x:c r="M191" t="str">
        <x:v>Shared disconnect/reconnect evidence with HLT-059.</x:v>
      </x:c>
    </x:row>
    <x:row r="192">
      <x:c r="A192" t="str">
        <x:v>RUN-0188</x:v>
      </x:c>
      <x:c r="B192" t="str">
        <x:v>ACC-048</x:v>
      </x:c>
      <x:c r="C192" t="str">
        <x:v>Initial</x:v>
      </x:c>
      <x:c r="D192" t="str">
        <x:v>Android</x:v>
      </x:c>
      <x:c r="E192" t="str">
        <x:v>Medium_Phone Android user 10 disposable account</x:v>
      </x:c>
      <x:c r="F192" t="str">
        <x:v>Android 17</x:v>
      </x:c>
      <x:c r="G192" t="str">
        <x:v>9e9dcf1+dirty; com.spacemancodes.buff 1.0.0 (12)</x:v>
      </x:c>
      <x:c r="H192" s="60" t="n">
        <x:v>46267.54482638889</x:v>
      </x:c>
      <x:c r="I192" t="str">
        <x:v>Failed</x:v>
      </x:c>
      <x:c r="J192" t="str">
        <x:v>/Users/mason/.codex/visualizations/2026/09/01/01a05def-1c0d-76d1-abc6-07c63a443582/emulator-runs/initial/android/HLT-050-settings-sync-queued-observations.json
/Users/mason/.codex/visualizations/2026/09/01/01a05def-1c0d-76d1-abc6-07c63a443582/emulator-runs/initial/android/HLT-050-settings-sync-queued-stale.png
/Users/mason/.codex/visualizations/2026/09/01/01a05def-1c0d-76d1-abc6-07c63a443582/emulator-runs/initial/android/HLT-050-settings-focus-refresh.png
/Users/mason/.codex/visualizations/2026/09/01/01a05def-1c0d-76d1-abc6-07c63a443582/emulator-runs/initial/android/HLT-050-today-sync-queued-polls-success.png</x:v>
      </x:c>
      <x:c r="K192" t="str">
        <x:v>The same HLT-050 Settings sync completed successfully at the endpoint while both UI labels remained Sync queued; only a background/resume focus refresh changed them to Connected and Sync now.</x:v>
      </x:c>
      <x:c r="L192" t="str">
        <x:v>DEF-070</x:v>
      </x:c>
      <x:c r="M192" t="str">
        <x:v>DEF-070 covers queued-completion polling; the existing DEF-059 request-error scope remains separate.</x:v>
      </x:c>
    </x:row>
    <x:row r="193">
      <x:c r="A193" t="str">
        <x:v>RUN-0189</x:v>
      </x:c>
      <x:c r="B193" t="str">
        <x:v>HLT-041</x:v>
      </x:c>
      <x:c r="C193" t="str">
        <x:v>Initial</x:v>
      </x:c>
      <x:c r="D193" t="str">
        <x:v>Android</x:v>
      </x:c>
      <x:c r="E193" t="str">
        <x:v>Medium_Phone Android user 10 disposable account</x:v>
      </x:c>
      <x:c r="F193" t="str">
        <x:v>Android 17</x:v>
      </x:c>
      <x:c r="G193" t="str">
        <x:v>9e9dcf1+dirty; com.spacemancodes.buff 1.0.0 (12)</x:v>
      </x:c>
      <x:c r="H193" s="60" t="n">
        <x:v>46267.56180555555</x:v>
      </x:c>
      <x:c r="I193" t="str">
        <x:v>Passed</x:v>
      </x:c>
      <x:c r="J193" t="str">
        <x:v>/Users/mason/.codex/visualizations/2026/09/01/01a05def-1c0d-76d1-abc6-07c63a443582/emulator-runs/initial/android/HLT-041-date-isolation-observations.json
/Users/mason/.codex/visualizations/2026/09/01/01a05def-1c0d-76d1-abc6-07c63a443582/emulator-runs/initial/android/HLT-041-date-isolation-sep1.png
/Users/mason/.codex/visualizations/2026/09/01/01a05def-1c0d-76d1-abc6-07c63a443582/emulator-runs/initial/android/HLT-041-date-isolation-sep2.png
/Users/mason/.codex/visualizations/2026/09/01/01a05def-1c0d-76d1-abc6-07c63a443582/emulator-runs/initial/android/health-connect-real-fixture-observations.json
/Users/mason/.codex/visualizations/2026/09/01/01a05def-1c0d-76d1-abc6-07c63a443582/emulator-runs/initial/android/HLT-041-health-connect-workout-row-275.png</x:v>
      </x:c>
      <x:c r="K193" t="str">
        <x:v>Combined coverage showed the genuine Toolbox import with exact title, time, health_connect source metadata, and 275-kcal burn, then proved populated-date isolation: 1 September contained only QA date isolation at 06:30 for 77 kcal, while 2 September contained only Health Connect workouts at 10:00 for 50 kcal and 11:00 for 60 kcal, totaling 110 kcal with no first-date row. Manual and imported rows used the same generic dumbbell treatment with no visible source label.</x:v>
      </x:c>
      <x:c r="L193" t="str"/>
      <x:c r="M193" t="str">
        <x:v>Ordering, exact totals, imported/manual appearance, and isolation across two populated dates are now covered; the disposable 1 September row was removed after observation.</x:v>
      </x:c>
    </x:row>
    <x:row r="194">
      <x:c r="A194" t="str">
        <x:v>RUN-0190</x:v>
      </x:c>
      <x:c r="B194" t="str">
        <x:v>HLT-056</x:v>
      </x:c>
      <x:c r="C194" t="str">
        <x:v>Initial</x:v>
      </x:c>
      <x:c r="D194" t="str">
        <x:v>Android</x:v>
      </x:c>
      <x:c r="E194" t="str">
        <x:v>Medium_Phone Android user 10 disposable account</x:v>
      </x:c>
      <x:c r="F194" t="str">
        <x:v>Android 17</x:v>
      </x:c>
      <x:c r="G194" t="str">
        <x:v>9e9dcf1+dirty; com.spacemancodes.buff 1.0.0 (12)</x:v>
      </x:c>
      <x:c r="H194" s="60" t="n">
        <x:v>46267.55820601852</x:v>
      </x:c>
      <x:c r="I194" t="str">
        <x:v>Blocked</x:v>
      </x:c>
      <x:c r="J194" t="str">
        <x:v>/Users/mason/.codex/visualizations/2026/09/01/01a05def-1c0d-76d1-abc6-07c63a443582/emulator-runs/initial/android/HLT-056-toolbox-standalone-total-60.png
/Users/mason/.codex/visualizations/2026/09/01/01a05def-1c0d-76d1-abc6-07c63a443582/emulator-runs/initial/android/HLT-056-toolbox-standalone-active-50.png
/Users/mason/.codex/visualizations/2026/09/01/01a05def-1c0d-76d1-abc6-07c63a443582/emulator-runs/initial/android/HLT-056-toolbox-overlapping-active-70.png
/Users/mason/.codex/visualizations/2026/09/01/01a05def-1c0d-76d1-abc6-07c63a443582/emulator-runs/initial/android/HLT-056-toolbox-read-total-fixtures.png
/Users/mason/.codex/visualizations/2026/09/01/01a05def-1c0d-76d1-abc6-07c63a443582/emulator-runs/initial/android/HLT-056-toolbox-read-active-fixtures.png
/Users/mason/.codex/visualizations/2026/09/01/01a05def-1c0d-76d1-abc6-07c63a443582/emulator-runs/initial/android/HLT-057-timezone-reconciliation-delay.json
/Users/mason/.codex/visualizations/2026/09/01/01a05def-1c0d-76d1-abc6-07c63a443582/emulator-runs/initial/android/HLT-057-second-worker-delete-reconciled.png</x:v>
      </x:c>
      <x:c r="K194" t="str">
        <x:v>The live Toolbox store read 1 exercise session, 3 total-calorie records, and 2 active-calorie records; the worker emitted a three-record payload and the importer synced two rows. Standalone TotalCaloriesBurned 60 kcal at 11:00 and ActiveCaloriesBurned 50 kcal at 10:00 imported as separate workouts totaling 110 kcal, while the overlapping 70-kcal active interval was suppressed.</x:v>
      </x:c>
      <x:c r="L194" t="str"/>
      <x:c r="M194" t="str">
        <x:v>Session calorie-origin/fallback priority, zero-calorie filtering, and pagination remain.</x:v>
      </x:c>
    </x:row>
    <x:row r="195">
      <x:c r="A195" t="str">
        <x:v>RUN-0191</x:v>
      </x:c>
      <x:c r="B195" t="str">
        <x:v>HLT-057</x:v>
      </x:c>
      <x:c r="C195" t="str">
        <x:v>Initial</x:v>
      </x:c>
      <x:c r="D195" t="str">
        <x:v>Android</x:v>
      </x:c>
      <x:c r="E195" t="str">
        <x:v>Medium_Phone Android user 10 disposable account</x:v>
      </x:c>
      <x:c r="F195" t="str">
        <x:v>Android 17</x:v>
      </x:c>
      <x:c r="G195" t="str">
        <x:v>9e9dcf1+dirty; com.spacemancodes.buff 1.0.0 (12)</x:v>
      </x:c>
      <x:c r="H195" s="60" t="n">
        <x:v>46267.55820601852</x:v>
      </x:c>
      <x:c r="I195" t="str">
        <x:v>Failed</x:v>
      </x:c>
      <x:c r="J195" t="str">
        <x:v>/Users/mason/.codex/visualizations/2026/09/01/01a05def-1c0d-76d1-abc6-07c63a443582/emulator-runs/initial/android/HLT-057-timezone-reconciliation-delay.json
/Users/mason/.codex/visualizations/2026/09/01/01a05def-1c0d-76d1-abc6-07c63a443582/emulator-runs/initial/android/HLT-057-first-worker-delete-delayed.png
/Users/mason/.codex/visualizations/2026/09/01/01a05def-1c0d-76d1-abc6-07c63a443582/emulator-runs/initial/android/HLT-057-second-worker-delete-reconciled.png
/Users/mason/.codex/visualizations/2026/09/01/01a05def-1c0d-76d1-abc6-07c63a443582/inventory/health-connect-reconcile-cycle-diagnosis.json</x:v>
      </x:c>
      <x:c r="K195" t="str">
        <x:v>After the provider read confirmed QA reconcile cycle absent, the first worker completed successfully with synced_records 2 and deleted_records 0, leaving the provider-deleted 206-kcal row and 316-kcal total on Today. A later successful worker reported deleted_records 1, removed that row, and left the standalone 50- and 60-kcal rows totaling 110 kcal.</x:v>
      </x:c>
      <x:c r="L195" t="str">
        <x:v>DEF-071</x:v>
      </x:c>
      <x:c r="M195" t="str">
        <x:v>Both workers succeeded, so this timezone-window failure is distinct from DEF-058 retry handling. Successful same-ID update, ignored-ID handling, malformed/empty payloads, and read-failure non-deletion remain.</x:v>
      </x:c>
    </x:row>
    <x:row r="196">
      <x:c r="A196" t="str">
        <x:v>RUN-0192</x:v>
      </x:c>
      <x:c r="B196" t="str">
        <x:v>ACC-045</x:v>
      </x:c>
      <x:c r="C196" t="str">
        <x:v>Initial</x:v>
      </x:c>
      <x:c r="D196" t="str">
        <x:v>Android</x:v>
      </x:c>
      <x:c r="E196" t="str">
        <x:v>Medium_Phone Android user 10 disposable account</x:v>
      </x:c>
      <x:c r="F196" t="str">
        <x:v>Android 17</x:v>
      </x:c>
      <x:c r="G196" t="str">
        <x:v>9e9dcf1+dirty; com.spacemancodes.buff 1.0.0 (12)</x:v>
      </x:c>
      <x:c r="H196" s="60" t="n">
        <x:v>46267.55820601852</x:v>
      </x:c>
      <x:c r="I196" t="str">
        <x:v>Blocked</x:v>
      </x:c>
      <x:c r="J196" t="str">
        <x:v>/Users/mason/.codex/visualizations/2026/09/01/01a05def-1c0d-76d1-abc6-07c63a443582/emulator-runs/initial/android/HLT-056-toolbox-standalone-total-60.png
/Users/mason/.codex/visualizations/2026/09/01/01a05def-1c0d-76d1-abc6-07c63a443582/emulator-runs/initial/android/HLT-056-toolbox-standalone-active-50.png
/Users/mason/.codex/visualizations/2026/09/01/01a05def-1c0d-76d1-abc6-07c63a443582/emulator-runs/initial/android/HLT-056-toolbox-overlapping-active-70.png
/Users/mason/.codex/visualizations/2026/09/01/01a05def-1c0d-76d1-abc6-07c63a443582/emulator-runs/initial/android/HLT-056-toolbox-read-total-fixtures.png
/Users/mason/.codex/visualizations/2026/09/01/01a05def-1c0d-76d1-abc6-07c63a443582/emulator-runs/initial/android/HLT-056-toolbox-read-active-fixtures.png
/Users/mason/.codex/visualizations/2026/09/01/01a05def-1c0d-76d1-abc6-07c63a443582/emulator-runs/initial/android/HLT-057-timezone-reconciliation-delay.json
/Users/mason/.codex/visualizations/2026/09/01/01a05def-1c0d-76d1-abc6-07c63a443582/emulator-runs/initial/android/HLT-057-second-worker-delete-reconciled.png</x:v>
      </x:c>
      <x:c r="K196" t="str">
        <x:v>The shared live fixture read 1 exercise, 3 total, and 2 active records, emitted a three-record payload, and imported two non-overlapping standalone rows: Total 60 kcal and Active 50 kcal. The overlapping Active 70-kcal interval was excluded, so Today showed exactly 110 kcal without duplicate exercise calories.</x:v>
      </x:c>
      <x:c r="L196" t="str"/>
      <x:c r="M196" t="str">
        <x:v>The remaining session calorie-origin/fallback priority, zero-calorie, and pagination matrix is shared with HLT-056.</x:v>
      </x:c>
    </x:row>
    <x:row r="197">
      <x:c r="A197" t="str">
        <x:v>RUN-0193</x:v>
      </x:c>
      <x:c r="B197" t="str">
        <x:v>NUT-010</x:v>
      </x:c>
      <x:c r="C197" t="str">
        <x:v>Initial</x:v>
      </x:c>
      <x:c r="D197" t="str">
        <x:v>Android</x:v>
      </x:c>
      <x:c r="E197" t="str">
        <x:v>Medium_Phone, Android 17, owner production test account</x:v>
      </x:c>
      <x:c r="F197" t="str">
        <x:v>Android 17</x:v>
      </x:c>
      <x:c r="G197" t="str">
        <x:v>9e9dcf1+dirty; com.spacemancodes.buff 1.0.0 (12)</x:v>
      </x:c>
      <x:c r="H197" s="60" t="n">
        <x:v>46267.56527777778</x:v>
      </x:c>
      <x:c r="I197" t="str">
        <x:v>Blocked</x:v>
      </x:c>
      <x:c r="J197" t="str">
        <x:v>/Users/mason/.codex/visualizations/2026/09/01/01a05def-1c0d-76d1-abc6-07c63a443582/emulator-runs/initial/android/NUT-010-row-types.png
/Users/mason/.codex/visualizations/2026/09/01/01a05def-1c0d-76d1-abc6-07c63a443582/emulator-runs/initial/android/NUT-010-row-detail.png
/Users/mason/.codex/visualizations/2026/09/01/01a05def-1c0d-76d1-abc6-07c63a443582/emulator-runs/initial/android/NUT-010-row-types-observations.json</x:v>
      </x:c>
      <x:c r="K197" t="str">
        <x:v>Seven visible custom, barcode, and recipe rows showed their names, portion text, and kcal values. Tapping the custom dinner row opened details with Dinner, QA Macro Bowl Edited 20260901, 370 kcal, 350g, 40g protein, 30g carbs, 10g fat, Edit, and Delete.</x:v>
      </x:c>
      <x:c r="L197" t="str"/>
      <x:c r="M197" t="str">
        <x:v>Functional row display and tap details are covered; TalkBack semantics remain.</x:v>
      </x:c>
    </x:row>
    <x:row r="198">
      <x:c r="A198" t="str">
        <x:v>RUN-0194</x:v>
      </x:c>
      <x:c r="B198" t="str">
        <x:v>NUT-021</x:v>
      </x:c>
      <x:c r="C198" t="str">
        <x:v>Initial</x:v>
      </x:c>
      <x:c r="D198" t="str">
        <x:v>Android</x:v>
      </x:c>
      <x:c r="E198" t="str">
        <x:v>Medium_Phone, Android 17, owner production test account</x:v>
      </x:c>
      <x:c r="F198" t="str">
        <x:v>Android 17</x:v>
      </x:c>
      <x:c r="G198" t="str">
        <x:v>9e9dcf1+dirty; com.spacemancodes.buff 1.0.0 (12)</x:v>
      </x:c>
      <x:c r="H198" s="60" t="n">
        <x:v>46267.57166666666</x:v>
      </x:c>
      <x:c r="I198" t="str">
        <x:v>Failed</x:v>
      </x:c>
      <x:c r="J198" t="str">
        <x:v>/Users/mason/.codex/visualizations/2026/09/01/01a05def-1c0d-76d1-abc6-07c63a443582/emulator-runs/initial/android/NUT-021-search-query-omitted.png
/Users/mason/.codex/visualizations/2026/09/01/01a05def-1c0d-76d1-abc6-07c63a443582/emulator-runs/initial/android/NUT-021-search-query-omitted.json</x:v>
      </x:c>
      <x:c r="K198" t="str">
        <x:v>Peanut was visible in the search field, but both UI-originated requests omitted q and the page showed no products. A same-session control request with q=peanut returned HTTP 200 with 20 results and the known previous/local match first.</x:v>
      </x:c>
      <x:c r="L198" t="str">
        <x:v>DEF-072</x:v>
      </x:c>
      <x:c r="M198" t="str">
        <x:v>The evidence shows q absent from the observed native request URL but does not isolate the responsible layer.</x:v>
      </x:c>
    </x:row>
    <x:row r="199">
      <x:c r="A199" t="str">
        <x:v>RUN-0195</x:v>
      </x:c>
      <x:c r="B199" t="str">
        <x:v>NUT-022</x:v>
      </x:c>
      <x:c r="C199" t="str">
        <x:v>Initial</x:v>
      </x:c>
      <x:c r="D199" t="str">
        <x:v>Android</x:v>
      </x:c>
      <x:c r="E199" t="str">
        <x:v>Medium_Phone, Android 17, owner production test account</x:v>
      </x:c>
      <x:c r="F199" t="str">
        <x:v>Android 17</x:v>
      </x:c>
      <x:c r="G199" t="str">
        <x:v>9e9dcf1+dirty; com.spacemancodes.buff 1.0.0 (12)</x:v>
      </x:c>
      <x:c r="H199" s="60" t="n">
        <x:v>46267.56597222222</x:v>
      </x:c>
      <x:c r="I199" t="str">
        <x:v>Blocked</x:v>
      </x:c>
      <x:c r="J199" t="str">
        <x:v>/Users/mason/.codex/visualizations/2026/09/01/01a05def-1c0d-76d1-abc6-07c63a443582/emulator-runs/initial/android/NUT-022-blank-history.png
/Users/mason/.codex/visualizations/2026/09/01/01a05def-1c0d-76d1-abc6-07c63a443582/emulator-runs/initial/android/NUT-022-blank-history-observations.json</x:v>
      </x:c>
      <x:c r="K199" t="str">
        <x:v>Blank Add-food search showed all five eligible custom/barcode fixtures in descending last-used order and excluded recipe rows.</x:v>
      </x:c>
      <x:c r="L199" t="str"/>
      <x:c r="M199" t="str">
        <x:v>The 12-entry cap, exact de-duplication, and same-name/different-portion uniqueness remain.</x:v>
      </x:c>
    </x:row>
    <x:row r="200">
      <x:c r="A200" t="str">
        <x:v>RUN-0196</x:v>
      </x:c>
      <x:c r="B200" t="str">
        <x:v>NUT-028</x:v>
      </x:c>
      <x:c r="C200" t="str">
        <x:v>Initial</x:v>
      </x:c>
      <x:c r="D200" t="str">
        <x:v>Android</x:v>
      </x:c>
      <x:c r="E200" t="str">
        <x:v>Medium_Phone, Android 17, owner production test account</x:v>
      </x:c>
      <x:c r="F200" t="str">
        <x:v>Android 17</x:v>
      </x:c>
      <x:c r="G200" t="str">
        <x:v>9e9dcf1+dirty; com.spacemancodes.buff 1.0.0 (12)</x:v>
      </x:c>
      <x:c r="H200" s="60" t="n">
        <x:v>46267.57777777778</x:v>
      </x:c>
      <x:c r="I200" t="str">
        <x:v>Blocked</x:v>
      </x:c>
      <x:c r="J200" t="str">
        <x:v>/Users/mason/.codex/visualizations/2026/09/01/01a05def-1c0d-76d1-abc6-07c63a443582/emulator-runs/initial/android/NUT-028-previous-review.png
/Users/mason/.codex/visualizations/2026/09/01/01a05def-1c0d-76d1-abc6-07c63a443582/emulator-runs/initial/android/NUT-028-previous-scaled-review.png
/Users/mason/.codex/visualizations/2026/09/01/01a05def-1c0d-76d1-abc6-07c63a443582/emulator-runs/initial/android/NUT-028-repeated-row.png
/Users/mason/.codex/visualizations/2026/09/01/01a05def-1c0d-76d1-abc6-07c63a443582/emulator-runs/initial/android/NUT-028-repeated-detail.png
/Users/mason/.codex/visualizations/2026/09/01/01a05def-1c0d-76d1-abc6-07c63a443582/emulator-runs/initial/android/NUT-028-exact-review.png
/Users/mason/.codex/visualizations/2026/09/01/01a05def-1c0d-76d1-abc6-07c63a443582/emulator-runs/initial/android/NUT-028-exact-repeated-row.png
/Users/mason/.codex/visualizations/2026/09/01/01a05def-1c0d-76d1-abc6-07c63a443582/emulator-runs/initial/android/NUT-028-repeat-observations.json</x:v>
      </x:c>
      <x:c r="K200" t="str">
        <x:v>The prior 100g/39-kcal item opened with its 1g protein, 2g carbs, and 3g fat snapshot. Repeating at 150g created a separate 59-kcal Snacks row with 1.5g protein, 3g carbs, and 4.5g fat; repeating at the exact 100g created another independent 39-kcal row. Both disposable repeats were deleted after capture and the original remained.</x:v>
      </x:c>
      <x:c r="L200" t="str"/>
      <x:c r="M200" t="str">
        <x:v>The original-portion-null exact-value branch remains.</x:v>
      </x:c>
    </x:row>
    <x:row r="201">
      <x:c r="A201" t="str">
        <x:v>RUN-0197</x:v>
      </x:c>
      <x:c r="B201" t="str">
        <x:v>NUT-024</x:v>
      </x:c>
      <x:c r="C201" t="str">
        <x:v>Initial</x:v>
      </x:c>
      <x:c r="D201" t="str">
        <x:v>Android</x:v>
      </x:c>
      <x:c r="E201" t="str">
        <x:v>Medium_Phone, Android 17, owner production test account</x:v>
      </x:c>
      <x:c r="F201" t="str">
        <x:v>Android 17</x:v>
      </x:c>
      <x:c r="G201" t="str">
        <x:v>9e9dcf1+dirty; com.spacemancodes.buff 1.0.0 (12)</x:v>
      </x:c>
      <x:c r="H201" s="60" t="n">
        <x:v>46267.58175925926</x:v>
      </x:c>
      <x:c r="I201" t="str">
        <x:v>Failed</x:v>
      </x:c>
      <x:c r="J201" t="str">
        <x:v>/Users/mason/.codex/visualizations/2026/09/01/01a05def-1c0d-76d1-abc6-07c63a443582/emulator-runs/initial/android/NUT-024-offline-ui-blocked.png
/Users/mason/.codex/visualizations/2026/09/01/01a05def-1c0d-76d1-abc6-07c63a443582/emulator-runs/initial/android/NUT-024-offline-fallback-observations.json</x:v>
      </x:c>
      <x:c r="K201" t="str">
        <x:v>With Android genuinely offline, the direct same-session endpoint control for q=peanut returned the prior 52g meal and its used local product, while the stored-but-unselected Peanut Butter Protein Bars query returned zero results. In the real UI, peanut was visible, but the request omitted q and the page showed 'No products found.'</x:v>
      </x:c>
      <x:c r="L201" t="str">
        <x:v>DEF-072</x:v>
      </x:c>
      <x:c r="M201" t="str">
        <x:v>The endpoint fallback behaved correctly; the UI failure is the existing Android query-omission defect. Airplane mode was disabled and Wi-Fi restored immediately afterward.</x:v>
      </x:c>
    </x:row>
    <x:row r="202">
      <x:c r="A202" t="str">
        <x:v>RUN-0198</x:v>
      </x:c>
      <x:c r="B202" t="str">
        <x:v>NUT-025</x:v>
      </x:c>
      <x:c r="C202" t="str">
        <x:v>Initial</x:v>
      </x:c>
      <x:c r="D202" t="str">
        <x:v>Android</x:v>
      </x:c>
      <x:c r="E202" t="str">
        <x:v>Medium_Phone, Android 17, owner production test account</x:v>
      </x:c>
      <x:c r="F202" t="str">
        <x:v>Android 17</x:v>
      </x:c>
      <x:c r="G202" t="str">
        <x:v>9e9dcf1+dirty; com.spacemancodes.buff 1.0.0 (12)</x:v>
      </x:c>
      <x:c r="H202" s="60" t="n">
        <x:v>46267.580416666664</x:v>
      </x:c>
      <x:c r="I202" t="str">
        <x:v>Failed</x:v>
      </x:c>
      <x:c r="J202" t="str">
        <x:v>/Users/mason/.codex/visualizations/2026/09/01/01a05def-1c0d-76d1-abc6-07c63a443582/emulator-runs/initial/android/NUT-025-search-request-error.png
/Users/mason/.codex/visualizations/2026/09/01/01a05def-1c0d-76d1-abc6-07c63a443582/emulator-runs/initial/android/NUT-025-search-request-error-observations.json</x:v>
      </x:c>
      <x:c r="K202" t="str">
        <x:v>A deliberately forced fetch rejection scoped only to /food-products/search was triggered exactly once by entering cashew with real Android text input. The UI showed 'No products found.' with no search-specific error, status, or retry action.</x:v>
      </x:c>
      <x:c r="L202" t="str">
        <x:v>DEF-073</x:v>
      </x:c>
      <x:c r="M202" t="str">
        <x:v>The original fetch implementation was restored immediately after capture.</x:v>
      </x:c>
    </x:row>
    <x:row r="203">
      <x:c r="A203" t="str">
        <x:v>RUN-0199</x:v>
      </x:c>
      <x:c r="B203" t="str">
        <x:v>NUT-019</x:v>
      </x:c>
      <x:c r="C203" t="str">
        <x:v>Initial</x:v>
      </x:c>
      <x:c r="D203" t="str">
        <x:v>Android</x:v>
      </x:c>
      <x:c r="E203" t="str">
        <x:v>Medium_Phone, Android 17, user 10 disposable QA account</x:v>
      </x:c>
      <x:c r="F203" t="str">
        <x:v>Android 17</x:v>
      </x:c>
      <x:c r="G203" t="str">
        <x:v>9e9dcf1+dirty; com.spacemancodes.buff 1.0.0 (12)</x:v>
      </x:c>
      <x:c r="H203" s="60" t="n">
        <x:v>46267.59097222222</x:v>
      </x:c>
      <x:c r="I203" t="str">
        <x:v>Passed</x:v>
      </x:c>
      <x:c r="J203" t="str">
        <x:v>/Users/mason/.codex/visualizations/2026/09/01/01a05def-1c0d-76d1-abc6-07c63a443582/emulator-runs/initial/android/NUT-019-offline-custom-added.png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x:v>
      </x:c>
      <x:c r="K203" t="str">
        <x:v>With Android airplane mode enabled and Wi-Fi disabled, navigator.onLine was false and the visible banner read 'No internet connection.' Offline, a QA custom Snacks meal saved as 100g/39 kcal, survived force-stop and cold relaunch, updated immediately to 120g/47 kcal, repeated independently to Breakfast, and the repeat deleted while the source remained. A one-ingredient QA recipe saved and logged to Lunch offline. Reconnecting removed the banner; the surviving custom meal and recipe remained, and Inertia sync reported last_error null with pending 0.</x:v>
      </x:c>
      <x:c r="L203" t="str"/>
      <x:c r="M203" t="str">
        <x:v>All disposable custom-meal, logged-meal, and recipe fixtures were deleted online; final sync again reported pending 0 with no error.</x:v>
      </x:c>
    </x:row>
    <x:row r="204">
      <x:c r="A204" t="str">
        <x:v>RUN-0200</x:v>
      </x:c>
      <x:c r="B204" t="str">
        <x:v>NUT-108</x:v>
      </x:c>
      <x:c r="C204" t="str">
        <x:v>Initial</x:v>
      </x:c>
      <x:c r="D204" t="str">
        <x:v>Android</x:v>
      </x:c>
      <x:c r="E204" t="str">
        <x:v>Medium_Phone, Android 17, user 10 disposable QA account</x:v>
      </x:c>
      <x:c r="F204" t="str">
        <x:v>Android 17</x:v>
      </x:c>
      <x:c r="G204" t="str">
        <x:v>9e9dcf1+dirty; com.spacemancodes.buff 1.0.0 (12)</x:v>
      </x:c>
      <x:c r="H204" s="60" t="n">
        <x:v>46267.59097222222</x:v>
      </x:c>
      <x:c r="I204" t="str">
        <x:v>Blocked</x:v>
      </x:c>
      <x:c r="J204" t="str">
        <x:v>/Users/mason/.codex/visualizations/2026/09/01/01a05def-1c0d-76d1-abc6-07c63a443582/emulator-runs/initial/android/NUT-019-offline-custom-added.png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x:v>
      </x:c>
      <x:c r="K204" t="str">
        <x:v>The shared NUT-019 run covered immediate offline meal and recipe mutations, durable meal state across force-stop and cold relaunch, and a successful authenticated reconnect flush with last_error null and pending 0.</x:v>
      </x:c>
      <x:c r="L204" t="str"/>
      <x:c r="M204" t="str">
        <x:v>Coverage remains blocked on every configured nutrition model, signed-out queued behavior, and receipt on a remote device. All QA fixtures were cleaned online.</x:v>
      </x:c>
    </x:row>
    <x:row r="205">
      <x:c r="A205" t="str">
        <x:v>RUN-0201</x:v>
      </x:c>
      <x:c r="B205" t="str">
        <x:v>NUT-034</x:v>
      </x:c>
      <x:c r="C205" t="str">
        <x:v>Initial</x:v>
      </x:c>
      <x:c r="D205" t="str">
        <x:v>Android</x:v>
      </x:c>
      <x:c r="E205" t="str">
        <x:v>Medium_Phone, Android 17</x:v>
      </x:c>
      <x:c r="F205" t="str">
        <x:v>Android 17</x:v>
      </x:c>
      <x:c r="G205" t="str">
        <x:v>9e9dcf1+dirty; com.spacemancodes.buff 1.0.0 (12)</x:v>
      </x:c>
      <x:c r="H205" s="60" t="n">
        <x:v>46267.59375</x:v>
      </x:c>
      <x:c r="I205" t="str">
        <x:v>Passed</x:v>
      </x:c>
      <x:c r="J205" t="str">
        <x:v>/Users/mason/.codex/visualizations/2026/09/01/01a05def-1c0d-76d1-abc6-07c63a443582/emulator-runs/initial/android/NUT-034-037-liquid-review.png
/Users/mason/.codex/visualizations/2026/09/01/01a05def-1c0d-76d1-abc6-07c63a443582/emulator-runs/initial/android/NUT-034-037-barcode-observations.json</x:v>
      </x:c>
      <x:c r="K205" t="str">
        <x:v>Online lookup returned liquid barcode 5038862102704 as local product 01a06278-69f9-72ed-9552-084f8b7187bb with serving 150ml, whole 1.35L, and 100/250/330/500ml options. Solid barcode 5060088700082 returned local product 01a06255-206c-72bb-b372-c9f78f9d0742 with serving 45g and 50/100/150/250g options. Repeating the liquid lookup preserved its local ID and options, and the real scanner/manual path displayed the review.</x:v>
      </x:c>
      <x:c r="L205" t="str"/>
      <x:c r="M205" t="str">
        <x:v>The temporary 200ml Snacks log was removed after observation.</x:v>
      </x:c>
    </x:row>
    <x:row r="206">
      <x:c r="A206" t="str">
        <x:v>RUN-0202</x:v>
      </x:c>
      <x:c r="B206" t="str">
        <x:v>NUT-035</x:v>
      </x:c>
      <x:c r="C206" t="str">
        <x:v>Initial</x:v>
      </x:c>
      <x:c r="D206" t="str">
        <x:v>Android</x:v>
      </x:c>
      <x:c r="E206" t="str">
        <x:v>Medium_Phone, Android 17</x:v>
      </x:c>
      <x:c r="F206" t="str">
        <x:v>Android 17</x:v>
      </x:c>
      <x:c r="G206" t="str">
        <x:v>9e9dcf1+dirty; com.spacemancodes.buff 1.0.0 (12)</x:v>
      </x:c>
      <x:c r="H206" s="60" t="n">
        <x:v>46267.597916666666</x:v>
      </x:c>
      <x:c r="I206" t="str">
        <x:v>Blocked</x:v>
      </x:c>
      <x:c r="J206" t="str">
        <x:v>/Users/mason/.codex/visualizations/2026/09/01/01a05def-1c0d-76d1-abc6-07c63a443582/emulator-runs/initial/android/NUT-036-offline-unknown-barcode.png
/Users/mason/.codex/visualizations/2026/09/01/01a05def-1c0d-76d1-abc6-07c63a443582/emulator-runs/initial/android/NUT-034-037-barcode-observations.json</x:v>
      </x:c>
      <x:c r="K206" t="str">
        <x:v>The uncached unknown-barcode path was exercised offline. It showed a visible generic lookup error and kept the Add custom food alternative available.</x:v>
      </x:c>
      <x:c r="L206" t="str"/>
      <x:c r="M206" t="str">
        <x:v>The incomplete-nutrition, unauthenticated, and throttle/retry-after branches remain unexercised.</x:v>
      </x:c>
    </x:row>
    <x:row r="207">
      <x:c r="A207" t="str">
        <x:v>RUN-0203</x:v>
      </x:c>
      <x:c r="B207" t="str">
        <x:v>NUT-036</x:v>
      </x:c>
      <x:c r="C207" t="str">
        <x:v>Initial</x:v>
      </x:c>
      <x:c r="D207" t="str">
        <x:v>Android</x:v>
      </x:c>
      <x:c r="E207" t="str">
        <x:v>Medium_Phone, Android 17</x:v>
      </x:c>
      <x:c r="F207" t="str">
        <x:v>Android 17</x:v>
      </x:c>
      <x:c r="G207" t="str">
        <x:v>9e9dcf1+dirty; com.spacemancodes.buff 1.0.0 (12)</x:v>
      </x:c>
      <x:c r="H207" s="60" t="n">
        <x:v>46267.597916666666</x:v>
      </x:c>
      <x:c r="I207" t="str">
        <x:v>Failed</x:v>
      </x:c>
      <x:c r="J207" t="str">
        <x:v>/Users/mason/.codex/visualizations/2026/09/01/01a05def-1c0d-76d1-abc6-07c63a443582/emulator-runs/initial/android/NUT-036-offline-cached-barcode.png
/Users/mason/.codex/visualizations/2026/09/01/01a05def-1c0d-76d1-abc6-07c63a443582/emulator-runs/initial/android/NUT-036-offline-unknown-barcode.png
/Users/mason/.codex/visualizations/2026/09/01/01a05def-1c0d-76d1-abc6-07c63a443582/emulator-runs/initial/android/NUT-034-037-barcode-observations.json</x:v>
      </x:c>
      <x:c r="K207" t="str">
        <x:v>In airplane mode, cached barcode 5038862102704 succeeded and displayed the same local product review and portion options. Never-seen barcode 9999999999999 instead showed the generic 'Could not look up that barcode. Add it as custom food instead.' rather than the required exact offline explanation.</x:v>
      </x:c>
      <x:c r="L207" t="str">
        <x:v>DEF-074</x:v>
      </x:c>
      <x:c r="M207" t="str">
        <x:v>Connectivity was restored after capture; the temporary test meal was already removed.</x:v>
      </x:c>
    </x:row>
    <x:row r="208">
      <x:c r="A208" t="str">
        <x:v>RUN-0204</x:v>
      </x:c>
      <x:c r="B208" t="str">
        <x:v>NUT-037</x:v>
      </x:c>
      <x:c r="C208" t="str">
        <x:v>Initial</x:v>
      </x:c>
      <x:c r="D208" t="str">
        <x:v>Android</x:v>
      </x:c>
      <x:c r="E208" t="str">
        <x:v>Medium_Phone, Android 17</x:v>
      </x:c>
      <x:c r="F208" t="str">
        <x:v>Android 17</x:v>
      </x:c>
      <x:c r="G208" t="str">
        <x:v>9e9dcf1+dirty; com.spacemancodes.buff 1.0.0 (12)</x:v>
      </x:c>
      <x:c r="H208" s="60" t="n">
        <x:v>46267.59444444445</x:v>
      </x:c>
      <x:c r="I208" t="str">
        <x:v>Passed</x:v>
      </x:c>
      <x:c r="J208" t="str">
        <x:v>/Users/mason/.codex/visualizations/2026/09/01/01a05def-1c0d-76d1-abc6-07c63a443582/emulator-runs/initial/android/NUT-034-037-liquid-review.png
/Users/mason/.codex/visualizations/2026/09/01/01a05def-1c0d-76d1-abc6-07c63a443582/emulator-runs/initial/android/NUT-037-liquid-200ml-ready.png
/Users/mason/.codex/visualizations/2026/09/01/01a05def-1c0d-76d1-abc6-07c63a443582/emulator-runs/initial/android/NUT-037-liquid-200ml-logged.png
/Users/mason/.codex/visualizations/2026/09/01/01a05def-1c0d-76d1-abc6-07c63a443582/emulator-runs/initial/android/NUT-034-037-barcode-observations.json</x:v>
      </x:c>
      <x:c r="K208" t="str">
        <x:v>The liquid product used ml with serving 150ml, whole 1.35L, and 100/250/330/500ml options, while the solid product used g with serving 45g and 50/100/150/250g options. Logging 200ml to Snacks produced 82 kcal.</x:v>
      </x:c>
      <x:c r="L208" t="str"/>
      <x:c r="M208" t="str">
        <x:v>The temporary 82-kcal Snacks entry was removed after capture.</x:v>
      </x:c>
    </x:row>
    <x:row r="209">
      <x:c r="A209" t="str">
        <x:v>RUN-0205</x:v>
      </x:c>
      <x:c r="B209" t="str">
        <x:v>NUT-013</x:v>
      </x:c>
      <x:c r="C209" t="str">
        <x:v>Initial</x:v>
      </x:c>
      <x:c r="D209" t="str">
        <x:v>Android</x:v>
      </x:c>
      <x:c r="E209" t="str">
        <x:v>Medium_Phone, Android 17, user 10</x:v>
      </x:c>
      <x:c r="F209" t="str">
        <x:v>Android 17</x:v>
      </x:c>
      <x:c r="G209" t="str">
        <x:v>9e9dcf1+dirty; com.spacemancodes.buff 1.0.0 (12)</x:v>
      </x:c>
      <x:c r="H209" s="60" t="n">
        <x:v>46267.60972222222</x:v>
      </x:c>
      <x:c r="I209" t="str">
        <x:v>Failed</x:v>
      </x:c>
      <x:c r="J209" t="str">
        <x:v>/Users/mason/.codex/visualizations/2026/09/01/01a05def-1c0d-76d1-abc6-07c63a443582/emulator-runs/initial/android/NUT-106-goal-only-empty-range.png
/Users/mason/.codex/visualizations/2026/09/01/01a05def-1c0d-76d1-abc6-07c63a443582/emulator-runs/initial/android/NUT-013-historical-goal-retroactive-2250.png
/Users/mason/.codex/visualizations/2026/09/01/01a05def-1c0d-76d1-abc6-07c63a443582/emulator-runs/initial/android/NUT-013-goal-restored-2200.png
/Users/mason/.codex/visualizations/2026/09/01/01a05def-1c0d-76d1-abc6-07c63a443582/emulator-runs/initial/android/NUT-013-018-094-105-106-observations.json</x:v>
      </x:c>
      <x:c r="K209" t="str">
        <x:v>For 1-7 July 2026, the historical view showed a 15400 aggregate target and 2200 per-day rows with the current goal at 2200. Saving a current goal of 2250 changed the same range to 15750 and 2250 per day without disclosing that current goals were used. Restoring 2200 returned the range to 15400/2200.</x:v>
      </x:c>
      <x:c r="L209" t="str">
        <x:v>DEF-075</x:v>
      </x:c>
      <x:c r="M209" t="str">
        <x:v>The current-goal calculation is code-defined; this failure is the missing explanation. The current goal was restored to 2200.</x:v>
      </x:c>
    </x:row>
    <x:row r="210">
      <x:c r="A210" t="str">
        <x:v>RUN-0206</x:v>
      </x:c>
      <x:c r="B210" t="str">
        <x:v>NUT-018</x:v>
      </x:c>
      <x:c r="C210" t="str">
        <x:v>Initial</x:v>
      </x:c>
      <x:c r="D210" t="str">
        <x:v>Android</x:v>
      </x:c>
      <x:c r="E210" t="str">
        <x:v>Medium_Phone, Android 17, user 10</x:v>
      </x:c>
      <x:c r="F210" t="str">
        <x:v>Android 17</x:v>
      </x:c>
      <x:c r="G210" t="str">
        <x:v>9e9dcf1+dirty; com.spacemancodes.buff 1.0.0 (12)</x:v>
      </x:c>
      <x:c r="H210" s="60" t="n">
        <x:v>46267.603472222225</x:v>
      </x:c>
      <x:c r="I210" t="str">
        <x:v>Blocked</x:v>
      </x:c>
      <x:c r="J210" t="str">
        <x:v>/Users/mason/.codex/visualizations/2026/09/01/01a05def-1c0d-76d1-abc6-07c63a443582/emulator-runs/initial/android/NUT-018-default-dinner-15xx.png
/Users/mason/.codex/visualizations/2026/09/01/01a05def-1c0d-76d1-abc6-07c63a443582/emulator-runs/initial/android/NUT-018-query-lunch-override.png
/Users/mason/.codex/visualizations/2026/09/01/01a05def-1c0d-76d1-abc6-07c63a443582/emulator-runs/initial/android/NUT-019-offline-custom-added.png
/Users/mason/.codex/visualizations/2026/09/01/01a05def-1c0d-76d1-abc6-07c63a443582/emulator-runs/initial/android/NUT-019-offline-local-first-observations.json
/Users/mason/.codex/visualizations/2026/09/01/01a05def-1c0d-76d1-abc6-07c63a443582/emulator-runs/initial/android/NUT-013-018-094-105-106-observations.json</x:v>
      </x:c>
      <x:c r="K210" t="str">
        <x:v>At 15:xx local time, Custom food defaulted to Dinner with aria-checked=true. A meal=lunch query selected Lunch instead. Existing NUT-019 Android evidence also shows a picker change reaching a Snacks custom-food submission.</x:v>
      </x:c>
      <x:c r="L210" t="str"/>
      <x:c r="M210" t="str">
        <x:v>The 09:59/10:00, 13:59/14:00, and 19:59/20:00 clock-boundary pairs remain unexercised.</x:v>
      </x:c>
    </x:row>
    <x:row r="211">
      <x:c r="A211" t="str">
        <x:v>RUN-0207</x:v>
      </x:c>
      <x:c r="B211" t="str">
        <x:v>NUT-094</x:v>
      </x:c>
      <x:c r="C211" t="str">
        <x:v>Initial</x:v>
      </x:c>
      <x:c r="D211" t="str">
        <x:v>Android</x:v>
      </x:c>
      <x:c r="E211" t="str">
        <x:v>Medium_Phone, Android 17, user 10</x:v>
      </x:c>
      <x:c r="F211" t="str">
        <x:v>Android 17</x:v>
      </x:c>
      <x:c r="G211" t="str">
        <x:v>9e9dcf1+dirty; com.spacemancodes.buff 1.0.0 (12)</x:v>
      </x:c>
      <x:c r="H211" s="60" t="n">
        <x:v>46267.60277777778</x:v>
      </x:c>
      <x:c r="I211" t="str">
        <x:v>Blocked</x:v>
      </x:c>
      <x:c r="J211" t="str">
        <x:v>/Users/mason/.codex/visualizations/2026/09/01/01a05def-1c0d-76d1-abc6-07c63a443582/emulator-runs/initial/android/NUT-094-goal-no-food-protein.png
/Users/mason/.codex/visualizations/2026/09/01/01a05def-1c0d-76d1-abc6-07c63a443582/emulator-runs/initial/android/NUT-013-018-094-105-106-observations.json</x:v>
      </x:c>
      <x:c r="K211" t="str">
        <x:v>In the configured-goal/no-food Protein state, the screen showed Current split 0%, Goal split 30%, 0g eaten, 173g daily goal, and 'No food logged for this day.'</x:v>
      </x:c>
      <x:c r="L211" t="str"/>
      <x:c r="M211" t="str">
        <x:v>The no-goal/no-food and food/no-goal fixture states remain unexercised.</x:v>
      </x:c>
    </x:row>
    <x:row r="212">
      <x:c r="A212" t="str">
        <x:v>RUN-0208</x:v>
      </x:c>
      <x:c r="B212" t="str">
        <x:v>NUT-105</x:v>
      </x:c>
      <x:c r="C212" t="str">
        <x:v>Initial</x:v>
      </x:c>
      <x:c r="D212" t="str">
        <x:v>Android</x:v>
      </x:c>
      <x:c r="E212" t="str">
        <x:v>Medium_Phone, Android 17, user 10</x:v>
      </x:c>
      <x:c r="F212" t="str">
        <x:v>Android 17</x:v>
      </x:c>
      <x:c r="G212" t="str">
        <x:v>9e9dcf1+dirty; com.spacemancodes.buff 1.0.0 (12)</x:v>
      </x:c>
      <x:c r="H212" s="60" t="n">
        <x:v>46267.60625</x:v>
      </x:c>
      <x:c r="I212" t="str">
        <x:v>Passed</x:v>
      </x:c>
      <x:c r="J212" t="str">
        <x:v>/Users/mason/.codex/visualizations/2026/09/01/01a05def-1c0d-76d1-abc6-07c63a443582/emulator-runs/initial/android/NUT-105-current-week-weight-insight.png
/Users/mason/.codex/visualizations/2026/09/01/01a05def-1c0d-76d1-abc6-07c63a443582/emulator-runs/initial/android/NUT-105-range-weight-down.png
/Users/mason/.codex/visualizations/2026/09/01/01a05def-1c0d-76d1-abc6-07c63a443582/emulator-runs/initial/android/NUT-105-single-metric-insight-omitted.png
/Users/mason/.codex/visualizations/2026/09/01/01a05def-1c0d-76d1-abc6-07c63a443582/emulator-runs/initial/android/NUT-105-range-weight-down-lb.png
/Users/mason/.codex/visualizations/2026/09/01/01a05def-1c0d-76d1-abc6-07c63a443582/emulator-runs/initial/android/NUT-013-018-094-105-106-observations.json</x:v>
      </x:c>
      <x:c r="K212" t="str">
        <x:v>A current-week range with at least two metrics showed 'Weight unchanged this period.' The 26 August-2 September range showed 'Weight down 1.7 kg this period'; the single-day 2 September range with one metric omitted Insights; changing the preferred unit showed 'Weight down 3.7 lb this period.'</x:v>
      </x:c>
      <x:c r="L212" t="str"/>
      <x:c r="M212" t="str">
        <x:v>The preferred weight unit was restored to kg after capture.</x:v>
      </x:c>
    </x:row>
    <x:row r="213">
      <x:c r="A213" t="str">
        <x:v>RUN-0209</x:v>
      </x:c>
      <x:c r="B213" t="str">
        <x:v>NUT-106</x:v>
      </x:c>
      <x:c r="C213" t="str">
        <x:v>Initial</x:v>
      </x:c>
      <x:c r="D213" t="str">
        <x:v>Android</x:v>
      </x:c>
      <x:c r="E213" t="str">
        <x:v>Medium_Phone, Android 17, user 10</x:v>
      </x:c>
      <x:c r="F213" t="str">
        <x:v>Android 17</x:v>
      </x:c>
      <x:c r="G213" t="str">
        <x:v>9e9dcf1+dirty; com.spacemancodes.buff 1.0.0 (12)</x:v>
      </x:c>
      <x:c r="H213" s="60" t="n">
        <x:v>46267.606944444444</x:v>
      </x:c>
      <x:c r="I213" t="str">
        <x:v>Blocked</x:v>
      </x:c>
      <x:c r="J213" t="str">
        <x:v>/Users/mason/.codex/visualizations/2026/09/01/01a05def-1c0d-76d1-abc6-07c63a443582/emulator-runs/initial/android/NUT-106-goal-only-empty-range.png
/Users/mason/.codex/visualizations/2026/09/01/01a05def-1c0d-76d1-abc6-07c63a443582/emulator-runs/initial/android/NUT-013-018-094-105-106-observations.json</x:v>
      </x:c>
      <x:c r="K213" t="str">
        <x:v>The goal-only 1-7 July range rendered without errors: 0 calories, a 15400 target, macros 0/1155g protein, 0/1540g carbs, and 0/513g fat, seven neutral no-log daily rows, no Insights card, and available range controls.</x:v>
      </x:c>
      <x:c r="L213" t="str"/>
      <x:c r="M213" t="str">
        <x:v>Completely no-goal and weight-only states were not possible in the current signed-in fixture and remain unexercised.</x:v>
      </x:c>
    </x:row>
    <x:row r="214">
      <x:c r="A214" t="str">
        <x:v>RUN-0210</x:v>
      </x:c>
      <x:c r="B214" t="str">
        <x:v>ACC-081</x:v>
      </x:c>
      <x:c r="C214" t="str">
        <x:v>Initial</x:v>
      </x:c>
      <x:c r="D214" t="str">
        <x:v>Android</x:v>
      </x:c>
      <x:c r="E214" t="str">
        <x:v>Medium_Phone, Android 17, user 10</x:v>
      </x:c>
      <x:c r="F214" t="str">
        <x:v>Android 17</x:v>
      </x:c>
      <x:c r="G214" t="str">
        <x:v>9e9dcf1+dirty; com.spacemancodes.buff 1.0.0 (12)</x:v>
      </x:c>
      <x:c r="H214" s="60" t="n">
        <x:v>46267.61388888889</x:v>
      </x:c>
      <x:c r="I214" t="str">
        <x:v>Blocked</x:v>
      </x:c>
      <x:c r="J214" t="str">
        <x:v>/Users/mason/.codex/visualizations/2026/09/01/01a05def-1c0d-76d1-abc6-07c63a443582/emulator-runs/initial/android/ACC-081-launcher-shortcuts.png
/Users/mason/.codex/visualizations/2026/09/01/01a05def-1c0d-76d1-abc6-07c63a443582/emulator-runs/initial/android/ACC-081-shortcut-add.png
/Users/mason/.codex/visualizations/2026/09/01/01a05def-1c0d-76d1-abc6-07c63a443582/emulator-runs/initial/android/ACC-081-shortcut-scan.png
/Users/mason/.codex/visualizations/2026/09/01/01a05def-1c0d-76d1-abc6-07c63a443582/emulator-runs/initial/android/ACC-081-shortcut-workout.png
/Users/mason/.codex/visualizations/2026/09/01/01a05def-1c0d-76d1-abc6-07c63a443582/emulator-runs/initial/android/ACC-081-warm-reminder-lunch-link.png
/Users/mason/.codex/visualizations/2026/09/01/01a05def-1c0d-76d1-abc6-07c63a443582/emulator-runs/initial/android/ACC-081-cold-workout-link.png
/Users/mason/.codex/visualizations/2026/09/01/01a05def-1c0d-76d1-abc6-07c63a443582/emulator-runs/initial/android/ACC-081-encoded-reset-link.png
/Users/mason/.codex/visualizations/2026/09/01/01a05def-1c0d-76d1-abc6-07c63a443582/emulator-runs/initial/android/ACC-081-invalid-deep-link.png
/Users/mason/.codex/visualizations/2026/09/01/01a05def-1c0d-76d1-abc6-07c63a443582/emulator-runs/initial/android/ACC-081-invalid-mcp-link.png
/Users/mason/.codex/visualizations/2026/09/01/01a05def-1c0d-76d1-abc6-07c63a443582/emulator-runs/initial/android/ACC-055-068-081-observations.json</x:v>
      </x:c>
      <x:c r="K214" t="str">
        <x:v>Pixel launcher exposed Add to Buff, Scan barcode, and Add workout. Warm shortcuts opened /add, /add?mode=food&amp;scan=1 with the scanner auto-opened, and /add?mode=workout with current time; Back returned to the launcher. A warm lunch reminder opened exact /add?meal=lunch&amp;mode=food with heading 'Add food — Lunch', and a force-stopped cold workout link opened /add?mode=workout. An encoded reset token remained encoded and rendered the reset form. Unknown and malformed short-token links safely returned 404.</x:v>
      </x:c>
      <x:c r="L214" t="str">
        <x:v>DEF-019</x:v>
      </x:c>
      <x:c r="M214" t="str">
        <x:v>Functional routes passed. Signed-out intended-return behavior and a valid MCP approval link remain unexercised. DEF-019 separately tracks native build-installer idempotency.</x:v>
      </x:c>
    </x:row>
    <x:row r="215">
      <x:c r="A215" t="str">
        <x:v>RUN-0211</x:v>
      </x:c>
      <x:c r="B215" t="str">
        <x:v>ACC-068</x:v>
      </x:c>
      <x:c r="C215" t="str">
        <x:v>Initial</x:v>
      </x:c>
      <x:c r="D215" t="str">
        <x:v>Android</x:v>
      </x:c>
      <x:c r="E215" t="str">
        <x:v>Medium_Phone, Android 17, user 10</x:v>
      </x:c>
      <x:c r="F215" t="str">
        <x:v>Android 17</x:v>
      </x:c>
      <x:c r="G215" t="str">
        <x:v>9e9dcf1+dirty; com.spacemancodes.buff 1.0.0 (12)</x:v>
      </x:c>
      <x:c r="H215" s="60" t="n">
        <x:v>46267.61666666667</x:v>
      </x:c>
      <x:c r="I215" t="str">
        <x:v>Blocked</x:v>
      </x:c>
      <x:c r="J215" t="str">
        <x:v>/Users/mason/.codex/visualizations/2026/09/01/01a05def-1c0d-76d1-abc6-07c63a443582/emulator-runs/initial/android/ACC-068-assistant-instructions.png
/Users/mason/.codex/visualizations/2026/09/01/01a05def-1c0d-76d1-abc6-07c63a443582/emulator-runs/initial/android/ACC-068-copy-mcp-address.png
/Users/mason/.codex/visualizations/2026/09/01/01a05def-1c0d-76d1-abc6-07c63a443582/emulator-runs/initial/android/ACC-068-copy-denied-fallback.png
/Users/mason/.codex/visualizations/2026/09/01/01a05def-1c0d-76d1-abc6-07c63a443582/emulator-runs/initial/android/ACC-055-068-081-observations.json</x:v>
      </x:c>
      <x:c r="K215" t="str">
        <x:v>/settings/connected-assistants showed no connections, the readonly https://api.usebuff.app/mcp/buff endpoint, Add an assistant, Copy MCP address, and expandable Codex, ChatGPT, Claude, and Gemini guidance. Every instruction section opened with its full steps. Trusted-pointer copy dispatched buff:toast with 'MCP address copied.' A controlled clipboard denial showed role=status text 'Select the address above and copy it manually.'</x:v>
      </x:c>
      <x:c r="L215" t="str"/>
      <x:c r="M215" t="str">
        <x:v>The clipboard function was restored after the denial check. Missing-endpoint configuration and real OAuth/connection stages remain unexercised.</x:v>
      </x:c>
    </x:row>
    <x:row r="216">
      <x:c r="A216" t="str">
        <x:v>RUN-0212</x:v>
      </x:c>
      <x:c r="B216" t="str">
        <x:v>ACC-055</x:v>
      </x:c>
      <x:c r="C216" t="str">
        <x:v>Initial</x:v>
      </x:c>
      <x:c r="D216" t="str">
        <x:v>Android</x:v>
      </x:c>
      <x:c r="E216" t="str">
        <x:v>Medium_Phone, Android 17, user 10</x:v>
      </x:c>
      <x:c r="F216" t="str">
        <x:v>Android 17</x:v>
      </x:c>
      <x:c r="G216" t="str">
        <x:v>9e9dcf1+dirty; com.spacemancodes.buff 1.0.0 (12)</x:v>
      </x:c>
      <x:c r="H216" s="60" t="n">
        <x:v>46267.61666666667</x:v>
      </x:c>
      <x:c r="I216" t="str">
        <x:v>Blocked</x:v>
      </x:c>
      <x:c r="J216" t="str">
        <x:v>/Users/mason/.codex/visualizations/2026/09/01/01a05def-1c0d-76d1-abc6-07c63a443582/emulator-runs/initial/android/ACC-055-inactive-disclosures.png
/Users/mason/.codex/visualizations/2026/09/01/01a05def-1c0d-76d1-abc6-07c63a443582/emulator-runs/initial/android/ACC-055-068-081-observations.json</x:v>
      </x:c>
      <x:c r="K216" t="str">
        <x:v>The inactive subscription page showed Buff+ benefits, 'Subscriptions are temporarily unavailable.', Refresh status, and the legal disclosure. Terms, Privacy, and Support were HTTPS anchors to https://usebuff.app/terms/, https://usebuff.app/privacy/, and https://usebuff.app/support/, each with target=_blank and rel='noopener noreferrer'.</x:v>
      </x:c>
      <x:c r="L216" t="str"/>
      <x:c r="M216" t="str">
        <x:v>This inactive entitlement/plugin state did not expose the Google management URL, renewal/trial/cancellation copy, or native-browser failure fallback; those branches remain unexercised.</x:v>
      </x:c>
    </x:row>
    <x:row r="217">
      <x:c r="A217" t="str">
        <x:v>RUN-0213</x:v>
      </x:c>
      <x:c r="B217" t="str">
        <x:v>ACC-009</x:v>
      </x:c>
      <x:c r="C217" t="str">
        <x:v>Initial</x:v>
      </x:c>
      <x:c r="D217" t="str">
        <x:v>Android</x:v>
      </x:c>
      <x:c r="E217" t="str">
        <x:v>Medium_Phone, Android 17, user 10</x:v>
      </x:c>
      <x:c r="F217" t="str">
        <x:v>Android 17</x:v>
      </x:c>
      <x:c r="G217" t="str">
        <x:v>9e9dcf1+dirty; com.spacemancodes.buff 1.0.0 (12)</x:v>
      </x:c>
      <x:c r="H217" s="60" t="n">
        <x:v>46267.61944444444</x:v>
      </x:c>
      <x:c r="I217" t="str">
        <x:v>Blocked</x:v>
      </x:c>
      <x:c r="J217" t="str">
        <x:v>/Users/mason/.codex/visualizations/2026/09/01/01a05def-1c0d-76d1-abc6-07c63a443582/emulator-runs/initial/android/ACC-081-cold-workout-link.png
/Users/mason/.codex/visualizations/2026/09/01/01a05def-1c0d-76d1-abc6-07c63a443582/emulator-runs/initial/android/HLT-049-today-health-connect-only.png
/Users/mason/.codex/visualizations/2026/09/01/01a05def-1c0d-76d1-abc6-07c63a443582/emulator-runs/initial/android/ACC-009-070-071-075-HLT-049-observations.json</x:v>
      </x:c>
      <x:c r="K217" t="str">
        <x:v>After Buff was force-stopped, a cold VIEW of buff://add?mode=workout launched at exact /add?mode=workout while still signed in, with the user state intact.</x:v>
      </x:c>
      <x:c r="L217" t="str"/>
      <x:c r="M217" t="str">
        <x:v>Greater-than-24-hour rotation success/401/503 and corrupted encrypted-store recovery were not staged.</x:v>
      </x:c>
    </x:row>
    <x:row r="218">
      <x:c r="A218" t="str">
        <x:v>RUN-0214</x:v>
      </x:c>
      <x:c r="B218" t="str">
        <x:v>ACC-070</x:v>
      </x:c>
      <x:c r="C218" t="str">
        <x:v>Initial</x:v>
      </x:c>
      <x:c r="D218" t="str">
        <x:v>Android</x:v>
      </x:c>
      <x:c r="E218" t="str">
        <x:v>Medium_Phone, Android 17, user 10</x:v>
      </x:c>
      <x:c r="F218" t="str">
        <x:v>Android 17</x:v>
      </x:c>
      <x:c r="G218" t="str">
        <x:v>9e9dcf1+dirty; com.spacemancodes.buff 1.0.0 (12)</x:v>
      </x:c>
      <x:c r="H218" s="60" t="n">
        <x:v>46267.62013888889</x:v>
      </x:c>
      <x:c r="I218" t="str">
        <x:v>Blocked</x:v>
      </x:c>
      <x:c r="J218" t="str">
        <x:v>/Users/mason/.codex/visualizations/2026/09/01/01a05def-1c0d-76d1-abc6-07c63a443582/emulator-runs/initial/android/NUT-019-offline-custom-added.png
/Users/mason/.codex/visualizations/2026/09/01/01a05def-1c0d-76d1-abc6-07c63a443582/emulator-runs/initial/android/NUT-019-offline-relaunch-persisted.png
/Users/mason/.codex/visualizations/2026/09/01/01a05def-1c0d-76d1-abc6-07c63a443582/emulator-runs/initial/android/NUT-019-offline-edited.png
/Users/mason/.codex/visualizations/2026/09/01/01a05def-1c0d-76d1-abc6-07c63a443582/emulator-runs/initial/android/NUT-019-offline-repeated.png
/Users/mason/.codex/visualizations/2026/09/01/01a05def-1c0d-76d1-abc6-07c63a443582/emulator-runs/initial/android/NUT-019-offline-delete-complete.png
/Users/mason/.codex/visualizations/2026/09/01/01a05def-1c0d-76d1-abc6-07c63a443582/emulator-runs/initial/android/NUT-019-offline-recipe-saved.png
/Users/mason/.codex/visualizations/2026/09/01/01a05def-1c0d-76d1-abc6-07c63a443582/emulator-runs/initial/android/NUT-019-offline-recipe-logged.png
/Users/mason/.codex/visualizations/2026/09/01/01a05def-1c0d-76d1-abc6-07c63a443582/emulator-runs/initial/android/NUT-019-reconnected-persisted.png
/Users/mason/.codex/visualizations/2026/09/01/01a05def-1c0d-76d1-abc6-07c63a443582/emulator-runs/initial/android/NUT-019-offline-local-first-observations.json
/Users/mason/.codex/visualizations/2026/09/01/01a05def-1c0d-76d1-abc6-07c63a443582/emulator-runs/initial/android/ACC-009-070-071-075-HLT-049-observations.json</x:v>
      </x:c>
      <x:c r="K218" t="str">
        <x:v>Offline custom-meal create, edit, repeat, and delete plus recipe create and log survived force-stop/relaunch. Reconnect retained surviving rows, flushed successfully, and cleanup completed with pending 0 and last_error null.</x:v>
      </x:c>
      <x:c r="L218" t="str"/>
      <x:c r="M218" t="str">
        <x:v>Every configured sync model, one-row latest outbox snapshot/tombstone, bootstrap queue, clock precision, and the 500-row batch limit remain unexercised.</x:v>
      </x:c>
    </x:row>
    <x:row r="219">
      <x:c r="A219" t="str">
        <x:v>RUN-0215</x:v>
      </x:c>
      <x:c r="B219" t="str">
        <x:v>ACC-071</x:v>
      </x:c>
      <x:c r="C219" t="str">
        <x:v>Initial</x:v>
      </x:c>
      <x:c r="D219" t="str">
        <x:v>Android</x:v>
      </x:c>
      <x:c r="E219" t="str">
        <x:v>Medium_Phone, Android 17, user 10</x:v>
      </x:c>
      <x:c r="F219" t="str">
        <x:v>Android 17</x:v>
      </x:c>
      <x:c r="G219" t="str">
        <x:v>9e9dcf1+dirty; com.spacemancodes.buff 1.0.0 (12)</x:v>
      </x:c>
      <x:c r="H219" s="60" t="n">
        <x:v>46267.620833333334</x:v>
      </x:c>
      <x:c r="I219" t="str">
        <x:v>Blocked</x:v>
      </x:c>
      <x:c r="J219" t="str">
        <x:v>/Users/mason/.codex/visualizations/2026/09/01/01a05def-1c0d-76d1-abc6-07c63a443582/emulator-runs/initial/android/NUT-019-offline-relaunch-persisted.png
/Users/mason/.codex/visualizations/2026/09/01/01a05def-1c0d-76d1-abc6-07c63a443582/emulator-runs/initial/android/NUT-019-reconnected-persisted.png
/Users/mason/.codex/visualizations/2026/09/01/01a05def-1c0d-76d1-abc6-07c63a443582/emulator-runs/initial/android/NUT-019-offline-local-first-observations.json
/Users/mason/.codex/visualizations/2026/09/01/01a05def-1c0d-76d1-abc6-07c63a443582/emulator-runs/initial/android/ACC-081-cold-workout-link.png
/Users/mason/.codex/visualizations/2026/09/01/01a05def-1c0d-76d1-abc6-07c63a443582/emulator-runs/initial/android/ACC-075-sync-failure-invisible.png
/Users/mason/.codex/visualizations/2026/09/01/01a05def-1c0d-76d1-abc6-07c63a443582/emulator-runs/initial/android/ACC-009-070-071-075-HLT-049-observations.json</x:v>
      </x:c>
      <x:c r="K219" t="str">
        <x:v>Cold mount preserved the signed-in route, offline state survived process relaunch, reconnect recovered automatically, and the direct recovery POST /sync/resume succeeded.</x:v>
      </x:c>
      <x:c r="L219" t="str"/>
      <x:c r="M219" t="str">
        <x:v>Rapid focus/visible request serialization, due token rotation, and rotation 401/5xx branches were not staged.</x:v>
      </x:c>
    </x:row>
    <x:row r="220">
      <x:c r="A220" t="str">
        <x:v>RUN-0216</x:v>
      </x:c>
      <x:c r="B220" t="str">
        <x:v>ACC-075</x:v>
      </x:c>
      <x:c r="C220" t="str">
        <x:v>Initial</x:v>
      </x:c>
      <x:c r="D220" t="str">
        <x:v>Android</x:v>
      </x:c>
      <x:c r="E220" t="str">
        <x:v>Medium_Phone, Android 17, user 10</x:v>
      </x:c>
      <x:c r="F220" t="str">
        <x:v>Android 17</x:v>
      </x:c>
      <x:c r="G220" t="str">
        <x:v>9e9dcf1+dirty; com.spacemancodes.buff 1.0.0 (12)</x:v>
      </x:c>
      <x:c r="H220" s="60" t="n">
        <x:v>46267.621296296296</x:v>
      </x:c>
      <x:c r="I220" t="str">
        <x:v>Failed</x:v>
      </x:c>
      <x:c r="J220" t="str">
        <x:v>/Users/mason/.codex/visualizations/2026/09/01/01a05def-1c0d-76d1-abc6-07c63a443582/emulator-runs/initial/android/ACC-075-sync-failure-invisible.png
/Users/mason/.codex/visualizations/2026/09/01/01a05def-1c0d-76d1-abc6-07c63a443582/emulator-runs/initial/android/ACC-009-070-071-075-HLT-049-observations.json</x:v>
      </x:c>
      <x:c r="K220" t="str">
        <x:v>In airplane mode, local POST /sync/resume returned HTTP 503 with status ConnectionFailed and message 'Could not connect to Buff.' After reload, the UI showed only 'No internet connection'; it exposed neither that diagnostic nor an account-sync retry. After airplane mode was disabled, the same endpoint returned HTTP 200 Success with cursor 121 and last_succeeded_at 2026-09-02T14:54:40.869861Z.</x:v>
      </x:c>
      <x:c r="L220" t="str">
        <x:v>DEF-052</x:v>
      </x:c>
      <x:c r="M220" t="str">
        <x:v>Airplane mode was verified disabled after the successful recovery. DEF-052 tracks the invisible diagnostic and missing manual retry.</x:v>
      </x:c>
    </x:row>
    <x:row r="221">
      <x:c r="A221" t="str">
        <x:v>RUN-0217</x:v>
      </x:c>
      <x:c r="B221" t="str">
        <x:v>HLT-049</x:v>
      </x:c>
      <x:c r="C221" t="str">
        <x:v>Initial</x:v>
      </x:c>
      <x:c r="D221" t="str">
        <x:v>Android</x:v>
      </x:c>
      <x:c r="E221" t="str">
        <x:v>Medium_Phone, Android 17, user 10</x:v>
      </x:c>
      <x:c r="F221" t="str">
        <x:v>Android 17</x:v>
      </x:c>
      <x:c r="G221" t="str">
        <x:v>9e9dcf1+dirty; com.spacemancodes.buff 1.0.0 (12)</x:v>
      </x:c>
      <x:c r="H221" s="60" t="n">
        <x:v>46267.62222222222</x:v>
      </x:c>
      <x:c r="I221" t="str">
        <x:v>Passed</x:v>
      </x:c>
      <x:c r="J221" t="str">
        <x:v>/Users/mason/.codex/visualizations/2026/09/01/01a05def-1c0d-76d1-abc6-07c63a443582/emulator-runs/initial/android/HLT-049-android-health-connect-only.png
/Users/mason/.codex/visualizations/2026/09/01/01a05def-1c0d-76d1-abc6-07c63a443582/emulator-runs/initial/android/HLT-049-today-health-connect-only.png
/Users/mason/.codex/visualizations/2026/09/01/01a05def-1c0d-76d1-abc6-07c63a443582/emulator-runs/initial/android/ACC-009-070-071-075-HLT-049-observations.json</x:v>
      </x:c>
      <x:c r="K221" t="str">
        <x:v>/settings/health rendered only Health Connect, Connected, last sync, Sync now, and Disconnect, with zero Apple labels. GET /apple-health/status returned HTTP 200 with is_ios=false, supported=false, available=false, status unsupported, and 'Apple Health is only available on iOS.' Today showed two Health Connect workout rows and Sync with no Apple Health UI.</x:v>
      </x:c>
      <x:c r="L221" t="str"/>
      <x:c r="M221" t="str">
        <x:v>Android platform routing and the off-platform Apple endpoint both behaved as specified.</x:v>
      </x:c>
    </x:row>
    <x:row r="222">
      <x:c r="A222" t="str">
        <x:v>RUN-0218</x:v>
      </x:c>
      <x:c r="B222" t="str">
        <x:v>ACC-051</x:v>
      </x:c>
      <x:c r="C222" t="str">
        <x:v>Initial</x:v>
      </x:c>
      <x:c r="D222" t="str">
        <x:v>Android</x:v>
      </x:c>
      <x:c r="E222" t="str">
        <x:v>Medium_Phone, Android 17, user 10</x:v>
      </x:c>
      <x:c r="F222" t="str">
        <x:v>Android 17</x:v>
      </x:c>
      <x:c r="G222" t="str">
        <x:v>9e9dcf1+dirty; com.spacemancodes.buff 1.0.0 (12)</x:v>
      </x:c>
      <x:c r="H222" s="60" t="n">
        <x:v>46267.6231712963</x:v>
      </x:c>
      <x:c r="I222" t="str">
        <x:v>Blocked</x:v>
      </x:c>
      <x:c r="J222"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/Users/mason/.codex/visualizations/2026/09/01/01a05def-1c0d-76d1-abc6-07c63a443582/emulator-runs/initial/android/ACC-055-068-081-observations.json
/Users/mason/.codex/visualizations/2026/09/01/01a05def-1c0d-76d1-abc6-07c63a443582/emulator-runs/initial/android/ACC-051-052-NUT-058-080-buff-plus-blocked-observations.json</x:v>
      </x:c>
      <x:c r="K222" t="str">
        <x:v>Subscription rendered 'Subscriptions are temporarily unavailable.' with no monthly or annual purchase controls. Purchase and restore were not tapped. Purchase success, cancellation, pending, native failure, delayed authoritative confirmation, and already-active handling remain unexercised.</x:v>
      </x:c>
      <x:c r="L222" t="str"/>
      <x:c r="M222" t="str">
        <x:v>Blocked by the inactive entitlement/store fixture; no purchase outcome was inferred.</x:v>
      </x:c>
    </x:row>
    <x:row r="223">
      <x:c r="A223" t="str">
        <x:v>RUN-0219</x:v>
      </x:c>
      <x:c r="B223" t="str">
        <x:v>ACC-052</x:v>
      </x:c>
      <x:c r="C223" t="str">
        <x:v>Initial</x:v>
      </x:c>
      <x:c r="D223" t="str">
        <x:v>Android</x:v>
      </x:c>
      <x:c r="E223" t="str">
        <x:v>Medium_Phone, Android 17, user 10</x:v>
      </x:c>
      <x:c r="F223" t="str">
        <x:v>Android 17</x:v>
      </x:c>
      <x:c r="G223" t="str">
        <x:v>9e9dcf1+dirty; com.spacemancodes.buff 1.0.0 (12)</x:v>
      </x:c>
      <x:c r="H223" s="60" t="n">
        <x:v>46267.6231712963</x:v>
      </x:c>
      <x:c r="I223" t="str">
        <x:v>Blocked</x:v>
      </x:c>
      <x:c r="J223"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/Users/mason/.codex/visualizations/2026/09/01/01a05def-1c0d-76d1-abc6-07c63a443582/emulator-runs/initial/android/ACC-055-068-081-observations.json
/Users/mason/.codex/visualizations/2026/09/01/01a05def-1c0d-76d1-abc6-07c63a443582/emulator-runs/initial/android/ACC-051-052-NUT-058-080-buff-plus-blocked-observations.json</x:v>
      </x:c>
      <x:c r="K223" t="str">
        <x:v>Subscription rendered 'Subscriptions are temporarily unavailable.' with no Restore purchases control. Purchase and restore were not tapped. Active, empty, cross-account, native-failure, and server-failure restore outcomes remain unexercised.</x:v>
      </x:c>
      <x:c r="L223" t="str"/>
      <x:c r="M223" t="str">
        <x:v>Blocked by the inactive entitlement/store fixture; no restore outcome was inferred.</x:v>
      </x:c>
    </x:row>
    <x:row r="224">
      <x:c r="A224" t="str">
        <x:v>RUN-0220</x:v>
      </x:c>
      <x:c r="B224" t="str">
        <x:v>NUT-058</x:v>
      </x:c>
      <x:c r="C224" t="str">
        <x:v>Initial</x:v>
      </x:c>
      <x:c r="D224" t="str">
        <x:v>Android</x:v>
      </x:c>
      <x:c r="E224" t="str">
        <x:v>Medium_Phone, Android 17, user 10</x:v>
      </x:c>
      <x:c r="F224" t="str">
        <x:v>Android 17</x:v>
      </x:c>
      <x:c r="G224" t="str">
        <x:v>9e9dcf1+dirty; com.spacemancodes.buff 1.0.0 (12)</x:v>
      </x:c>
      <x:c r="H224" s="60" t="n">
        <x:v>46267.6231712963</x:v>
      </x:c>
      <x:c r="I224" t="str">
        <x:v>Blocked</x:v>
      </x:c>
      <x:c r="J224"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4" t="str">
        <x:v>Selecting Photo while free routed to Subscription, so the free local gate passed. Active-subscriber entry and the stale-local-entitlement server subscription_required branch remain pending because active Buff+ could not be provisioned in the current emulator.</x:v>
      </x:c>
      <x:c r="L224" t="str"/>
      <x:c r="M224" t="str">
        <x:v>Blocked overall despite the verified free gate because both required active/stale entitlement branches remain.</x:v>
      </x:c>
    </x:row>
    <x:row r="225">
      <x:c r="A225" t="str">
        <x:v>RUN-0221</x:v>
      </x:c>
      <x:c r="B225" t="str">
        <x:v>NUT-059</x:v>
      </x:c>
      <x:c r="C225" t="str">
        <x:v>Initial</x:v>
      </x:c>
      <x:c r="D225" t="str">
        <x:v>Android</x:v>
      </x:c>
      <x:c r="E225" t="str">
        <x:v>Medium_Phone, Android 17, user 10</x:v>
      </x:c>
      <x:c r="F225" t="str">
        <x:v>Android 17</x:v>
      </x:c>
      <x:c r="G225" t="str">
        <x:v>9e9dcf1+dirty; com.spacemancodes.buff 1.0.0 (12)</x:v>
      </x:c>
      <x:c r="H225" s="60" t="n">
        <x:v>46267.6231712963</x:v>
      </x:c>
      <x:c r="I225" t="str">
        <x:v>Blocked</x:v>
      </x:c>
      <x:c r="J225"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5" t="str">
        <x:v>Required downstream behavior: camera/library acquisition, three-photo capacity, previews and count, removal/re-add, object-URL cleanup, hidden actions at capacity, and Android permission states. It was unreachable solely because active Buff+ could not be provisioned in the current emulator.</x:v>
      </x:c>
      <x:c r="L225" t="str"/>
      <x:c r="M225" t="str">
        <x:v>No product result was inferred; the sole blocker was inability to provision active Buff+ in the current emulator.</x:v>
      </x:c>
    </x:row>
    <x:row r="226">
      <x:c r="A226" t="str">
        <x:v>RUN-0222</x:v>
      </x:c>
      <x:c r="B226" t="str">
        <x:v>NUT-060</x:v>
      </x:c>
      <x:c r="C226" t="str">
        <x:v>Initial</x:v>
      </x:c>
      <x:c r="D226" t="str">
        <x:v>Android</x:v>
      </x:c>
      <x:c r="E226" t="str">
        <x:v>Medium_Phone, Android 17, user 10</x:v>
      </x:c>
      <x:c r="F226" t="str">
        <x:v>Android 17</x:v>
      </x:c>
      <x:c r="G226" t="str">
        <x:v>9e9dcf1+dirty; com.spacemancodes.buff 1.0.0 (12)</x:v>
      </x:c>
      <x:c r="H226" s="60" t="n">
        <x:v>46267.6231712963</x:v>
      </x:c>
      <x:c r="I226" t="str">
        <x:v>Blocked</x:v>
      </x:c>
      <x:c r="J226"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6" t="str">
        <x:v>Required downstream behavior: decode and resize large/transparent images to at most 1600px, flatten to white JPEG, show Preparing photo, disable Analyze during preparation, and recover from corrupt/HEIC/WebP inputs. It was unreachable solely because active Buff+ could not be provisioned in the current emulator.</x:v>
      </x:c>
      <x:c r="L226" t="str"/>
      <x:c r="M226" t="str">
        <x:v>No product result was inferred; the sole blocker was inability to provision active Buff+ in the current emulator.</x:v>
      </x:c>
    </x:row>
    <x:row r="227">
      <x:c r="A227" t="str">
        <x:v>RUN-0223</x:v>
      </x:c>
      <x:c r="B227" t="str">
        <x:v>NUT-061</x:v>
      </x:c>
      <x:c r="C227" t="str">
        <x:v>Initial</x:v>
      </x:c>
      <x:c r="D227" t="str">
        <x:v>Android</x:v>
      </x:c>
      <x:c r="E227" t="str">
        <x:v>Medium_Phone, Android 17, user 10</x:v>
      </x:c>
      <x:c r="F227" t="str">
        <x:v>Android 17</x:v>
      </x:c>
      <x:c r="G227" t="str">
        <x:v>9e9dcf1+dirty; com.spacemancodes.buff 1.0.0 (12)</x:v>
      </x:c>
      <x:c r="H227" s="60" t="n">
        <x:v>46267.6231712963</x:v>
      </x:c>
      <x:c r="I227" t="str">
        <x:v>Blocked</x:v>
      </x:c>
      <x:c r="J227"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7" t="str">
        <x:v>Required downstream behavior: zero/one/three/four-photo limits, optional context at 1000/1001 characters, and tampered count, MIME, and 5 MiB validation. It was unreachable solely because active Buff+ could not be provisioned in the current emulator.</x:v>
      </x:c>
      <x:c r="L227" t="str"/>
      <x:c r="M227" t="str">
        <x:v>No product result was inferred; the sole blocker was inability to provision active Buff+ in the current emulator.</x:v>
      </x:c>
    </x:row>
    <x:row r="228">
      <x:c r="A228" t="str">
        <x:v>RUN-0224</x:v>
      </x:c>
      <x:c r="B228" t="str">
        <x:v>NUT-062</x:v>
      </x:c>
      <x:c r="C228" t="str">
        <x:v>Initial</x:v>
      </x:c>
      <x:c r="D228" t="str">
        <x:v>Android</x:v>
      </x:c>
      <x:c r="E228" t="str">
        <x:v>Medium_Phone, Android 17, user 10</x:v>
      </x:c>
      <x:c r="F228" t="str">
        <x:v>Android 17</x:v>
      </x:c>
      <x:c r="G228" t="str">
        <x:v>9e9dcf1+dirty; com.spacemancodes.buff 1.0.0 (12)</x:v>
      </x:c>
      <x:c r="H228" s="60" t="n">
        <x:v>46267.6231712963</x:v>
      </x:c>
      <x:c r="I228" t="str">
        <x:v>Blocked</x:v>
      </x:c>
      <x:c r="J228"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8" t="str">
        <x:v>Required downstream behavior: the full-screen live progress overlay, first-image preview, no-log-until-save copy, reduced motion, background/resume, system Back, and near-75-second timeout recovery. It was unreachable solely because active Buff+ could not be provisioned in the current emulator.</x:v>
      </x:c>
      <x:c r="L228" t="str"/>
      <x:c r="M228" t="str">
        <x:v>No product result was inferred; the sole blocker was inability to provision active Buff+ in the current emulator.</x:v>
      </x:c>
    </x:row>
    <x:row r="229">
      <x:c r="A229" t="str">
        <x:v>RUN-0225</x:v>
      </x:c>
      <x:c r="B229" t="str">
        <x:v>NUT-063</x:v>
      </x:c>
      <x:c r="C229" t="str">
        <x:v>Initial</x:v>
      </x:c>
      <x:c r="D229" t="str">
        <x:v>Android</x:v>
      </x:c>
      <x:c r="E229" t="str">
        <x:v>Medium_Phone, Android 17, user 10</x:v>
      </x:c>
      <x:c r="F229" t="str">
        <x:v>Android 17</x:v>
      </x:c>
      <x:c r="G229" t="str">
        <x:v>9e9dcf1+dirty; com.spacemancodes.buff 1.0.0 (12)</x:v>
      </x:c>
      <x:c r="H229" s="60" t="n">
        <x:v>46267.6231712963</x:v>
      </x:c>
      <x:c r="I229" t="str">
        <x:v>Blocked</x:v>
      </x:c>
      <x:c r="J229"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29" t="str">
        <x:v>Required downstream behavior: a successful private draft with name, portion, macros, derived calories, confidence, components, photo count, editable form population, and no meal logged before save. It was unreachable solely because active Buff+ could not be provisioned in the current emulator.</x:v>
      </x:c>
      <x:c r="L229" t="str"/>
      <x:c r="M229" t="str">
        <x:v>No product result was inferred; the sole blocker was inability to provision active Buff+ in the current emulator.</x:v>
      </x:c>
    </x:row>
    <x:row r="230">
      <x:c r="A230" t="str">
        <x:v>RUN-0226</x:v>
      </x:c>
      <x:c r="B230" t="str">
        <x:v>NUT-064</x:v>
      </x:c>
      <x:c r="C230" t="str">
        <x:v>Initial</x:v>
      </x:c>
      <x:c r="D230" t="str">
        <x:v>Android</x:v>
      </x:c>
      <x:c r="E230" t="str">
        <x:v>Medium_Phone, Android 17, user 10</x:v>
      </x:c>
      <x:c r="F230" t="str">
        <x:v>Android 17</x:v>
      </x:c>
      <x:c r="G230" t="str">
        <x:v>9e9dcf1+dirty; com.spacemancodes.buff 1.0.0 (12)</x:v>
      </x:c>
      <x:c r="H230" s="60" t="n">
        <x:v>46267.6231712963</x:v>
      </x:c>
      <x:c r="I230" t="str">
        <x:v>Blocked</x:v>
      </x:c>
      <x:c r="J230"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0" t="str">
        <x:v>Required downstream behavior: branded-product web-assisted nutrition compared with its label and a generic-dish estimate that remains reviewable. It was unreachable solely because active Buff+ could not be provisioned in the current emulator.</x:v>
      </x:c>
      <x:c r="L230" t="str"/>
      <x:c r="M230" t="str">
        <x:v>No product result was inferred; the sole blocker was inability to provision active Buff+ in the current emulator.</x:v>
      </x:c>
    </x:row>
    <x:row r="231">
      <x:c r="A231" t="str">
        <x:v>RUN-0227</x:v>
      </x:c>
      <x:c r="B231" t="str">
        <x:v>NUT-065</x:v>
      </x:c>
      <x:c r="C231" t="str">
        <x:v>Initial</x:v>
      </x:c>
      <x:c r="D231" t="str">
        <x:v>Android</x:v>
      </x:c>
      <x:c r="E231" t="str">
        <x:v>Medium_Phone, Android 17, user 10</x:v>
      </x:c>
      <x:c r="F231" t="str">
        <x:v>Android 17</x:v>
      </x:c>
      <x:c r="G231" t="str">
        <x:v>9e9dcf1+dirty; com.spacemancodes.buff 1.0.0 (12)</x:v>
      </x:c>
      <x:c r="H231" s="60" t="n">
        <x:v>46267.6231712963</x:v>
      </x:c>
      <x:c r="I231" t="str">
        <x:v>Blocked</x:v>
      </x:c>
      <x:c r="J231"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1" t="str">
        <x:v>Required downstream behavior: quota remaining and exhaustion, cancelled-analysis counting, targeted limit copy, and user-timezone midnight reset. It was unreachable solely because active Buff+ could not be provisioned in the current emulator.</x:v>
      </x:c>
      <x:c r="L231" t="str"/>
      <x:c r="M231" t="str">
        <x:v>No product result was inferred; the sole blocker was inability to provision active Buff+ in the current emulator.</x:v>
      </x:c>
    </x:row>
    <x:row r="232">
      <x:c r="A232" t="str">
        <x:v>RUN-0228</x:v>
      </x:c>
      <x:c r="B232" t="str">
        <x:v>NUT-066</x:v>
      </x:c>
      <x:c r="C232" t="str">
        <x:v>Initial</x:v>
      </x:c>
      <x:c r="D232" t="str">
        <x:v>Android</x:v>
      </x:c>
      <x:c r="E232" t="str">
        <x:v>Medium_Phone, Android 17, user 10</x:v>
      </x:c>
      <x:c r="F232" t="str">
        <x:v>Android 17</x:v>
      </x:c>
      <x:c r="G232" t="str">
        <x:v>9e9dcf1+dirty; com.spacemancodes.buff 1.0.0 (12)</x:v>
      </x:c>
      <x:c r="H232" s="60" t="n">
        <x:v>46267.6231712963</x:v>
      </x:c>
      <x:c r="I232" t="str">
        <x:v>Blocked</x:v>
      </x:c>
      <x:c r="J232"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2" t="str">
        <x:v>Required downstream behavior: cross-device create/create and create/follow-up contention, one-draft serialization, and clear meal_analysis_in_progress handling. It was unreachable solely because active Buff+ could not be provisioned in the current emulator.</x:v>
      </x:c>
      <x:c r="L232" t="str"/>
      <x:c r="M232" t="str">
        <x:v>No product result was inferred; the sole blocker was inability to provision active Buff+ in the current emulator.</x:v>
      </x:c>
    </x:row>
    <x:row r="233">
      <x:c r="A233" t="str">
        <x:v>RUN-0229</x:v>
      </x:c>
      <x:c r="B233" t="str">
        <x:v>NUT-067</x:v>
      </x:c>
      <x:c r="C233" t="str">
        <x:v>Initial</x:v>
      </x:c>
      <x:c r="D233" t="str">
        <x:v>Android</x:v>
      </x:c>
      <x:c r="E233" t="str">
        <x:v>Medium_Phone, Android 17, user 10</x:v>
      </x:c>
      <x:c r="F233" t="str">
        <x:v>Android 17</x:v>
      </x:c>
      <x:c r="G233" t="str">
        <x:v>9e9dcf1+dirty; com.spacemancodes.buff 1.0.0 (12)</x:v>
      </x:c>
      <x:c r="H233" s="60" t="n">
        <x:v>46267.6231712963</x:v>
      </x:c>
      <x:c r="I233" t="str">
        <x:v>Blocked</x:v>
      </x:c>
      <x:c r="J233"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3" t="str">
        <x:v>Required downstream behavior: rollback of privately stored photos after storage, provider, or schema failure, no usable draft, and cleanup-retry reporting. It was unreachable solely because active Buff+ could not be provisioned in the current emulator.</x:v>
      </x:c>
      <x:c r="L233" t="str"/>
      <x:c r="M233" t="str">
        <x:v>No product result was inferred; the sole blocker was inability to provision active Buff+ in the current emulator.</x:v>
      </x:c>
    </x:row>
    <x:row r="234">
      <x:c r="A234" t="str">
        <x:v>RUN-0230</x:v>
      </x:c>
      <x:c r="B234" t="str">
        <x:v>NUT-068</x:v>
      </x:c>
      <x:c r="C234" t="str">
        <x:v>Initial</x:v>
      </x:c>
      <x:c r="D234" t="str">
        <x:v>Android</x:v>
      </x:c>
      <x:c r="E234" t="str">
        <x:v>Medium_Phone, Android 17, user 10</x:v>
      </x:c>
      <x:c r="F234" t="str">
        <x:v>Android 17</x:v>
      </x:c>
      <x:c r="G234" t="str">
        <x:v>9e9dcf1+dirty; com.spacemancodes.buff 1.0.0 (12)</x:v>
      </x:c>
      <x:c r="H234" s="60" t="n">
        <x:v>46267.6231712963</x:v>
      </x:c>
      <x:c r="I234" t="str">
        <x:v>Blocked</x:v>
      </x:c>
      <x:c r="J234"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4" t="str">
        <x:v>Required downstream behavior: targeted subscription, quota, concurrent, invalid-output, and temporary-unavailable errors plus validation/server/timeout/malformed-success fallback, retained photos/note, retry, and no meal creation. It was unreachable solely because active Buff+ could not be provisioned in the current emulator.</x:v>
      </x:c>
      <x:c r="L234" t="str"/>
      <x:c r="M234" t="str">
        <x:v>No product result was inferred; the sole blocker was inability to provision active Buff+ in the current emulator.</x:v>
      </x:c>
    </x:row>
    <x:row r="235">
      <x:c r="A235" t="str">
        <x:v>RUN-0231</x:v>
      </x:c>
      <x:c r="B235" t="str">
        <x:v>NUT-069</x:v>
      </x:c>
      <x:c r="C235" t="str">
        <x:v>Initial</x:v>
      </x:c>
      <x:c r="D235" t="str">
        <x:v>Android</x:v>
      </x:c>
      <x:c r="E235" t="str">
        <x:v>Medium_Phone, Android 17, user 10</x:v>
      </x:c>
      <x:c r="F235" t="str">
        <x:v>Android 17</x:v>
      </x:c>
      <x:c r="G235" t="str">
        <x:v>9e9dcf1+dirty; com.spacemancodes.buff 1.0.0 (12)</x:v>
      </x:c>
      <x:c r="H235" s="60" t="n">
        <x:v>46267.6231712963</x:v>
      </x:c>
      <x:c r="I235" t="str">
        <x:v>Blocked</x:v>
      </x:c>
      <x:c r="J235"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5" t="str">
        <x:v>Required downstream behavior: offline, missing-token, and expired-token analysis/follow-up must create no draft or meal, retain the unsaved form, and retry after reconnect or sign-in. It was unreachable solely because active Buff+ could not be provisioned in the current emulator.</x:v>
      </x:c>
      <x:c r="L235" t="str"/>
      <x:c r="M235" t="str">
        <x:v>No product result was inferred; the sole blocker was inability to provision active Buff+ in the current emulator.</x:v>
      </x:c>
    </x:row>
    <x:row r="236">
      <x:c r="A236" t="str">
        <x:v>RUN-0232</x:v>
      </x:c>
      <x:c r="B236" t="str">
        <x:v>NUT-070</x:v>
      </x:c>
      <x:c r="C236" t="str">
        <x:v>Initial</x:v>
      </x:c>
      <x:c r="D236" t="str">
        <x:v>Android</x:v>
      </x:c>
      <x:c r="E236" t="str">
        <x:v>Medium_Phone, Android 17, user 10</x:v>
      </x:c>
      <x:c r="F236" t="str">
        <x:v>Android 17</x:v>
      </x:c>
      <x:c r="G236" t="str">
        <x:v>9e9dcf1+dirty; com.spacemancodes.buff 1.0.0 (12)</x:v>
      </x:c>
      <x:c r="H236" s="60" t="n">
        <x:v>46267.6231712963</x:v>
      </x:c>
      <x:c r="I236" t="str">
        <x:v>Blocked</x:v>
      </x:c>
      <x:c r="J236"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6" t="str">
        <x:v>Required downstream behavior: editing name, quantity/unit, all macros, and meal type; live calorie recomputation; standard validation; and saving edited rather than original values. It was unreachable solely because active Buff+ could not be provisioned in the current emulator.</x:v>
      </x:c>
      <x:c r="L236" t="str"/>
      <x:c r="M236" t="str">
        <x:v>No product result was inferred; the sole blocker was inability to provision active Buff+ in the current emulator.</x:v>
      </x:c>
    </x:row>
    <x:row r="237">
      <x:c r="A237" t="str">
        <x:v>RUN-0233</x:v>
      </x:c>
      <x:c r="B237" t="str">
        <x:v>NUT-071</x:v>
      </x:c>
      <x:c r="C237" t="str">
        <x:v>Initial</x:v>
      </x:c>
      <x:c r="D237" t="str">
        <x:v>Android</x:v>
      </x:c>
      <x:c r="E237" t="str">
        <x:v>Medium_Phone, Android 17, user 10</x:v>
      </x:c>
      <x:c r="F237" t="str">
        <x:v>Android 17</x:v>
      </x:c>
      <x:c r="G237" t="str">
        <x:v>9e9dcf1+dirty; com.spacemancodes.buff 1.0.0 (12)</x:v>
      </x:c>
      <x:c r="H237" s="60" t="n">
        <x:v>46267.6231712963</x:v>
      </x:c>
      <x:c r="I237" t="str">
        <x:v>Blocked</x:v>
      </x:c>
      <x:c r="J237"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7" t="str">
        <x:v>Required downstream behavior: two successive corrections using stored photos and the latest estimate, full field reapplication, closed sheet, 'Estimate updated' toast, and another follow-up. It was unreachable solely because active Buff+ could not be provisioned in the current emulator.</x:v>
      </x:c>
      <x:c r="L237" t="str"/>
      <x:c r="M237" t="str">
        <x:v>No product result was inferred; the sole blocker was inability to provision active Buff+ in the current emulator.</x:v>
      </x:c>
    </x:row>
    <x:row r="238">
      <x:c r="A238" t="str">
        <x:v>RUN-0234</x:v>
      </x:c>
      <x:c r="B238" t="str">
        <x:v>NUT-072</x:v>
      </x:c>
      <x:c r="C238" t="str">
        <x:v>Initial</x:v>
      </x:c>
      <x:c r="D238" t="str">
        <x:v>Android</x:v>
      </x:c>
      <x:c r="E238" t="str">
        <x:v>Medium_Phone, Android 17, user 10</x:v>
      </x:c>
      <x:c r="F238" t="str">
        <x:v>Android 17</x:v>
      </x:c>
      <x:c r="G238" t="str">
        <x:v>9e9dcf1+dirty; com.spacemancodes.buff 1.0.0 (12)</x:v>
      </x:c>
      <x:c r="H238" s="60" t="n">
        <x:v>46267.6231712963</x:v>
      </x:c>
      <x:c r="I238" t="str">
        <x:v>Blocked</x:v>
      </x:c>
      <x:c r="J238"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8" t="str">
        <x:v>Required downstream behavior: blank/oversized correction, expired/cancelled/confirmed/other-user draft, revoked entitlement, retained review values, visible errors, retry, and manual-save availability. It was unreachable solely because active Buff+ could not be provisioned in the current emulator.</x:v>
      </x:c>
      <x:c r="L238" t="str"/>
      <x:c r="M238" t="str">
        <x:v>No product result was inferred; the sole blocker was inability to provision active Buff+ in the current emulator.</x:v>
      </x:c>
    </x:row>
    <x:row r="239">
      <x:c r="A239" t="str">
        <x:v>RUN-0235</x:v>
      </x:c>
      <x:c r="B239" t="str">
        <x:v>NUT-073</x:v>
      </x:c>
      <x:c r="C239" t="str">
        <x:v>Initial</x:v>
      </x:c>
      <x:c r="D239" t="str">
        <x:v>Android</x:v>
      </x:c>
      <x:c r="E239" t="str">
        <x:v>Medium_Phone, Android 17, user 10</x:v>
      </x:c>
      <x:c r="F239" t="str">
        <x:v>Android 17</x:v>
      </x:c>
      <x:c r="G239" t="str">
        <x:v>9e9dcf1+dirty; com.spacemancodes.buff 1.0.0 (12)</x:v>
      </x:c>
      <x:c r="H239" s="60" t="n">
        <x:v>46267.6231712963</x:v>
      </x:c>
      <x:c r="I239" t="str">
        <x:v>Blocked</x:v>
      </x:c>
      <x:c r="J239"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39" t="str">
        <x:v>Required downstream behavior: online/offline draft cancellation, no logged meal, photo purge or expiry cleanup, swallowed delete failure, and confirmed-id rejection. It was unreachable solely because active Buff+ could not be provisioned in the current emulator.</x:v>
      </x:c>
      <x:c r="L239" t="str"/>
      <x:c r="M239" t="str">
        <x:v>No product result was inferred; the sole blocker was inability to provision active Buff+ in the current emulator.</x:v>
      </x:c>
    </x:row>
    <x:row r="240">
      <x:c r="A240" t="str">
        <x:v>RUN-0236</x:v>
      </x:c>
      <x:c r="B240" t="str">
        <x:v>NUT-074</x:v>
      </x:c>
      <x:c r="C240" t="str">
        <x:v>Initial</x:v>
      </x:c>
      <x:c r="D240" t="str">
        <x:v>Android</x:v>
      </x:c>
      <x:c r="E240" t="str">
        <x:v>Medium_Phone, Android 17, user 10</x:v>
      </x:c>
      <x:c r="F240" t="str">
        <x:v>Android 17</x:v>
      </x:c>
      <x:c r="G240" t="str">
        <x:v>9e9dcf1+dirty; com.spacemancodes.buff 1.0.0 (12)</x:v>
      </x:c>
      <x:c r="H240" s="60" t="n">
        <x:v>46267.6231712963</x:v>
      </x:c>
      <x:c r="I240" t="str">
        <x:v>Blocked</x:v>
      </x:c>
      <x:c r="J240"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0" t="str">
        <x:v>Required downstream behavior: online/offline save of the edited draft creates one immediate local custom meal on the selected date/type with exact macros and the photo-attachment toast. It was unreachable solely because active Buff+ could not be provisioned in the current emulator.</x:v>
      </x:c>
      <x:c r="L240" t="str"/>
      <x:c r="M240" t="str">
        <x:v>No product result was inferred; the sole blocker was inability to provision active Buff+ in the current emulator.</x:v>
      </x:c>
    </x:row>
    <x:row r="241">
      <x:c r="A241" t="str">
        <x:v>RUN-0237</x:v>
      </x:c>
      <x:c r="B241" t="str">
        <x:v>NUT-075</x:v>
      </x:c>
      <x:c r="C241" t="str">
        <x:v>Initial</x:v>
      </x:c>
      <x:c r="D241" t="str">
        <x:v>Android</x:v>
      </x:c>
      <x:c r="E241" t="str">
        <x:v>Medium_Phone, Android 17, user 10</x:v>
      </x:c>
      <x:c r="F241" t="str">
        <x:v>Android 17</x:v>
      </x:c>
      <x:c r="G241" t="str">
        <x:v>9e9dcf1+dirty; com.spacemancodes.buff 1.0.0 (12)</x:v>
      </x:c>
      <x:c r="H241" s="60" t="n">
        <x:v>46267.6231712963</x:v>
      </x:c>
      <x:c r="I241" t="str">
        <x:v>Blocked</x:v>
      </x:c>
      <x:c r="J241"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1" t="str">
        <x:v>Required downstream behavior: meal outbox sync before confirmation, persisted confirmation failure, later retry after successful sync, and eventual remote photo attachment. It was unreachable solely because active Buff+ could not be provisioned in the current emulator.</x:v>
      </x:c>
      <x:c r="L241" t="str"/>
      <x:c r="M241" t="str">
        <x:v>No product result was inferred; the sole blocker was inability to provision active Buff+ in the current emulator.</x:v>
      </x:c>
    </x:row>
    <x:row r="242">
      <x:c r="A242" t="str">
        <x:v>RUN-0238</x:v>
      </x:c>
      <x:c r="B242" t="str">
        <x:v>NUT-076</x:v>
      </x:c>
      <x:c r="C242" t="str">
        <x:v>Initial</x:v>
      </x:c>
      <x:c r="D242" t="str">
        <x:v>Android</x:v>
      </x:c>
      <x:c r="E242" t="str">
        <x:v>Medium_Phone, Android 17, user 10</x:v>
      </x:c>
      <x:c r="F242" t="str">
        <x:v>Android 17</x:v>
      </x:c>
      <x:c r="G242" t="str">
        <x:v>9e9dcf1+dirty; com.spacemancodes.buff 1.0.0 (12)</x:v>
      </x:c>
      <x:c r="H242" s="60" t="n">
        <x:v>46267.6231712963</x:v>
      </x:c>
      <x:c r="I242" t="str">
        <x:v>Blocked</x:v>
      </x:c>
      <x:c r="J242"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2" t="str">
        <x:v>Required downstream behavior: idempotent duplicate confirmation, ownership, active non-expired draft, existing synced meal, and safe absent/deleted/expired/cancelled/other-user rejection. It was unreachable solely because active Buff+ could not be provisioned in the current emulator.</x:v>
      </x:c>
      <x:c r="L242" t="str"/>
      <x:c r="M242" t="str">
        <x:v>No product result was inferred; the sole blocker was inability to provision active Buff+ in the current emulator.</x:v>
      </x:c>
    </x:row>
    <x:row r="243">
      <x:c r="A243" t="str">
        <x:v>RUN-0239</x:v>
      </x:c>
      <x:c r="B243" t="str">
        <x:v>NUT-077</x:v>
      </x:c>
      <x:c r="C243" t="str">
        <x:v>Initial</x:v>
      </x:c>
      <x:c r="D243" t="str">
        <x:v>Android</x:v>
      </x:c>
      <x:c r="E243" t="str">
        <x:v>Medium_Phone, Android 17, user 10</x:v>
      </x:c>
      <x:c r="F243" t="str">
        <x:v>Android 17</x:v>
      </x:c>
      <x:c r="G243" t="str">
        <x:v>9e9dcf1+dirty; com.spacemancodes.buff 1.0.0 (12)</x:v>
      </x:c>
      <x:c r="H243" s="60" t="n">
        <x:v>46267.6231712963</x:v>
      </x:c>
      <x:c r="I243" t="str">
        <x:v>Blocked</x:v>
      </x:c>
      <x:c r="J243"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3" t="str">
        <x:v>Required downstream behavior: loading and ordering one to three confirmed photos, spinner behavior, ordinary/pending no-gallery handling, and stale-request protection while switching meals. It was unreachable solely because active Buff+ could not be provisioned in the current emulator.</x:v>
      </x:c>
      <x:c r="L243" t="str"/>
      <x:c r="M243" t="str">
        <x:v>No product result was inferred; the sole blocker was inability to provision active Buff+ in the current emulator.</x:v>
      </x:c>
    </x:row>
    <x:row r="244">
      <x:c r="A244" t="str">
        <x:v>RUN-0240</x:v>
      </x:c>
      <x:c r="B244" t="str">
        <x:v>NUT-078</x:v>
      </x:c>
      <x:c r="C244" t="str">
        <x:v>Initial</x:v>
      </x:c>
      <x:c r="D244" t="str">
        <x:v>Android</x:v>
      </x:c>
      <x:c r="E244" t="str">
        <x:v>Medium_Phone, Android 17, user 10</x:v>
      </x:c>
      <x:c r="F244" t="str">
        <x:v>Android 17</x:v>
      </x:c>
      <x:c r="G244" t="str">
        <x:v>9e9dcf1+dirty; com.spacemancodes.buff 1.0.0 (12)</x:v>
      </x:c>
      <x:c r="H244" s="60" t="n">
        <x:v>46267.6231712963</x:v>
      </x:c>
      <x:c r="I244" t="str">
        <x:v>Blocked</x:v>
      </x:c>
      <x:c r="J244"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4" t="str">
        <x:v>Required downstream behavior: offline, expired-token, and server-500 gallery load failures, their absent error/retry state, and reconnect behavior while detail remains open. It was unreachable solely because active Buff+ could not be provisioned in the current emulator.</x:v>
      </x:c>
      <x:c r="L244" t="str"/>
      <x:c r="M244" t="str">
        <x:v>No product result was inferred; the sole blocker was inability to provision active Buff+ in the current emulator.</x:v>
      </x:c>
    </x:row>
    <x:row r="245">
      <x:c r="A245" t="str">
        <x:v>RUN-0241</x:v>
      </x:c>
      <x:c r="B245" t="str">
        <x:v>NUT-079</x:v>
      </x:c>
      <x:c r="C245" t="str">
        <x:v>Initial</x:v>
      </x:c>
      <x:c r="D245" t="str">
        <x:v>Android</x:v>
      </x:c>
      <x:c r="E245" t="str">
        <x:v>Medium_Phone, Android 17, user 10</x:v>
      </x:c>
      <x:c r="F245" t="str">
        <x:v>Android 17</x:v>
      </x:c>
      <x:c r="G245" t="str">
        <x:v>9e9dcf1+dirty; com.spacemancodes.buff 1.0.0 (12)</x:v>
      </x:c>
      <x:c r="H245" s="60" t="n">
        <x:v>46267.6231712963</x:v>
      </x:c>
      <x:c r="I245" t="str">
        <x:v>Blocked</x:v>
      </x:c>
      <x:c r="J245"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5" t="str">
        <x:v>Required downstream behavior: authenticated owner access, second-account and unknown-meal 404s, ten-minute temporary URL expiry, and refreshed URLs after reopening. It was unreachable solely because active Buff+ could not be provisioned in the current emulator.</x:v>
      </x:c>
      <x:c r="L245" t="str"/>
      <x:c r="M245" t="str">
        <x:v>No product result was inferred; the sole blocker was inability to provision active Buff+ in the current emulator.</x:v>
      </x:c>
    </x:row>
    <x:row r="246">
      <x:c r="A246" t="str">
        <x:v>RUN-0242</x:v>
      </x:c>
      <x:c r="B246" t="str">
        <x:v>NUT-080</x:v>
      </x:c>
      <x:c r="C246" t="str">
        <x:v>Initial</x:v>
      </x:c>
      <x:c r="D246" t="str">
        <x:v>Android</x:v>
      </x:c>
      <x:c r="E246" t="str">
        <x:v>Medium_Phone, Android 17, user 10</x:v>
      </x:c>
      <x:c r="F246" t="str">
        <x:v>Android 17</x:v>
      </x:c>
      <x:c r="G246" t="str">
        <x:v>9e9dcf1+dirty; com.spacemancodes.buff 1.0.0 (12)</x:v>
      </x:c>
      <x:c r="H246" s="60" t="n">
        <x:v>46267.6231712963</x:v>
      </x:c>
      <x:c r="I246" t="str">
        <x:v>Blocked</x:v>
      </x:c>
      <x:c r="J246" t="str">
        <x:v>/Users/mason/.codex/visualizations/2026/09/01/01a05def-1c0d-76d1-abc6-07c63a443582/emulator-runs/initial/android/NUT-058-free-subscription-gate.png
/Users/mason/.codex/visualizations/2026/09/01/01a05def-1c0d-76d1-abc6-07c63a443582/emulator-runs/initial/android/ACC-055-inactive-disclosures.png
/Users/mason/.codex/visualizations/2026/09/01/01a05def-1c0d-76d1-abc6-07c63a443582/emulator-runs/initial/android/ACC-051-052-NUT-058-080-buff-plus-blocked-observations.json</x:v>
      </x:c>
      <x:c r="K246" t="str">
        <x:v>Required downstream behavior: online/offline deletion, immediate local disappearance, remote availability while pending, tombstone sync, endpoint removal, and storage-file cleanup. It was unreachable solely because active Buff+ could not be provisioned in the current emulator.</x:v>
      </x:c>
      <x:c r="L246" t="str"/>
      <x:c r="M246" t="str">
        <x:v>No product result was inferred; the sole blocker was inability to provision active Buff+ in the current emulator.</x:v>
      </x:c>
    </x:row>
    <x:row r="247">
      <x:c r="A247" t="str">
        <x:v>RUN-0243</x:v>
      </x:c>
      <x:c r="B247" t="str">
        <x:v>ACC-023</x:v>
      </x:c>
      <x:c r="C247" t="str">
        <x:v>Initial</x:v>
      </x:c>
      <x:c r="D247" t="str">
        <x:v>Android</x:v>
      </x:c>
      <x:c r="E247" t="str">
        <x:v>Medium_Phone, Android 17, user 10</x:v>
      </x:c>
      <x:c r="F247" t="str">
        <x:v>Android 17</x:v>
      </x:c>
      <x:c r="G247" t="str">
        <x:v>9e9dcf1+dirty; com.spacemancodes.buff 1.0.0 (12)</x:v>
      </x:c>
      <x:c r="H247" s="60" t="n">
        <x:v>46267.62946759259</x:v>
      </x:c>
      <x:c r="I247" t="str">
        <x:v>Blocked</x:v>
      </x:c>
      <x:c r="J247" t="str">
        <x:v>/Users/mason/.codex/visualizations/2026/09/01/01a05def-1c0d-76d1-abc6-07c63a443582/emulator-runs/initial/android/ACC-023-password-validation.png
/Users/mason/.codex/visualizations/2026/09/01/01a05def-1c0d-76d1-abc6-07c63a443582/emulator-runs/initial/android/ACC-023-024-account-security-observations.json</x:v>
      </x:c>
      <x:c r="K247" t="str">
        <x:v>A seven-character new password returned 'The password field must be at least 8 characters'; an eleven-character confirmation mismatch returned 'The password field confirmation does not match'; and an incorrect current password with valid matching new fields returned 'The password is incorrect'. Autocomplete was current-password/new-password/new-password. The new-password reveal changed the input from password to text and its aria-label from 'Show password' to 'Hide password'. The reset route was prefilled for the signed-in account; no email value was recorded.</x:v>
      </x:c>
      <x:c r="L247" t="str"/>
      <x:c r="M247" t="str">
        <x:v>Blocked because a valid password change, sign-in with the new password, successful form clear, and platform autofill interaction were not performed. No entered password values were recorded.</x:v>
      </x:c>
    </x:row>
    <x:row r="248">
      <x:c r="A248" t="str">
        <x:v>RUN-0244</x:v>
      </x:c>
      <x:c r="B248" t="str">
        <x:v>ACC-024</x:v>
      </x:c>
      <x:c r="C248" t="str">
        <x:v>Initial</x:v>
      </x:c>
      <x:c r="D248" t="str">
        <x:v>Android</x:v>
      </x:c>
      <x:c r="E248" t="str">
        <x:v>Medium_Phone, Android 17, user 10</x:v>
      </x:c>
      <x:c r="F248" t="str">
        <x:v>Android 17</x:v>
      </x:c>
      <x:c r="G248" t="str">
        <x:v>9e9dcf1+dirty; com.spacemancodes.buff 1.0.0 (12)</x:v>
      </x:c>
      <x:c r="H248" s="60" t="n">
        <x:v>46267.631273148145</x:v>
      </x:c>
      <x:c r="I248" t="str">
        <x:v>Blocked</x:v>
      </x:c>
      <x:c r="J248" t="str">
        <x:v>/Users/mason/.codex/visualizations/2026/09/01/01a05def-1c0d-76d1-abc6-07c63a443582/emulator-runs/initial/android/ACC-024-delete-modal.png
/Users/mason/.codex/visualizations/2026/09/01/01a05def-1c0d-76d1-abc6-07c63a443582/emulator-runs/initial/android/ACC-024-delete-offline-retained.png
/Users/mason/.codex/visualizations/2026/09/01/01a05def-1c0d-76d1-abc6-07c63a443582/emulator-runs/initial/android/ACC-023-024-account-security-observations.json</x:v>
      </x:c>
      <x:c r="K248" t="str">
        <x:v>The modal described irreversible deletion of the Buff account and all synced data, offered the reset alternative, warned that deletion does not cancel an App Store or Google Play subscription, and used current-password autocomplete. Cancel closed the sheet without state loss. An incorrect password kept the sheet open with 'The password is incorrect'. Offline submission kept the sheet and account with 'Buff could not reach the account service. Check your connection.' Airplane mode was then disabled and online connectivity restored.</x:v>
      </x:c>
      <x:c r="L248" t="str"/>
      <x:c r="M248" t="str">
        <x:v>Blocked because correct destructive deletion, post-deletion sign-in failure, and post-deletion API failure were not executed. No entered password value was recorded.</x:v>
      </x:c>
    </x:row>
    <x:row r="249">
      <x:c r="A249" t="str">
        <x:v>RUN-0245</x:v>
      </x:c>
      <x:c r="B249" t="str">
        <x:v>ACC-057</x:v>
      </x:c>
      <x:c r="C249" t="str">
        <x:v>Initial</x:v>
      </x:c>
      <x:c r="D249" t="str">
        <x:v>Android</x:v>
      </x:c>
      <x:c r="E249" t="str">
        <x:v>Medium_Phone, Android 17, user 10</x:v>
      </x:c>
      <x:c r="F249" t="str">
        <x:v>Android 17</x:v>
      </x:c>
      <x:c r="G249" t="str">
        <x:v>9e9dcf1+dirty; com.spacemancodes.buff 1.0.0 (12)</x:v>
      </x:c>
      <x:c r="H249" s="60" t="n">
        <x:v>46267.6358912037</x:v>
      </x:c>
      <x:c r="I249" t="str">
        <x:v>Blocked</x:v>
      </x:c>
      <x:c r="J249" t="str">
        <x:v>/Users/mason/.codex/visualizations/2026/09/01/01a05def-1c0d-76d1-abc6-07c63a443582/emulator-runs/initial/android/ACC-057-teen-age17.png
/Users/mason/.codex/visualizations/2026/09/01/01a05def-1c0d-76d1-abc6-07c63a443582/emulator-runs/initial/android/ACC-057-adult-boundary-age18.png
/Users/mason/.codex/visualizations/2026/09/01/01a05def-1c0d-76d1-abc6-07c63a443582/emulator-runs/initial/android/ACC-057-teen-safe-advertising-observations.json</x:v>
      </x:c>
      <x:c r="K249" t="str">
        <x:v>The QA profile began at age 30. After age was saved as 17 through /settings/body-profile, cold launch PID 11774 logged two Admob.ConfigurePolicy calls with under_age_of_consent=true, non_personalized=true, and max_content_rating='T', then invoked UmpRequestInfo. After restoring age 30, cold launch PID 12074 logged false/false/'T' and invoked UmpRequestInfo and UmpShowForm. At the exact age-18 boundary, cold launch PID 12268 again logged false/false/'T' and invoked UmpRequestInfo and UmpShowForm. Age 30 was finally restored through the UI, the input value was verified as 30, and navigator online was true.</x:v>
      </x:c>
      <x:c r="L249" t="str"/>
      <x:c r="M249" t="str">
        <x:v>Blocked because the missing-age fallback, exact age-13 case, in-flight audience-change invalidation, and Android ATT non-applicability/log absence were not fully staged. No defect was created.</x:v>
      </x:c>
    </x:row>
    <x:row r="250">
      <x:c r="A250" t="str">
        <x:v>RUN-0246</x:v>
      </x:c>
      <x:c r="B250" t="str">
        <x:v>NUT-023</x:v>
      </x:c>
      <x:c r="C250" t="str">
        <x:v>Initial</x:v>
      </x:c>
      <x:c r="D250" t="str">
        <x:v>Android</x:v>
      </x:c>
      <x:c r="E250" t="str">
        <x:v>Medium_Phone, Android 17, user 10</x:v>
      </x:c>
      <x:c r="F250" t="str">
        <x:v>Android 17</x:v>
      </x:c>
      <x:c r="G250" t="str">
        <x:v>9e9dcf1+dirty; com.spacemancodes.buff 1.0.0 (12)</x:v>
      </x:c>
      <x:c r="H250" s="60" t="n">
        <x:v>46267.638032407405</x:v>
      </x:c>
      <x:c r="I250" t="str">
        <x:v>Failed</x:v>
      </x:c>
      <x:c r="J250" t="str">
        <x:v>/Users/mason/.codex/visualizations/2026/09/01/01a05def-1c0d-76d1-abc6-07c63a443582/emulator-runs/initial/android/NUT-023-fr-locale-request-omitted.png
/Users/mason/.codex/visualizations/2026/09/01/01a05def-1c0d-76d1-abc6-07c63a443582/emulator-runs/initial/android/NUT-023-fr-locale-request-observations.json
/Users/mason/.codex/visualizations/2026/09/01/01a05def-1c0d-76d1-abc6-07c63a443582/emulator-runs/initial/android/NUT-021-search-query-omitted.json</x:v>
      </x:c>
      <x:c r="K250" t="str">
        <x:v>With the Android app locale set to fr-FR, cold-launch PID 12613 reported navigator.language fr-FR, navigator.languages [fr-FR, en-US], and online true. On /add?mode=food the visible search value was 'yogurt'. Behavior-preserving fetch and XHR instrumentation captured one debounced request: fetch GET /food-products/search with a null body. The screen displayed 'No products found.' Neither the visible query nor fr-FR preferred locale was sent, so localized catalogue/cache behavior could not work.</x:v>
      </x:c>
      <x:c r="L250" t="str">
        <x:v>DEF-072</x:v>
      </x:c>
      <x:c r="M250" t="str">
        <x:v>Failed against the existing Android query-omission defect. The app locale override was restored to empty; after force-stop/relaunch PID 12837, get-app-locales was [], navigator.language was en-US, navigator.languages was [en-US], and online was true. No new defect was created.</x:v>
      </x:c>
    </x:row>
    <x:row r="251">
      <x:c r="A251" t="str">
        <x:v>RUN-0247</x:v>
      </x:c>
      <x:c r="B251" t="str">
        <x:v>ACC-054</x:v>
      </x:c>
      <x:c r="C251" t="str">
        <x:v>Initial</x:v>
      </x:c>
      <x:c r="D251" t="str">
        <x:v>Android</x:v>
      </x:c>
      <x:c r="E251" t="str">
        <x:v>Medium_Phone, Android 17, user 10</x:v>
      </x:c>
      <x:c r="F251" t="str">
        <x:v>Android 17</x:v>
      </x:c>
      <x:c r="G251" t="str">
        <x:v>9e9dcf1+dirty; com.spacemancodes.buff 1.0.0 (12)</x:v>
      </x:c>
      <x:c r="H251" s="60" t="n">
        <x:v>46267.63611111111</x:v>
      </x:c>
      <x:c r="I251" t="str">
        <x:v>Blocked</x:v>
      </x:c>
      <x:c r="J251" t="str">
        <x:v>/Users/mason/.codex/visualizations/2026/09/01/01a05def-1c0d-76d1-abc6-07c63a443582/emulator-runs/initial/android/ACC-051-052-NUT-058-080-buff-plus-blocked-observations.json
/Users/mason/.codex/visualizations/2026/09/01/01a05def-1c0d-76d1-abc6-07c63a443582/emulator-runs/initial/android/ACC-054-063-076-HLT-013-047-NUT-109-111-blocker-observations.json</x:v>
      </x:c>
      <x:c r="K251" t="str">
        <x:v>The account remained Inactive and Subscription reported 'Subscriptions are temporarily unavailable.' The free photo entry point routed to that screen.</x:v>
      </x:c>
      <x:c r="L251" t="str"/>
      <x:c r="M251" t="str">
        <x:v>RevenueCat renewal, grace, refund, expiry, alias/transfer, signed webhook, queue retry, and subsequent account refresh require an active Google Play sandbox fixture that was unavailable.</x:v>
      </x:c>
    </x:row>
    <x:row r="252">
      <x:c r="A252" t="str">
        <x:v>RUN-0248</x:v>
      </x:c>
      <x:c r="B252" t="str">
        <x:v>ACC-063</x:v>
      </x:c>
      <x:c r="C252" t="str">
        <x:v>Initial</x:v>
      </x:c>
      <x:c r="D252" t="str">
        <x:v>Android</x:v>
      </x:c>
      <x:c r="E252" t="str">
        <x:v>Medium_Phone, Android 17, user 10</x:v>
      </x:c>
      <x:c r="F252" t="str">
        <x:v>Android 17</x:v>
      </x:c>
      <x:c r="G252" t="str">
        <x:v>9e9dcf1+dirty; com.spacemancodes.buff 1.0.0 (12)</x:v>
      </x:c>
      <x:c r="H252" s="60" t="n">
        <x:v>46267.63680555556</x:v>
      </x:c>
      <x:c r="I252" t="str">
        <x:v>Blocked</x:v>
      </x:c>
      <x:c r="J252" t="str">
        <x:v>/Users/mason/.codex/visualizations/2026/09/01/01a05def-1c0d-76d1-abc6-07c63a443582/emulator-runs/initial/android/ACC-063-067-no-connected-assistants.png
/Users/mason/.codex/visualizations/2026/09/01/01a05def-1c0d-76d1-abc6-07c63a443582/emulator-runs/initial/android/ACC-055-068-081-observations.json
/Users/mason/.codex/visualizations/2026/09/01/01a05def-1c0d-76d1-abc6-07c63a443582/emulator-runs/initial/android/ACC-054-063-076-HLT-013-047-NUT-109-111-blocker-observations.json</x:v>
      </x:c>
      <x:c r="K252" t="str">
        <x:v>Connected AI assistants showed no active connections. Cold and warm malformed or short MCP routes failed safely rather than exposing an approval screen.</x:v>
      </x:c>
      <x:c r="L252" t="str"/>
      <x:c r="M252" t="str">
        <x:v>A valid 64-character request, expiry, exact cold/warm request restoration, and signed-out login preservation require a disposable OAuth client; production registration had no verified cleanup endpoint.</x:v>
      </x:c>
    </x:row>
    <x:row r="253">
      <x:c r="A253" t="str">
        <x:v>RUN-0249</x:v>
      </x:c>
      <x:c r="B253" t="str">
        <x:v>ACC-064</x:v>
      </x:c>
      <x:c r="C253" t="str">
        <x:v>Initial</x:v>
      </x:c>
      <x:c r="D253" t="str">
        <x:v>Android</x:v>
      </x:c>
      <x:c r="E253" t="str">
        <x:v>Medium_Phone, Android 17, user 10</x:v>
      </x:c>
      <x:c r="F253" t="str">
        <x:v>Android 17</x:v>
      </x:c>
      <x:c r="G253" t="str">
        <x:v>9e9dcf1+dirty; com.spacemancodes.buff 1.0.0 (12)</x:v>
      </x:c>
      <x:c r="H253" s="60" t="n">
        <x:v>46267.636921296296</x:v>
      </x:c>
      <x:c r="I253" t="str">
        <x:v>Blocked</x:v>
      </x:c>
      <x:c r="J253" t="str">
        <x:v>/Users/mason/.codex/visualizations/2026/09/01/01a05def-1c0d-76d1-abc6-07c63a443582/emulator-runs/initial/android/ACC-063-067-no-connected-assistants.png
/Users/mason/.codex/visualizations/2026/09/01/01a05def-1c0d-76d1-abc6-07c63a443582/emulator-runs/initial/android/ACC-054-063-076-HLT-013-047-NUT-109-111-blocker-observations.json</x:v>
      </x:c>
      <x:c r="K253" t="str">
        <x:v>The settings screen exposed broad setup instructions, but no live assistant request existed and malformed requests were rejected before rendering disclosure details.</x:v>
      </x:c>
      <x:c r="L253" t="str"/>
      <x:c r="M253" t="str">
        <x:v>Sanitized client name, exact redirect origin, expiry, broad disclosure, unverified/foreign request handling, and malformed-response recovery require valid and adversarial OAuth request fixtures.</x:v>
      </x:c>
    </x:row>
    <x:row r="254">
      <x:c r="A254" t="str">
        <x:v>RUN-0250</x:v>
      </x:c>
      <x:c r="B254" t="str">
        <x:v>ACC-065</x:v>
      </x:c>
      <x:c r="C254" t="str">
        <x:v>Initial</x:v>
      </x:c>
      <x:c r="D254" t="str">
        <x:v>Android</x:v>
      </x:c>
      <x:c r="E254" t="str">
        <x:v>Medium_Phone, Android 17, user 10</x:v>
      </x:c>
      <x:c r="F254" t="str">
        <x:v>Android 17</x:v>
      </x:c>
      <x:c r="G254" t="str">
        <x:v>9e9dcf1+dirty; com.spacemancodes.buff 1.0.0 (12)</x:v>
      </x:c>
      <x:c r="H254" s="60" t="n">
        <x:v>46267.637037037035</x:v>
      </x:c>
      <x:c r="I254" t="str">
        <x:v>Blocked</x:v>
      </x:c>
      <x:c r="J254" t="str">
        <x:v>/Users/mason/.codex/visualizations/2026/09/01/01a05def-1c0d-76d1-abc6-07c63a443582/emulator-runs/initial/android/ACC-063-067-no-connected-assistants.png
/Users/mason/.codex/visualizations/2026/09/01/01a05def-1c0d-76d1-abc6-07c63a443582/emulator-runs/initial/android/ACC-054-063-076-HLT-013-047-NUT-109-111-blocker-observations.json</x:v>
      </x:c>
      <x:c r="K254" t="str">
        <x:v>No valid approval request was available, so the account stayed on the empty Connected AI assistants state and no approve or deny mutation occurred.</x:v>
      </x:c>
      <x:c r="L254" t="str"/>
      <x:c r="M254" t="str">
        <x:v>Approve, deny, mutual disabling, double taps, completion, and 401/403/429/mismatched-response recovery require a disposable OAuth request fixture.</x:v>
      </x:c>
    </x:row>
    <x:row r="255">
      <x:c r="A255" t="str">
        <x:v>RUN-0251</x:v>
      </x:c>
      <x:c r="B255" t="str">
        <x:v>ACC-067</x:v>
      </x:c>
      <x:c r="C255" t="str">
        <x:v>Initial</x:v>
      </x:c>
      <x:c r="D255" t="str">
        <x:v>Android</x:v>
      </x:c>
      <x:c r="E255" t="str">
        <x:v>Medium_Phone, Android 17, user 10</x:v>
      </x:c>
      <x:c r="F255" t="str">
        <x:v>Android 17</x:v>
      </x:c>
      <x:c r="G255" t="str">
        <x:v>9e9dcf1+dirty; com.spacemancodes.buff 1.0.0 (12)</x:v>
      </x:c>
      <x:c r="H255" s="60" t="n">
        <x:v>46267.63715277778</x:v>
      </x:c>
      <x:c r="I255" t="str">
        <x:v>Blocked</x:v>
      </x:c>
      <x:c r="J255" t="str">
        <x:v>/Users/mason/.codex/visualizations/2026/09/01/01a05def-1c0d-76d1-abc6-07c63a443582/emulator-runs/initial/android/ACC-063-067-no-connected-assistants.png
/Users/mason/.codex/visualizations/2026/09/01/01a05def-1c0d-76d1-abc6-07c63a443582/emulator-runs/initial/android/ACC-054-063-076-HLT-013-047-NUT-109-111-blocker-observations.json</x:v>
      </x:c>
      <x:c r="K255" t="str">
        <x:v>Connected AI assistants reported 'No assistants have access,' so no connection row or revoke action was present.</x:v>
      </x:c>
      <x:c r="L255" t="str"/>
      <x:c r="M255" t="str">
        <x:v>Two-assistant isolation, one-assistant revocation, history changes, session invalidation, and accidental-revoke confirmation behavior require live disposable connections.</x:v>
      </x:c>
    </x:row>
    <x:row r="256">
      <x:c r="A256" t="str">
        <x:v>RUN-0252</x:v>
      </x:c>
      <x:c r="B256" t="str">
        <x:v>ACC-069</x:v>
      </x:c>
      <x:c r="C256" t="str">
        <x:v>Initial</x:v>
      </x:c>
      <x:c r="D256" t="str">
        <x:v>Android</x:v>
      </x:c>
      <x:c r="E256" t="str">
        <x:v>Medium_Phone, Android 17, user 10</x:v>
      </x:c>
      <x:c r="F256" t="str">
        <x:v>Android 17</x:v>
      </x:c>
      <x:c r="G256" t="str">
        <x:v>9e9dcf1+dirty; com.spacemancodes.buff 1.0.0 (12)</x:v>
      </x:c>
      <x:c r="H256" s="60" t="n">
        <x:v>46267.63726851852</x:v>
      </x:c>
      <x:c r="I256" t="str">
        <x:v>Blocked</x:v>
      </x:c>
      <x:c r="J256" t="str">
        <x:v>/Users/mason/.codex/visualizations/2026/09/01/01a05def-1c0d-76d1-abc6-07c63a443582/emulator-runs/initial/android/ACC-055-068-081-observations.json
/Users/mason/.codex/visualizations/2026/09/01/01a05def-1c0d-76d1-abc6-07c63a443582/emulator-runs/initial/android/ACC-054-063-076-HLT-013-047-NUT-109-111-blocker-observations.json</x:v>
      </x:c>
      <x:c r="K256" t="str">
        <x:v>The Android custom-scheme handler preserved ordinary query data and rejected malformed MCP routes safely; no OAuth credential or token was issued.</x:v>
      </x:c>
      <x:c r="L256" t="str"/>
      <x:c r="M256" t="str">
        <x:v>Discovery, dynamic registration, PKCE S256, exact redirect/session binding, scopes, rate limits, kill switch, token exchange, and MCP authentication require a controlled OAuth client and server fixtures.</x:v>
      </x:c>
    </x:row>
    <x:row r="257">
      <x:c r="A257" t="str">
        <x:v>RUN-0253</x:v>
      </x:c>
      <x:c r="B257" t="str">
        <x:v>ACC-072</x:v>
      </x:c>
      <x:c r="C257" t="str">
        <x:v>Initial</x:v>
      </x:c>
      <x:c r="D257" t="str">
        <x:v>Android</x:v>
      </x:c>
      <x:c r="E257" t="str">
        <x:v>Medium_Phone, Android 17, user 10</x:v>
      </x:c>
      <x:c r="F257" t="str">
        <x:v>Android 17</x:v>
      </x:c>
      <x:c r="G257" t="str">
        <x:v>9e9dcf1+dirty; com.spacemancodes.buff 1.0.0 (12)</x:v>
      </x:c>
      <x:c r="H257" s="60" t="n">
        <x:v>46267.6375</x:v>
      </x:c>
      <x:c r="I257" t="str">
        <x:v>Blocked</x:v>
      </x:c>
      <x:c r="J257" t="str">
        <x:v>/Users/mason/.codex/visualizations/2026/09/01/01a05def-1c0d-76d1-abc6-07c63a443582/emulator-runs/initial/android/ACC-009-070-071-075-HLT-049-observations.json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x:v>
      </x:c>
      <x:c r="K257" t="str">
        <x:v>A normal Android recovery sync completed with cursor 121, pending 0, and last_error null after offline local changes were flushed.</x:v>
      </x:c>
      <x:c r="L257" t="str"/>
      <x:c r="M257" t="str">
        <x:v>Unknown models, malformed payloads, bounded timestamps, five-minute clock skew rejection, and accepted/rejected write details require controlled direct sync fixtures.</x:v>
      </x:c>
    </x:row>
    <x:row r="258">
      <x:c r="A258" t="str">
        <x:v>RUN-0254</x:v>
      </x:c>
      <x:c r="B258" t="str">
        <x:v>ACC-073</x:v>
      </x:c>
      <x:c r="C258" t="str">
        <x:v>Initial</x:v>
      </x:c>
      <x:c r="D258" t="str">
        <x:v>Android</x:v>
      </x:c>
      <x:c r="E258" t="str">
        <x:v>Medium_Phone, Android 17, user 10</x:v>
      </x:c>
      <x:c r="F258" t="str">
        <x:v>Android 17</x:v>
      </x:c>
      <x:c r="G258" t="str">
        <x:v>9e9dcf1+dirty; com.spacemancodes.buff 1.0.0 (12)</x:v>
      </x:c>
      <x:c r="H258" s="60" t="n">
        <x:v>46267.63761574074</x:v>
      </x:c>
      <x:c r="I258" t="str">
        <x:v>Blocked</x:v>
      </x:c>
      <x:c r="J258" t="str">
        <x:v>/Users/mason/.codex/visualizations/2026/09/01/01a05def-1c0d-76d1-abc6-07c63a443582/emulator-runs/initial/android/ACC-009-070-071-075-HLT-049-observations.json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x:v>
      </x:c>
      <x:c r="K258" t="str">
        <x:v>The single Android device completed offline edits and a successful recovery sync without duplicates in the exercised local lifecycle.</x:v>
      </x:c>
      <x:c r="L258" t="str"/>
      <x:c r="M258" t="str">
        <x:v>Earlier/later/equal timestamps, device-ID tie breaks, delete-versus-update, account isolation, replay idempotence, and reciprocal order require two signed-in devices with controlled clocks.</x:v>
      </x:c>
    </x:row>
    <x:row r="259">
      <x:c r="A259" t="str">
        <x:v>RUN-0255</x:v>
      </x:c>
      <x:c r="B259" t="str">
        <x:v>ACC-074</x:v>
      </x:c>
      <x:c r="C259" t="str">
        <x:v>Initial</x:v>
      </x:c>
      <x:c r="D259" t="str">
        <x:v>Android</x:v>
      </x:c>
      <x:c r="E259" t="str">
        <x:v>Medium_Phone, Android 17, user 10</x:v>
      </x:c>
      <x:c r="F259" t="str">
        <x:v>Android 17</x:v>
      </x:c>
      <x:c r="G259" t="str">
        <x:v>9e9dcf1+dirty; com.spacemancodes.buff 1.0.0 (12)</x:v>
      </x:c>
      <x:c r="H259" s="60" t="n">
        <x:v>46267.63773148148</x:v>
      </x:c>
      <x:c r="I259" t="str">
        <x:v>Blocked</x:v>
      </x:c>
      <x:c r="J259" t="str">
        <x:v>/Users/mason/.codex/visualizations/2026/09/01/01a05def-1c0d-76d1-abc6-07c63a443582/emulator-runs/initial/android/ACC-009-070-071-075-HLT-049-observations.json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x:v>
      </x:c>
      <x:c r="K259" t="str">
        <x:v>A small recovery sync applied successfully and preserved the surviving local rows through force-stop and reconnect.</x:v>
      </x:c>
      <x:c r="L259" t="str"/>
      <x:c r="M259" t="str">
        <x:v>A restore exceeding 500 events, pull-only pagination, interruption between pages, in-flight local edits, transactional rollback, and progress UX require a seeded large account.</x:v>
      </x:c>
    </x:row>
    <x:row r="260">
      <x:c r="A260" t="str">
        <x:v>RUN-0256</x:v>
      </x:c>
      <x:c r="B260" t="str">
        <x:v>ACC-076</x:v>
      </x:c>
      <x:c r="C260" t="str">
        <x:v>Initial</x:v>
      </x:c>
      <x:c r="D260" t="str">
        <x:v>Android</x:v>
      </x:c>
      <x:c r="E260" t="str">
        <x:v>Medium_Phone, Android 17, user 10</x:v>
      </x:c>
      <x:c r="F260" t="str">
        <x:v>Android 17</x:v>
      </x:c>
      <x:c r="G260" t="str">
        <x:v>9e9dcf1+dirty; com.spacemancodes.buff 1.0.0 (12)</x:v>
      </x:c>
      <x:c r="H260" s="60" t="n">
        <x:v>46267.63784722222</x:v>
      </x:c>
      <x:c r="I260" t="str">
        <x:v>Blocked</x:v>
      </x:c>
      <x:c r="J260" t="str">
        <x:v>/Users/mason/.codex/visualizations/2026/09/01/01a05def-1c0d-76d1-abc6-07c63a443582/emulator-runs/initial/android/ACC-009-070-071-075-HLT-049-observations.json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x:v>
      </x:c>
      <x:c r="K260" t="str">
        <x:v>The exercised sync completed with pending 0 and last_error null, so no pending analysis confirmation or photo-upload retry was available to observe.</x:v>
      </x:c>
      <x:c r="L260" t="str"/>
      <x:c r="M260" t="str">
        <x:v>Successful sync followed by retryable confirmation/photo failures, one-day expiry, persistent retry metadata, centralized status, and recovery require injected pending rows and remote failures.</x:v>
      </x:c>
    </x:row>
    <x:row r="261">
      <x:c r="A261" t="str">
        <x:v>RUN-0257</x:v>
      </x:c>
      <x:c r="B261" t="str">
        <x:v>HLT-013</x:v>
      </x:c>
      <x:c r="C261" t="str">
        <x:v>Initial</x:v>
      </x:c>
      <x:c r="D261" t="str">
        <x:v>Android</x:v>
      </x:c>
      <x:c r="E261" t="str">
        <x:v>Medium_Phone, Android 17, user 10</x:v>
      </x:c>
      <x:c r="F261" t="str">
        <x:v>Android 17</x:v>
      </x:c>
      <x:c r="G261" t="str">
        <x:v>9e9dcf1+dirty; com.spacemancodes.buff 1.0.0 (12)</x:v>
      </x:c>
      <x:c r="H261" s="60" t="n">
        <x:v>46267.63796296297</x:v>
      </x:c>
      <x:c r="I261" t="str">
        <x:v>Blocked</x:v>
      </x:c>
      <x:c r="J261" t="str">
        <x:v>/Users/mason/.codex/visualizations/2026/09/01/01a05def-1c0d-76d1-abc6-07c63a443582/emulator-runs/initial/android/ACC-009-070-071-075-HLT-049-observations.json
/Users/mason/.codex/visualizations/2026/09/01/01a05def-1c0d-76d1-abc6-07c63a443582/emulator-runs/initial/android/ACC-054-063-076-HLT-013-047-NUT-109-111-blocker-observations.json</x:v>
      </x:c>
      <x:c r="K261" t="str">
        <x:v>Body-metric fixtures survived ordinary account sync on the single Android device and remained visible after reconnect.</x:v>
      </x:c>
      <x:c r="L261" t="str"/>
      <x:c r="M261" t="str">
        <x:v>Two devices creating different IDs for one date, controlled timestamp/device-ID winners, loser remapping, pending-photo remapping, and clock skew require a second same-account device.</x:v>
      </x:c>
    </x:row>
    <x:row r="262">
      <x:c r="A262" t="str">
        <x:v>RUN-0258</x:v>
      </x:c>
      <x:c r="B262" t="str">
        <x:v>HLT-026</x:v>
      </x:c>
      <x:c r="C262" t="str">
        <x:v>Initial</x:v>
      </x:c>
      <x:c r="D262" t="str">
        <x:v>Android</x:v>
      </x:c>
      <x:c r="E262" t="str">
        <x:v>Medium_Phone, Android 17, user 10</x:v>
      </x:c>
      <x:c r="F262" t="str">
        <x:v>Android 17</x:v>
      </x:c>
      <x:c r="G262" t="str">
        <x:v>9e9dcf1+dirty; com.spacemancodes.buff 1.0.0 (12)</x:v>
      </x:c>
      <x:c r="H262" s="60" t="n">
        <x:v>46267.638194444444</x:v>
      </x:c>
      <x:c r="I262" t="str">
        <x:v>Blocked</x:v>
      </x:c>
      <x:c r="J262" t="str">
        <x:v>/Users/mason/.codex/visualizations/2026/09/01/01a05def-1c0d-76d1-abc6-07c63a443582/emulator-runs/initial/android/HLT-026-existing-photo-batch.png
/Users/mason/.codex/visualizations/2026/09/01/01a05def-1c0d-76d1-abc6-07c63a443582/emulator-runs/initial/android/ACC-054-063-076-HLT-013-047-NUT-109-111-blocker-observations.json</x:v>
      </x:c>
      <x:c r="K262" t="str">
        <x:v>The 2026-09-02 photo dialog loaded complete 480x640 Front and Side images. A nonexistent metric UUID returned JSON 404 without revealing photo data.</x:v>
      </x:c>
      <x:c r="L262" t="str"/>
      <x:c r="M262" t="str">
        <x:v>Cross-account ownership, deleted metrics, more than three/duplicate poses, simultaneous lock timeout, and forced storage/database rollback require controlled server and second-account fixtures.</x:v>
      </x:c>
    </x:row>
    <x:row r="263">
      <x:c r="A263" t="str">
        <x:v>RUN-0259</x:v>
      </x:c>
      <x:c r="B263" t="str">
        <x:v>HLT-032</x:v>
      </x:c>
      <x:c r="C263" t="str">
        <x:v>Initial</x:v>
      </x:c>
      <x:c r="D263" t="str">
        <x:v>Android</x:v>
      </x:c>
      <x:c r="E263" t="str">
        <x:v>Medium_Phone, Android 17, user 10</x:v>
      </x:c>
      <x:c r="F263" t="str">
        <x:v>Android 17</x:v>
      </x:c>
      <x:c r="G263" t="str">
        <x:v>9e9dcf1+dirty; com.spacemancodes.buff 1.0.0 (12)</x:v>
      </x:c>
      <x:c r="H263" s="60" t="n">
        <x:v>46267.63831018518</x:v>
      </x:c>
      <x:c r="I263" t="str">
        <x:v>Blocked</x:v>
      </x:c>
      <x:c r="J263" t="str">
        <x:v>/Users/mason/.codex/visualizations/2026/09/01/01a05def-1c0d-76d1-abc6-07c63a443582/emulator-runs/initial/android/NUT-013-018-094-105-106-observations.json
/Users/mason/.codex/visualizations/2026/09/01/01a05def-1c0d-76d1-abc6-07c63a443582/emulator-runs/initial/android/ACC-054-063-076-HLT-013-047-NUT-109-111-blocker-observations.json</x:v>
      </x:c>
      <x:c r="K263" t="str">
        <x:v>A calorie-goal edit from 2200 to 2250 immediately changed Today/Weekly calculations and the goal was restored to 2200 on Android.</x:v>
      </x:c>
      <x:c r="L263" t="str"/>
      <x:c r="M263" t="str">
        <x:v>Offline reciprocal goal edits, timestamp/device-ID conflict resolution, second-device receipt, and losing-write UX require two signed-in devices with controlled clocks.</x:v>
      </x:c>
    </x:row>
    <x:row r="264">
      <x:c r="A264" t="str">
        <x:v>RUN-0260</x:v>
      </x:c>
      <x:c r="B264" t="str">
        <x:v>HLT-047</x:v>
      </x:c>
      <x:c r="C264" t="str">
        <x:v>Initial</x:v>
      </x:c>
      <x:c r="D264" t="str">
        <x:v>Android</x:v>
      </x:c>
      <x:c r="E264" t="str">
        <x:v>Medium_Phone, Android 17, user 10</x:v>
      </x:c>
      <x:c r="F264" t="str">
        <x:v>Android 17</x:v>
      </x:c>
      <x:c r="G264" t="str">
        <x:v>9e9dcf1+dirty; com.spacemancodes.buff 1.0.0 (12)</x:v>
      </x:c>
      <x:c r="H264" s="60" t="n">
        <x:v>46267.63842592593</x:v>
      </x:c>
      <x:c r="I264" t="str">
        <x:v>Blocked</x:v>
      </x:c>
      <x:c r="J264" t="str">
        <x:v>/Users/mason/.codex/visualizations/2026/09/01/01a05def-1c0d-76d1-abc6-07c63a443582/emulator-runs/initial/android/HLT-049-today-health-connect-only.png
/Users/mason/.codex/visualizations/2026/09/01/01a05def-1c0d-76d1-abc6-07c63a443582/emulator-runs/initial/android/ACC-054-063-076-HLT-013-047-NUT-109-111-blocker-observations.json</x:v>
      </x:c>
      <x:c r="K264" t="str">
        <x:v>Today displayed two imported Health Connect workouts, 50 and 60 kcal, on the single Android account after sync/import work.</x:v>
      </x:c>
      <x:c r="L264" t="str"/>
      <x:c r="M264" t="str">
        <x:v>Reciprocal workout and ignored-workout edits/deletes, same external ID across Health Connect and Apple Health, duplicate record IDs, and conflict ordering require two devices and both providers.</x:v>
      </x:c>
    </x:row>
    <x:row r="265">
      <x:c r="A265" t="str">
        <x:v>RUN-0261</x:v>
      </x:c>
      <x:c r="B265" t="str">
        <x:v>NUT-109</x:v>
      </x:c>
      <x:c r="C265" t="str">
        <x:v>Initial</x:v>
      </x:c>
      <x:c r="D265" t="str">
        <x:v>Android</x:v>
      </x:c>
      <x:c r="E265" t="str">
        <x:v>Medium_Phone, Android 17, user 10</x:v>
      </x:c>
      <x:c r="F265" t="str">
        <x:v>Android 17</x:v>
      </x:c>
      <x:c r="G265" t="str">
        <x:v>9e9dcf1+dirty; com.spacemancodes.buff 1.0.0 (12)</x:v>
      </x:c>
      <x:c r="H265" s="60" t="n">
        <x:v>46267.63854166667</x:v>
      </x:c>
      <x:c r="I265" t="str">
        <x:v>Blocked</x:v>
      </x:c>
      <x:c r="J265" t="str">
        <x:v>/Users/mason/.codex/visualizations/2026/09/01/01a05def-1c0d-76d1-abc6-07c63a443582/emulator-runs/initial/android/NUT-019-offline-local-first-observations.json
/Users/mason/.codex/visualizations/2026/09/01/01a05def-1c0d-76d1-abc6-07c63a443582/emulator-runs/initial/android/ACC-054-063-076-HLT-013-047-NUT-109-111-blocker-observations.json</x:v>
      </x:c>
      <x:c r="K265" t="str">
        <x:v>A small mixed nutrition lifecycle synchronized successfully after offline create, edit, repeat, recipe log, deletion, force-stop, and reconnect, ending with pending 0.</x:v>
      </x:c>
      <x:c r="L265" t="str"/>
      <x:c r="M265" t="str">
        <x:v>At least 501 mixed nutrition changes, 500-row upload order, server cursor pagination, pull-only continuation, interruption, and second-device receipt require a seeded large dataset.</x:v>
      </x:c>
    </x:row>
    <x:row r="266">
      <x:c r="A266" t="str">
        <x:v>RUN-0262</x:v>
      </x:c>
      <x:c r="B266" t="str">
        <x:v>NUT-110</x:v>
      </x:c>
      <x:c r="C266" t="str">
        <x:v>Initial</x:v>
      </x:c>
      <x:c r="D266" t="str">
        <x:v>Android</x:v>
      </x:c>
      <x:c r="E266" t="str">
        <x:v>Medium_Phone, Android 17, user 10</x:v>
      </x:c>
      <x:c r="F266" t="str">
        <x:v>Android 17</x:v>
      </x:c>
      <x:c r="G266" t="str">
        <x:v>9e9dcf1+dirty; com.spacemancodes.buff 1.0.0 (12)</x:v>
      </x:c>
      <x:c r="H266" s="60" t="n">
        <x:v>46267.638657407406</x:v>
      </x:c>
      <x:c r="I266" t="str">
        <x:v>Blocked</x:v>
      </x:c>
      <x:c r="J266" t="str">
        <x:v>/Users/mason/.codex/visualizations/2026/09/01/01a05def-1c0d-76d1-abc6-07c63a443582/emulator-runs/initial/android/NUT-019-offline-local-first-observations.json
/Users/mason/.codex/visualizations/2026/09/01/01a05def-1c0d-76d1-abc6-07c63a443582/emulator-runs/initial/android/ACC-054-063-076-HLT-013-047-NUT-109-111-blocker-observations.json</x:v>
      </x:c>
      <x:c r="K266" t="str">
        <x:v>Single-device offline nutrition mutations and their tombstones flushed without duplicates in the exercised lifecycle.</x:v>
      </x:c>
      <x:c r="L266" t="str"/>
      <x:c r="M266" t="str">
        <x:v>Earlier/later/equal concurrent meal, recipe, and goal edits; delete-versus-update; account isolation; replay; invalid response retention; and reversed device order require two devices and fault injection.</x:v>
      </x:c>
    </x:row>
    <x:row r="267">
      <x:c r="A267" t="str">
        <x:v>RUN-0263</x:v>
      </x:c>
      <x:c r="B267" t="str">
        <x:v>NUT-111</x:v>
      </x:c>
      <x:c r="C267" t="str">
        <x:v>Initial</x:v>
      </x:c>
      <x:c r="D267" t="str">
        <x:v>Android</x:v>
      </x:c>
      <x:c r="E267" t="str">
        <x:v>Medium_Phone, Android 17, user 10</x:v>
      </x:c>
      <x:c r="F267" t="str">
        <x:v>Android 17</x:v>
      </x:c>
      <x:c r="G267" t="str">
        <x:v>9e9dcf1+dirty; com.spacemancodes.buff 1.0.0 (12)</x:v>
      </x:c>
      <x:c r="H267" s="60" t="n">
        <x:v>46267.638773148145</x:v>
      </x:c>
      <x:c r="I267" t="str">
        <x:v>Blocked</x:v>
      </x:c>
      <x:c r="J267" t="str">
        <x:v>/Users/mason/.codex/visualizations/2026/09/01/01a05def-1c0d-76d1-abc6-07c63a443582/emulator-runs/initial/android/NUT-019-offline-local-first-observations.json
/Users/mason/.codex/visualizations/2026/09/01/01a05def-1c0d-76d1-abc6-07c63a443582/emulator-runs/initial/android/NUT-034-037-barcode-observations.json
/Users/mason/.codex/visualizations/2026/09/01/01a05def-1c0d-76d1-abc6-07c63a443582/emulator-runs/initial/android/ACC-054-063-076-HLT-013-047-NUT-109-111-blocker-observations.json</x:v>
      </x:c>
      <x:c r="K267" t="str">
        <x:v>Android exercised local custom meal, recipe, repeat, delete, barcode lookup/cache, and portion normalization paths, including offline survival and reconnect flush.</x:v>
      </x:c>
      <x:c r="L267" t="str"/>
      <x:c r="M267" t="str">
        <x:v>A second-device receiver, deleted/missing catalogue and recipe relations, analyzed meal confirmation/photo snapshots, and remote meal tombstone cleanup remain blocked by the single-device and inactive Buff+ fixtures.</x:v>
      </x:c>
    </x:row>
    <x:row r="268">
      <x:c r="A268" t="str">
        <x:v>RUN-0264</x:v>
      </x:c>
      <x:c r="B268" t="str">
        <x:v>ACC-003</x:v>
      </x:c>
      <x:c r="C268" t="str">
        <x:v>Initial</x:v>
      </x:c>
      <x:c r="D268" t="str">
        <x:v>Android</x:v>
      </x:c>
      <x:c r="E268" t="str">
        <x:v>Medium_Phone, Android 17, user 10</x:v>
      </x:c>
      <x:c r="F268" t="str">
        <x:v>Android 17</x:v>
      </x:c>
      <x:c r="G268" t="str">
        <x:v>9e9dcf1+dirty; com.spacemancodes.buff 1.0.0 (12)</x:v>
      </x:c>
      <x:c r="H268" s="60" t="n">
        <x:v>46267.670960648145</x:v>
      </x:c>
      <x:c r="I268" t="str">
        <x:v>Blocked</x:v>
      </x:c>
      <x:c r="J268" t="str">
        <x:v>/Users/mason/.codex/visualizations/2026/09/01/01a05def-1c0d-76d1-abc6-07c63a443582/inventory/ACC-003-active-registration-guard-observation.json</x:v>
      </x:c>
      <x:c r="K268" t="str">
        <x:v>With an authenticated disposable account and synced state, requesting /account/register redirected to Today without rendering the registration form or changing the restored plan.</x:v>
      </x:c>
      <x:c r="L268" t="str"/>
      <x:c r="M268" t="str">
        <x:v>The active-token guard passed. Cached identity without access and isolated SyncState-without-credential branches were not independently staged, so the complete three-state story remains blocked.</x:v>
      </x:c>
    </x:row>
    <x:row r="269">
      <x:c r="A269" t="str">
        <x:v>RUN-0265</x:v>
      </x:c>
      <x:c r="B269" t="str">
        <x:v>ACC-006</x:v>
      </x:c>
      <x:c r="C269" t="str">
        <x:v>Initial</x:v>
      </x:c>
      <x:c r="D269" t="str">
        <x:v>Android</x:v>
      </x:c>
      <x:c r="E269" t="str">
        <x:v>Medium_Phone, Android 17, user 10</x:v>
      </x:c>
      <x:c r="F269" t="str">
        <x:v>Android 17</x:v>
      </x:c>
      <x:c r="G269" t="str">
        <x:v>9e9dcf1+dirty; com.spacemancodes.buff 1.0.0 (12)</x:v>
      </x:c>
      <x:c r="H269" s="60" t="n">
        <x:v>46267.66388888889</x:v>
      </x:c>
      <x:c r="I269" t="str">
        <x:v>Blocked</x:v>
      </x:c>
      <x:c r="J269" t="str">
        <x:v>/Users/mason/.codex/visualizations/2026/09/01/01a05def-1c0d-76d1-abc6-07c63a443582/inventory/ACC-006-007-login-errors-observation.json
/Users/mason/.codex/visualizations/2026/09/01/01a05def-1c0d-76d1-abc6-07c63a443582/inventory/ACC-006-correct-login-restored.png
/Users/mason/.codex/visualizations/2026/09/01/01a05def-1c0d-76d1-abc6-07c63a443582/inventory/ACC-006-cold-relaunch-session.png</x:v>
      </x:c>
      <x:c r="K269" t="str">
        <x:v>The mixed-case/padded email normalized to a valid 39-character value. Wrong credentials stayed on login with the expected email error; the correct password returned to Today with the synced 2000-kcal, 170 g protein, 195 g carbs, and 60 g fat plan. Force-stop and cold relaunch preserved the authenticated session.</x:v>
      </x:c>
      <x:c r="L269" t="str"/>
      <x:c r="M269" t="str">
        <x:v>Core normalization, rejection, sync restoration, and relaunch passed. Android password-manager autofill and IME submit were not exercised, so the story remains blocked.</x:v>
      </x:c>
    </x:row>
    <x:row r="270">
      <x:c r="A270" t="str">
        <x:v>RUN-0266</x:v>
      </x:c>
      <x:c r="B270" t="str">
        <x:v>ACC-007</x:v>
      </x:c>
      <x:c r="C270" t="str">
        <x:v>Initial</x:v>
      </x:c>
      <x:c r="D270" t="str">
        <x:v>Android</x:v>
      </x:c>
      <x:c r="E270" t="str">
        <x:v>Medium_Phone, Android 17, user 10</x:v>
      </x:c>
      <x:c r="F270" t="str">
        <x:v>Android 17</x:v>
      </x:c>
      <x:c r="G270" t="str">
        <x:v>9e9dcf1+dirty; com.spacemancodes.buff 1.0.0 (12)</x:v>
      </x:c>
      <x:c r="H270" s="60" t="n">
        <x:v>46267.66180555556</x:v>
      </x:c>
      <x:c r="I270" t="str">
        <x:v>Failed</x:v>
      </x:c>
      <x:c r="J270" t="str">
        <x:v>/Users/mason/.codex/visualizations/2026/09/01/01a05def-1c0d-76d1-abc6-07c63a443582/inventory/ACC-006-007-login-errors-observation.json
/Users/mason/.codex/visualizations/2026/09/01/01a05def-1c0d-76d1-abc6-07c63a443582/inventory/ACC-012-missing-code-generic-error.png
/Users/mason/.codex/visualizations/2026/09/01/01a05def-1c0d-76d1-abc6-07c63a443582/inventory/ACC-012-untrusted-error-disclosed.png</x:v>
      </x:c>
      <x:c r="K270" t="str">
        <x:v>Wrong credentials mapped to the original email field, and airplane mode produced both the offline banner and actionable connection error. Missing social code was generic, but a forged error query was displayed verbatim instead of being collapsed to safe copy.</x:v>
      </x:c>
      <x:c r="L270" t="str">
        <x:v>DEF-078</x:v>
      </x:c>
      <x:c r="M270" t="str">
        <x:v>Failed because social callback error handling violates the safe-message expectation. Mocked 401/403/429/500 and every other account form remain for later fault-injection coverage.</x:v>
      </x:c>
    </x:row>
    <x:row r="271">
      <x:c r="A271" t="str">
        <x:v>RUN-0267</x:v>
      </x:c>
      <x:c r="B271" t="str">
        <x:v>ACC-008</x:v>
      </x:c>
      <x:c r="C271" t="str">
        <x:v>Initial</x:v>
      </x:c>
      <x:c r="D271" t="str">
        <x:v>Android</x:v>
      </x:c>
      <x:c r="E271" t="str">
        <x:v>Medium_Phone, Android 17, user 10</x:v>
      </x:c>
      <x:c r="F271" t="str">
        <x:v>Android 17</x:v>
      </x:c>
      <x:c r="G271" t="str">
        <x:v>9e9dcf1+dirty; com.spacemancodes.buff 1.0.0 (12)</x:v>
      </x:c>
      <x:c r="H271" s="60" t="n">
        <x:v>46267.669386574074</x:v>
      </x:c>
      <x:c r="I271" t="str">
        <x:v>Passed</x:v>
      </x:c>
      <x:c r="J271" t="str">
        <x:v>/Users/mason/.codex/visualizations/2026/09/01/01a05def-1c0d-76d1-abc6-07c63a443582/inventory/ACC-008-saved-account-card-observation.json
/Users/mason/.codex/visualizations/2026/09/01/01a05def-1c0d-76d1-abc6-07c63a443582/inventory/ACC-008-refresh-rotation-observation.json
/Users/mason/.codex/visualizations/2026/09/01/01a05def-1c0d-76d1-abc6-07c63a443582/inventory/ACC-008-consumed-refresh-observation.json
/Users/mason/.codex/visualizations/2026/09/01/01a05def-1c0d-76d1-abc6-07c63a443582/inventory/ACC-008-resume-restored.png</x:v>
      </x:c>
      <x:c r="K271" t="str">
        <x:v>After process death with only cached account plus a valid refresh token, login showed the account card. Continue returned to Today, restored the exact synced plan, and rotated both access and refresh tokens for the same account. Reusing the consumed refresh produced the session-expired error, cleared only the refresh token, retained the cached account, and a second Continue revealed normal login options. The valid post-resume credential blob was restored and Today reopened successfully.</x:v>
      </x:c>
      <x:c r="L271" t="str"/>
      <x:c r="M271" t="str">
        <x:v>All Android branches in the story were exercised with reversible user-10 credential fixtures; no production account or source file was touched.</x:v>
      </x:c>
    </x:row>
    <x:row r="272">
      <x:c r="A272" t="str">
        <x:v>RUN-0268</x:v>
      </x:c>
      <x:c r="B272" t="str">
        <x:v>ACC-010</x:v>
      </x:c>
      <x:c r="C272" t="str">
        <x:v>Initial</x:v>
      </x:c>
      <x:c r="D272" t="str">
        <x:v>Android</x:v>
      </x:c>
      <x:c r="E272" t="str">
        <x:v>Medium_Phone, Android 17, user 10</x:v>
      </x:c>
      <x:c r="F272" t="str">
        <x:v>Android 17</x:v>
      </x:c>
      <x:c r="G272" t="str">
        <x:v>9e9dcf1+dirty; com.spacemancodes.buff 1.0.0 (12)</x:v>
      </x:c>
      <x:c r="H272" s="60" t="n">
        <x:v>46267.65555555555</x:v>
      </x:c>
      <x:c r="I272" t="str">
        <x:v>Blocked</x:v>
      </x:c>
      <x:c r="J272" t="str">
        <x:v>/Users/mason/.codex/visualizations/2026/09/01/01a05def-1c0d-76d1-abc6-07c63a443582/emulator-runs/initial/android/ACC-010-google-auth-chrome-launch.png</x:v>
      </x:c>
      <x:c r="K272" t="str">
        <x:v>Android registration offered Continue with Google and no Apple action. Tapping Google launched the secure native browser/Chrome surface, and Android Back returned to the exact registration account-method screen.</x:v>
      </x:c>
      <x:c r="L272" t="str"/>
      <x:c r="M272" t="str">
        <x:v>Platform visibility, secure launch, and cancellation passed. Google completion, preferred-name handoff, and the non-native fallback require provider and non-native harness fixtures.</x:v>
      </x:c>
    </x:row>
    <x:row r="273">
      <x:c r="A273" t="str">
        <x:v>RUN-0269</x:v>
      </x:c>
      <x:c r="B273" t="str">
        <x:v>ACC-011</x:v>
      </x:c>
      <x:c r="C273" t="str">
        <x:v>Initial</x:v>
      </x:c>
      <x:c r="D273" t="str">
        <x:v>Android</x:v>
      </x:c>
      <x:c r="E273" t="str">
        <x:v>Medium_Phone, Android 17, user 10</x:v>
      </x:c>
      <x:c r="F273" t="str">
        <x:v>Android 17</x:v>
      </x:c>
      <x:c r="G273" t="str">
        <x:v>9e9dcf1+dirty; com.spacemancodes.buff 1.0.0 (12)</x:v>
      </x:c>
      <x:c r="H273" s="60" t="n">
        <x:v>46267.6556712963</x:v>
      </x:c>
      <x:c r="I273" t="str">
        <x:v>Blocked</x:v>
      </x:c>
      <x:c r="J273" t="str">
        <x:v>/Users/mason/.codex/visualizations/2026/09/01/01a05def-1c0d-76d1-abc6-07c63a443582/emulator-runs/initial/android/ACC-010-google-auth-chrome-launch.png</x:v>
      </x:c>
      <x:c r="K273" t="str">
        <x:v>The Android Google entry point launched a secure browser auth surface and returned safely when cancelled; Apple was correctly absent.</x:v>
      </x:c>
      <x:c r="L273" t="str"/>
      <x:c r="M273" t="str">
        <x:v>Verified-email linking, new social-account creation, state expiry/provider mismatch, unverified identity, and invalid-claim branches require controlled Google/server fixtures and therefore remain blocked.</x:v>
      </x:c>
    </x:row>
    <x:row r="274">
      <x:c r="A274" t="str">
        <x:v>RUN-0270</x:v>
      </x:c>
      <x:c r="B274" t="str">
        <x:v>ACC-012</x:v>
      </x:c>
      <x:c r="C274" t="str">
        <x:v>Initial</x:v>
      </x:c>
      <x:c r="D274" t="str">
        <x:v>Android</x:v>
      </x:c>
      <x:c r="E274" t="str">
        <x:v>Medium_Phone, Android 17, user 10</x:v>
      </x:c>
      <x:c r="F274" t="str">
        <x:v>Android 17</x:v>
      </x:c>
      <x:c r="G274" t="str">
        <x:v>9e9dcf1+dirty; com.spacemancodes.buff 1.0.0 (12)</x:v>
      </x:c>
      <x:c r="H274" s="60" t="n">
        <x:v>46267.663194444445</x:v>
      </x:c>
      <x:c r="I274" t="str">
        <x:v>Failed</x:v>
      </x:c>
      <x:c r="J274" t="str">
        <x:v>/Users/mason/.codex/visualizations/2026/09/01/01a05def-1c0d-76d1-abc6-07c63a443582/inventory/ACC-012-missing-code-generic-error.png
/Users/mason/.codex/visualizations/2026/09/01/01a05def-1c0d-76d1-abc6-07c63a443582/inventory/ACC-012-untrusted-error-disclosed.png</x:v>
      </x:c>
      <x:c r="K274" t="str">
        <x:v>A callback with no code recovered to login with the fixed generic message. A callback carrying an arbitrary error query recovered to login but displayed that untrusted diagnostic verbatim.</x:v>
      </x:c>
      <x:c r="L274" t="str">
        <x:v>DEF-078</x:v>
      </x:c>
      <x:c r="M274" t="str">
        <x:v>Failed on safe error recovery. Successful one-time redemption, replay, one-minute expiry, registration flow, and Custom Tab deep-link completion remain blocked by the absent Google fixture.</x:v>
      </x:c>
    </x:row>
    <x:row r="275">
      <x:c r="A275" t="str">
        <x:v>RUN-0271</x:v>
      </x:c>
      <x:c r="B275" t="str">
        <x:v>ACC-013</x:v>
      </x:c>
      <x:c r="C275" t="str">
        <x:v>Initial</x:v>
      </x:c>
      <x:c r="D275" t="str">
        <x:v>Android</x:v>
      </x:c>
      <x:c r="E275" t="str">
        <x:v>Medium_Phone, Android 17, user 10</x:v>
      </x:c>
      <x:c r="F275" t="str">
        <x:v>Android 17</x:v>
      </x:c>
      <x:c r="G275" t="str">
        <x:v>9e9dcf1+dirty; com.spacemancodes.buff 1.0.0 (12)</x:v>
      </x:c>
      <x:c r="H275" s="60" t="n">
        <x:v>46267.667592592596</x:v>
      </x:c>
      <x:c r="I275" t="str">
        <x:v>Blocked</x:v>
      </x:c>
      <x:c r="J275" t="str">
        <x:v>/Users/mason/.codex/visualizations/2026/09/01/01a05def-1c0d-76d1-abc6-07c63a443582/inventory/ACC-008-saved-account-card-observation.json
/Users/mason/.codex/visualizations/2026/09/01/01a05def-1c0d-76d1-abc6-07c63a443582/inventory/ACC-008-refresh-rotation-observation.json</x:v>
      </x:c>
      <x:c r="K275" t="str">
        <x:v>The cached account card exposed Use a different account, while same-account refresh resume retained the synced plan and account identity.</x:v>
      </x:c>
      <x:c r="L275" t="str"/>
      <x:c r="M275" t="str">
        <x:v>A second disposable production account was not introduced. Cross-account warning, Cancel/Back, failed switch preservation, confirmed wipe/replacement, and Google account-B switching remain blocked.</x:v>
      </x:c>
    </x:row>
    <x:row r="276">
      <x:c r="A276" t="str">
        <x:v>RUN-0272</x:v>
      </x:c>
      <x:c r="B276" t="str">
        <x:v>ACC-019</x:v>
      </x:c>
      <x:c r="C276" t="str">
        <x:v>Initial</x:v>
      </x:c>
      <x:c r="D276" t="str">
        <x:v>Android</x:v>
      </x:c>
      <x:c r="E276" t="str">
        <x:v>Medium_Phone, Android 17, user 10</x:v>
      </x:c>
      <x:c r="F276" t="str">
        <x:v>Android 17</x:v>
      </x:c>
      <x:c r="G276" t="str">
        <x:v>9e9dcf1+dirty; com.spacemancodes.buff 1.0.0 (12)</x:v>
      </x:c>
      <x:c r="H276" s="60" t="n">
        <x:v>46267.652083333334</x:v>
      </x:c>
      <x:c r="I276" t="str">
        <x:v>Blocked</x:v>
      </x:c>
      <x:c r="J276" t="str">
        <x:v>/Users/mason/.codex/visualizations/2026/09/01/01a05def-1c0d-76d1-abc6-07c63a443582/emulator-runs/initial/android/ACC-019-online-logout-signed-out.png
/Users/mason/.codex/visualizations/2026/09/01/01a05def-1c0d-76d1-abc6-07c63a443582/emulator-runs/initial/android/ACC-019-post-reboot-signed-out.png
/Users/mason/.codex/visualizations/2026/09/01/01a05def-1c0d-76d1-abc6-07c63a443582/inventory/ACC-019-HLT-067-logout-signedout-worker-observations.json</x:v>
      </x:c>
      <x:c r="K276" t="str">
        <x:v>Online logout returned to login with Signed out, removed the user-10 local session/data, and remained signed out after a full emulator reboot. A later fresh-account login restored only that account's synced plan.</x:v>
      </x:c>
      <x:c r="L276" t="str"/>
      <x:c r="M276" t="str">
        <x:v>Online local wipe and reboot persistence passed. Paired remote access/refresh revocation, reminder/alarm removal, pending-photo cleanup, offline logout, and later use of the abandoned token were not independently verified.</x:v>
      </x:c>
    </x:row>
    <x:row r="277">
      <x:c r="A277" t="str">
        <x:v>RUN-0273</x:v>
      </x:c>
      <x:c r="B277" t="str">
        <x:v>ACC-020</x:v>
      </x:c>
      <x:c r="C277" t="str">
        <x:v>Initial</x:v>
      </x:c>
      <x:c r="D277" t="str">
        <x:v>Android</x:v>
      </x:c>
      <x:c r="E277" t="str">
        <x:v>Medium_Phone, Android 17, user 10</x:v>
      </x:c>
      <x:c r="F277" t="str">
        <x:v>Android 17</x:v>
      </x:c>
      <x:c r="G277" t="str">
        <x:v>9e9dcf1+dirty; com.spacemancodes.buff 1.0.0 (12)</x:v>
      </x:c>
      <x:c r="H277" s="60" t="n">
        <x:v>46267.6625</x:v>
      </x:c>
      <x:c r="I277" t="str">
        <x:v>Failed</x:v>
      </x:c>
      <x:c r="J277" t="str">
        <x:v>/Users/mason/.codex/visualizations/2026/09/01/01a05def-1c0d-76d1-abc6-07c63a443582/inventory/ACC-020-login-no-clear-device-data.png</x:v>
      </x:c>
      <x:c r="K277" t="str">
        <x:v>The signed-out login page had no Clear device data action or confirmation; only sign-in, Google, password-reset, and registration actions were reachable even though the public deletion endpoint exists.</x:v>
      </x:c>
      <x:c r="L277" t="str">
        <x:v>DEF-077</x:v>
      </x:c>
      <x:c r="M277" t="str">
        <x:v>Failed on ordinary-user reachability. Direct endpoint wiping and reminder/alarm cleanup are covered in feature tests but were not invoked against the currently valid disposable session.</x:v>
      </x:c>
    </x:row>
    <x:row r="278">
      <x:c r="A278" t="str">
        <x:v>RUN-0274</x:v>
      </x:c>
      <x:c r="B278" t="str">
        <x:v>HLT-067</x:v>
      </x:c>
      <x:c r="C278" t="str">
        <x:v>Initial</x:v>
      </x:c>
      <x:c r="D278" t="str">
        <x:v>Android</x:v>
      </x:c>
      <x:c r="E278" t="str">
        <x:v>Medium_Phone, Android 17, user 10</x:v>
      </x:c>
      <x:c r="F278" t="str">
        <x:v>Android 17</x:v>
      </x:c>
      <x:c r="G278" t="str">
        <x:v>9e9dcf1+dirty; com.spacemancodes.buff 1.0.0 (12)</x:v>
      </x:c>
      <x:c r="H278" s="60" t="n">
        <x:v>46267.65347222222</x:v>
      </x:c>
      <x:c r="I278" t="str">
        <x:v>Passed</x:v>
      </x:c>
      <x:c r="J278" t="str">
        <x:v>/Users/mason/.codex/visualizations/2026/09/01/01a05def-1c0d-76d1-abc6-07c63a443582/inventory/ACC-019-HLT-067-logout-signedout-worker-observations.json</x:v>
      </x:c>
      <x:c r="K278" t="str">
        <x:v>While signed out after logout and reboot, HealthConnect.SyncNow returned HTTP 200 with sync_queued. The worker read the provider fixture, emitted BUFF_HEALTH_CONNECT_IMPORT_SKIPPED followed by BUFF_HEALTH_CONNECT_IMPORT_OK, imported no account data, and did not restore a session.</x:v>
      </x:c>
      <x:c r="L278" t="str"/>
      <x:c r="M278" t="str">
        <x:v>Signed-out scheduled work safely no-opped after reading the provider fixture and completed without crash or account mutation.</x:v>
      </x:c>
    </x:row>
    <x:row r="279">
      <x:c r="A279" t="str">
        <x:v>RUN-0275</x:v>
      </x:c>
      <x:c r="B279" t="str">
        <x:v>NUT-001</x:v>
      </x:c>
      <x:c r="C279" t="str">
        <x:v>Initial</x:v>
      </x:c>
      <x:c r="D279" t="str">
        <x:v>Android</x:v>
      </x:c>
      <x:c r="E279" t="str">
        <x:v>Medium_Phone, Android 17, user 10</x:v>
      </x:c>
      <x:c r="F279" t="str">
        <x:v>Android 17</x:v>
      </x:c>
      <x:c r="G279" t="str">
        <x:v>9e9dcf1+dirty; com.spacemancodes.buff 1.0.0 (12)</x:v>
      </x:c>
      <x:c r="H279" s="60" t="n">
        <x:v>46267.65694444445</x:v>
      </x:c>
      <x:c r="I279" t="str">
        <x:v>Failed</x:v>
      </x:c>
      <x:c r="J279" t="str">
        <x:v>/Users/mason/.codex/visualizations/2026/09/01/01a05def-1c0d-76d1-abc6-07c63a443582/emulator-runs/initial/android/NUT-001-root-redirects-onboarding.png
/Users/mason/.codex/visualizations/2026/09/01/01a05def-1c0d-76d1-abc6-07c63a443582/emulator-runs/initial/android/NUT-012-first-bypass-blank-uiautomator.xml
/Users/mason/.codex/visualizations/2026/09/01/01a05def-1c0d-76d1-abc6-07c63a443582/emulator-runs/initial/android/NUT-012-no-goal-fallback.png</x:v>
      </x:c>
      <x:c r="K279" t="str">
        <x:v>A fresh account with no DailyGoal redirected / to onboarding. The first explicit skip_onboarding=1 bypass returned goal-null data but rendered blank until reload; reload and immediate repeat rendered the intended diagnostic Today state.</x:v>
      </x:c>
      <x:c r="L279" t="str">
        <x:v>DEF-076</x:v>
      </x:c>
      <x:c r="M279" t="str">
        <x:v>Ordinary-user onboarding guidance passed. The explicit bypass branch failed once and was intermittent on immediate repeat.</x:v>
      </x:c>
    </x:row>
    <x:row r="280">
      <x:c r="A280" t="str">
        <x:v>RUN-0276</x:v>
      </x:c>
      <x:c r="B280" t="str">
        <x:v>NUT-012</x:v>
      </x:c>
      <x:c r="C280" t="str">
        <x:v>Initial</x:v>
      </x:c>
      <x:c r="D280" t="str">
        <x:v>Android</x:v>
      </x:c>
      <x:c r="E280" t="str">
        <x:v>Medium_Phone, Android 17, user 10</x:v>
      </x:c>
      <x:c r="F280" t="str">
        <x:v>Android 17</x:v>
      </x:c>
      <x:c r="G280" t="str">
        <x:v>9e9dcf1+dirty; com.spacemancodes.buff 1.0.0 (12)</x:v>
      </x:c>
      <x:c r="H280" s="60" t="n">
        <x:v>46267.657638888886</x:v>
      </x:c>
      <x:c r="I280" t="str">
        <x:v>Failed</x:v>
      </x:c>
      <x:c r="J280" t="str">
        <x:v>/Users/mason/.codex/visualizations/2026/09/01/01a05def-1c0d-76d1-abc6-07c63a443582/emulator-runs/initial/android/NUT-012-first-bypass-blank-uiautomator.xml
/Users/mason/.codex/visualizations/2026/09/01/01a05def-1c0d-76d1-abc6-07c63a443582/emulator-runs/initial/android/NUT-012-no-goal-fallback.png</x:v>
      </x:c>
      <x:c r="K280" t="str">
        <x:v>After reload and on an immediate repeat, the no-goal state showed Set your daily calorie and macro goals before logging meals, a Set goals action, No daily target yet, and 0 g macro targets. The first bypass attempt showed none of that content until reload.</x:v>
      </x:c>
      <x:c r="L280" t="str">
        <x:v>DEF-076</x:v>
      </x:c>
      <x:c r="M280" t="str">
        <x:v>Failed because the expected fallback was not reliable on the first fresh-account visit, even though the repeat rendered correctly.</x:v>
      </x:c>
    </x:row>
    <x:row r="281" ht="158.39999389648438" hidden="0" customHeight="1">
      <x:c r="A281" s="70" t="str">
        <x:v>RUN-0277</x:v>
      </x:c>
      <x:c r="B281" s="70" t="str">
        <x:v>ACC-004</x:v>
      </x:c>
      <x:c r="C281" s="70" t="str">
        <x:v>Retest</x:v>
      </x:c>
      <x:c r="D281" s="70" t="str">
        <x:v>Android</x:v>
      </x:c>
      <x:c r="E281" s="70" t="str">
        <x:v>Medium_Phone QA user 10</x:v>
      </x:c>
      <x:c r="F281" s="70" t="str">
        <x:v>Android 17</x:v>
      </x:c>
      <x:c r="G281" s="70" t="str">
        <x:v>1.0.0 build 15</x:v>
      </x:c>
      <x:c r="H281" s="71" t="n">
        <x:v>46269.40972222222</x:v>
      </x:c>
      <x:c r="I281" s="70" t="str">
        <x:v>Blocked</x:v>
      </x:c>
      <x:c r="J281" s="70" t="str">
        <x:v>/Users/mason/.codex/visualizations/2026/09/01/01a05def-1c0d-76d1-abc6-07c63a443582/emulator-runs/retest/android/ACC-004-empty-return.json
/Users/mason/.codex/visualizations/2026/09/01/01a05def-1c0d-76d1-abc6-07c63a443582/emulator-runs/retest/android/ACC-004-invalid-email-return.json
/Users/mason/.codex/visualizations/2026/09/01/01a05def-1c0d-76d1-abc6-07c63a443582/emulator-runs/retest/android/ACC-004-short-password-return.json
/Users/mason/.codex/visualizations/2026/09/01/01a05def-1c0d-76d1-abc6-07c63a443582/emulator-runs/retest/android/ACC-004-progress100.png</x:v>
      </x:c>
      <x:c r="K281" s="70" t="str">
        <x:v>Native keyboard Return did not advance blank name, malformed email or a five-character password. Valid name and email advanced. Progress 25, 75 and 100 observed; final form displayed a full progress bar.</x:v>
      </x:c>
      <x:c r="L281" s="70" t="str"/>
      <x:c r="M281" s="70" t="str">
        <x:v>No Android registration submitted because the account was created on iOS for shared-account testing. Duplicate-email/server-field-error mapping and complete assistive-technology coverage remain. DEF-004 specific regression passed.</x:v>
      </x:c>
    </x:row>
    <x:row r="282" ht="52.79999923706055" hidden="0" customHeight="1">
      <x:c r="A282" s="70" t="str">
        <x:v>RUN-0278</x:v>
      </x:c>
      <x:c r="B282" s="70" t="str">
        <x:v>ACC-018</x:v>
      </x:c>
      <x:c r="C282" s="70" t="str">
        <x:v>Retest</x:v>
      </x:c>
      <x:c r="D282" s="70" t="str">
        <x:v>Android</x:v>
      </x:c>
      <x:c r="E282" s="70" t="str">
        <x:v>Medium_Phone QA user 10</x:v>
      </x:c>
      <x:c r="F282" s="70" t="str">
        <x:v>Android 17</x:v>
      </x:c>
      <x:c r="G282" s="70" t="str">
        <x:v>1.0.0 build 15</x:v>
      </x:c>
      <x:c r="H282" s="71" t="n">
        <x:v>46269.40972222222</x:v>
      </x:c>
      <x:c r="I282" s="70" t="str">
        <x:v>Failed</x:v>
      </x:c>
      <x:c r="J282" s="70" t="str">
        <x:v>/Users/mason/.codex/visualizations/2026/09/01/01a05def-1c0d-76d1-abc6-07c63a443582/emulator-runs/retest/android/ACC-018-reveal-focus.json</x:v>
      </x:c>
      <x:c r="K282" s="70" t="str">
        <x:v>Native tap on Show password changed the input to text, preserved the five-character unsent value and changed the accessible label to Hide password. Focus moved from INPUT to BUTTON and the keyboard dismissed. Reveal target was 48 by 64 CSS pixels.</x:v>
      </x:c>
      <x:c r="L282" s="70" t="str">
        <x:v>DEF-080</x:v>
      </x:c>
      <x:c r="M282" s="70" t="str">
        <x:v>This reproduces the shared focus defect. The test value was not the QA account password and was never submitted. New source patch is not in build 15.</x:v>
      </x:c>
    </x:row>
    <x:row r="283" ht="52.79999923706055" hidden="0" customHeight="1">
      <x:c r="A283" s="70" t="str">
        <x:v>RUN-0279</x:v>
      </x:c>
      <x:c r="B283" s="70" t="str">
        <x:v>ACC-006</x:v>
      </x:c>
      <x:c r="C283" s="70" t="str">
        <x:v>Retest</x:v>
      </x:c>
      <x:c r="D283" s="70" t="str">
        <x:v>Android</x:v>
      </x:c>
      <x:c r="E283" s="70" t="str">
        <x:v>Medium_Phone QA user 10</x:v>
      </x:c>
      <x:c r="F283" s="70" t="str">
        <x:v>Android 17</x:v>
      </x:c>
      <x:c r="G283" s="70" t="str">
        <x:v>1.0.0 build 15</x:v>
      </x:c>
      <x:c r="H283" s="71" t="n">
        <x:v>46269.4125</x:v>
      </x:c>
      <x:c r="I283" s="70" t="str">
        <x:v>Blocked</x:v>
      </x:c>
      <x:c r="J283" s="70" t="str">
        <x:v>/Users/mason/.codex/visualizations/2026/09/01/01a05def-1c0d-76d1-abc6-07c63a443582/emulator-runs/retest/android/ACC-006-wrong-password.json</x:v>
      </x:c>
      <x:c r="K283" s="70" t="str">
        <x:v>Submitting the disposable QA email with a deliberately wrong password stayed on Sign in and showed Buff could not reach the account service. Check your connection. Fields and submit became usable again.</x:v>
      </x:c>
      <x:c r="L283" s="70" t="str"/>
      <x:c r="M283" s="70" t="str">
        <x:v>Transport failure prevents testing credential rejection and successful sign-in. Android network/runtime diagnosis is in progress; do not classify the expected connection error as an authentication pass.</x:v>
      </x:c>
    </x:row>
    <x:row r="284" ht="52.79999923706055" hidden="0" customHeight="1">
      <x:c r="A284" s="70" t="str">
        <x:v>RUN-0280</x:v>
      </x:c>
      <x:c r="B284" s="70" t="str">
        <x:v>ACC-001</x:v>
      </x:c>
      <x:c r="C284" s="70" t="str">
        <x:v>Retest</x:v>
      </x:c>
      <x:c r="D284" s="70" t="str">
        <x:v>iOS</x:v>
      </x:c>
      <x:c r="E284" s="70" t="str">
        <x:v>iPhone17Pro</x:v>
      </x:c>
      <x:c r="F284" s="70" t="str">
        <x:v>iOS26.5</x:v>
      </x:c>
      <x:c r="G284" s="70" t="str">
        <x:v>9e9dcf1+dirty; com.spacemancodes.buff1.0.0(15); artifact2026-09-04 10:37:50 BST</x:v>
      </x:c>
      <x:c r="H284" s="71" t="n">
        <x:v>46269.40555555555</x:v>
      </x:c>
      <x:c r="I284" s="70" t="str">
        <x:v>Blocked</x:v>
      </x:c>
      <x:c r="J284" s="70" t="str">
        <x:v>/Users/mason/.codex/visualizations/2026/09/01/01a05def-1c0d-76d1-abc6-07c63a443582/emulator-runs/retest/ios/ACC-001-cold-launch-login-build15.png</x:v>
      </x:c>
      <x:c r="K284" s="70" t="str">
        <x:v>Closed Buff through the iOS app switcher and reopened its icon. The initial black launch frame resolved to the fully rendered Sign in page at php://127.0.0.1/account/login. No Open in Buff prompt was present. Background/resume also retained Sign in.</x:v>
      </x:c>
      <x:c r="L284" s="70" t="str"/>
      <x:c r="M284" s="70" t="str">
        <x:v>Cold-launch account gate passed. The full story still needs protected intended-deep-link return after sign-in and local HTTP boundary fixtures; no broad security claim is made from this smoke test.</x:v>
      </x:c>
    </x:row>
    <x:row r="285" ht="237.60000610351562" hidden="0" customHeight="1">
      <x:c r="A285" s="70" t="str">
        <x:v>RUN-0281</x:v>
      </x:c>
      <x:c r="B285" s="70" t="str">
        <x:v>ACC-004</x:v>
      </x:c>
      <x:c r="C285" s="70" t="str">
        <x:v>Retest</x:v>
      </x:c>
      <x:c r="D285" s="70" t="str">
        <x:v>iOS</x:v>
      </x:c>
      <x:c r="E285" s="70" t="str">
        <x:v>iPhone17Pro</x:v>
      </x:c>
      <x:c r="F285" s="70" t="str">
        <x:v>iOS26.5</x:v>
      </x:c>
      <x:c r="G285" s="70" t="str">
        <x:v>9e9dcf1+dirty; com.spacemancodes.buff1.0.0(15)</x:v>
      </x:c>
      <x:c r="H285" s="71" t="n">
        <x:v>46269.40902777778</x:v>
      </x:c>
      <x:c r="I285" s="70" t="str">
        <x:v>Blocked</x:v>
      </x:c>
      <x:c r="J285" s="70" t="str">
        <x:v>/Users/mason/.codex/visualizations/2026/09/01/01a05def-1c0d-76d1-abc6-07c63a443582/emulator-runs/retest/ios/ACC-004-blank-name-return-guard.png
/Users/mason/.codex/visualizations/2026/09/01/01a05def-1c0d-76d1-abc6-07c63a443582/emulator-runs/retest/ios/ACC-004-malformed-email-return-guard.png
/Users/mason/.codex/visualizations/2026/09/01/01a05def-1c0d-76d1-abc6-07c63a443582/emulator-runs/retest/ios/ACC-004-final-progress-100.png
/Users/mason/.codex/visualizations/2026/09/01/01a05def-1c0d-76d1-abc6-07c63a443582/emulator-runs/retest/ios/ACC-004-password-seven-disabled.png
/Users/mason/.codex/visualizations/2026/09/01/01a05def-1c0d-76d1-abc6-07c63a443582/emulator-runs/retest/ios/ACC-004-password-eight-enabled.png
/Users/mason/.codex/visualizations/2026/09/01/01a05def-1c0d-76d1-abc6-07c63a443582/emulator-runs/retest/ios/ACC-005-registration-onboarding-build15.png</x:v>
      </x:c>
      <x:c r="K285" s="70" t="str">
        <x:v>Blank-name and malformed-email Return guards passed, all four progress values were25/50/75/100, Back preserved name/email, seven password characters disabled Create account and eight enabled it. After replacing test text with a strong generated credential, user-authorized disposable account creation reached onboarding before verification.</x:v>
      </x:c>
      <x:c r="L285" s="70" t="str"/>
      <x:c r="M285" s="70" t="str">
        <x:v>DEF004/005 specific retests passed. Duplicate-email/server-field-error return and full assistive-technology focus coverage remain untested; shared PasswordInput focus regression is separately DEF080. QA credentials are excluded from workbook/evidence.</x:v>
      </x:c>
    </x:row>
    <x:row r="286" ht="79.19999694824219" hidden="0" customHeight="1">
      <x:c r="A286" s="70" t="str">
        <x:v>RUN-0282</x:v>
      </x:c>
      <x:c r="B286" s="70" t="str">
        <x:v>ACC-005</x:v>
      </x:c>
      <x:c r="C286" s="70" t="str">
        <x:v>Retest</x:v>
      </x:c>
      <x:c r="D286" s="70" t="str">
        <x:v>iOS</x:v>
      </x:c>
      <x:c r="E286" s="70" t="str">
        <x:v>iPhone17Pro</x:v>
      </x:c>
      <x:c r="F286" s="70" t="str">
        <x:v>iOS26.5</x:v>
      </x:c>
      <x:c r="G286" s="70" t="str">
        <x:v>9e9dcf1+dirty; com.spacemancodes.buff1.0.0(15)</x:v>
      </x:c>
      <x:c r="H286" s="71" t="n">
        <x:v>46269.40902777778</x:v>
      </x:c>
      <x:c r="I286" s="70" t="str">
        <x:v>Blocked</x:v>
      </x:c>
      <x:c r="J286" s="70" t="str">
        <x:v>/Users/mason/.codex/visualizations/2026/09/01/01a05def-1c0d-76d1-abc6-07c63a443582/emulator-runs/retest/ios/ACC-005-registration-onboarding-build15.png</x:v>
      </x:c>
      <x:c r="K286" s="70" t="str">
        <x:v>A user-authorized unique disposable example.com QA account successfully registered and opened the protected age onboarding step immediately, without waiting for email verification.</x:v>
      </x:c>
      <x:c r="L286" s="70" t="str"/>
      <x:c r="M286" s="70" t="str">
        <x:v>Core registration passed. Verification-mail receipt, normalized mixed-case/spaced email, duplicate-email, offline/rate-limit, token-persistence and server-issued-token details remain separate cases. Reserved example.com mailbox is intentionally non-receiving.</x:v>
      </x:c>
    </x:row>
    <x:row r="287" ht="39.599998474121094" hidden="0" customHeight="1">
      <x:c r="A287" s="70" t="str">
        <x:v>RUN-0283</x:v>
      </x:c>
      <x:c r="B287" s="70" t="str">
        <x:v>ACC-016</x:v>
      </x:c>
      <x:c r="C287" s="70" t="str">
        <x:v>Retest</x:v>
      </x:c>
      <x:c r="D287" s="70" t="str">
        <x:v>iOS</x:v>
      </x:c>
      <x:c r="E287" s="70" t="str">
        <x:v>iPhone17Pro</x:v>
      </x:c>
      <x:c r="F287" s="70" t="str">
        <x:v>iOS26.5</x:v>
      </x:c>
      <x:c r="G287" s="70" t="str">
        <x:v>9e9dcf1+dirty; com.spacemancodes.buff1.0.0(15)</x:v>
      </x:c>
      <x:c r="H287" s="71" t="n">
        <x:v>46269.404861111114</x:v>
      </x:c>
      <x:c r="I287" s="70" t="str">
        <x:v>Blocked</x:v>
      </x:c>
      <x:c r="J287" s="70" t="str">
        <x:v>/Users/mason/.codex/visualizations/2026/09/01/01a05def-1c0d-76d1-abc6-07c63a443582/emulator-runs/retest/ios/ACC-016-malformed-email-blocked.png</x:v>
      </x:c>
      <x:c r="K287" s="70" t="str">
        <x:v>Forgot password opened Reset password with the neutral account-exists copy. Submitting malformed email was blocked by iOS HTML validation with Enter an email address. Back to sign in returned safely without sending a reset message.</x:v>
      </x:c>
      <x:c r="L287" s="70" t="str"/>
      <x:c r="M287" s="70" t="str">
        <x:v>Valid-email submission, delivery, rate-limit/offline feedback and actual reset link remain untested; no recovery email was sent.</x:v>
      </x:c>
    </x:row>
    <x:row r="288" ht="79.19999694824219" hidden="0" customHeight="1">
      <x:c r="A288" s="70" t="str">
        <x:v>RUN-0284</x:v>
      </x:c>
      <x:c r="B288" s="70" t="str">
        <x:v>ACC-018</x:v>
      </x:c>
      <x:c r="C288" s="70" t="str">
        <x:v>Retest</x:v>
      </x:c>
      <x:c r="D288" s="70" t="str">
        <x:v>iOS</x:v>
      </x:c>
      <x:c r="E288" s="70" t="str">
        <x:v>iPhone17Pro</x:v>
      </x:c>
      <x:c r="F288" s="70" t="str">
        <x:v>iOS26.5</x:v>
      </x:c>
      <x:c r="G288" s="70" t="str">
        <x:v>9e9dcf1+dirty; com.spacemancodes.buff1.0.0(15)</x:v>
      </x:c>
      <x:c r="H288" s="71" t="n">
        <x:v>46269.40625</x:v>
      </x:c>
      <x:c r="I288" s="70" t="str">
        <x:v>Failed</x:v>
      </x:c>
      <x:c r="J288" s="70" t="str">
        <x:v>/Users/mason/.codex/visualizations/2026/09/01/01a05def-1c0d-76d1-abc6-07c63a443582/emulator-runs/retest/ios/ACC-018-reveal-blurs-input.png
/Users/mason/.codex/visualizations/2026/09/01/01a05def-1c0d-76d1-abc6-07c63a443582/emulator-runs/retest/ios/ACC-018-hide-blurs-input.png</x:v>
      </x:c>
      <x:c r="K288" s="70" t="str">
        <x:v>Reveal/hide correctly changed type and Show/Hide password labels with48x48 type=button targets, preserved15 characters and did not submit. Both directions blurred the input to BODY and dismissed the keyboard accessory, violating continuous-entry focus expectation.</x:v>
      </x:c>
      <x:c r="L288" s="70" t="str">
        <x:v>DEF-080</x:v>
      </x:c>
      <x:c r="M288" s="70" t="str">
        <x:v>Reproduced twice on login. Value was harmless unsent test text and cleared afterward. VoiceOver and every other PasswordInput usage remain to be checked after the shared fix is rebuilt.</x:v>
      </x:c>
    </x:row>
    <x:row r="289" ht="79.19999694824219" hidden="0" customHeight="1">
      <x:c r="A289" s="70" t="str">
        <x:v>RUN-0285</x:v>
      </x:c>
      <x:c r="B289" s="70" t="str">
        <x:v>ACC-082</x:v>
      </x:c>
      <x:c r="C289" s="70" t="str">
        <x:v>Retest</x:v>
      </x:c>
      <x:c r="D289" s="70" t="str">
        <x:v>iOS</x:v>
      </x:c>
      <x:c r="E289" s="70" t="str">
        <x:v>iPhone17Pro</x:v>
      </x:c>
      <x:c r="F289" s="70" t="str">
        <x:v>iOS26.5</x:v>
      </x:c>
      <x:c r="G289" s="70" t="str">
        <x:v>9e9dcf1+dirty; com.spacemancodes.buff1.0.0(15); artifact2026-09-04 10:37:50 BST</x:v>
      </x:c>
      <x:c r="H289" s="71" t="n">
        <x:v>46269.40555555555</x:v>
      </x:c>
      <x:c r="I289" s="70" t="str">
        <x:v>Blocked</x:v>
      </x:c>
      <x:c r="J289" s="70" t="str">
        <x:v>/Users/mason/.codex/visualizations/2026/09/01/01a05def-1c0d-76d1-abc6-07c63a443582/emulator-runs/retest/ios/ACC-082-portrait-locked-rotated.png
/Users/mason/.codex/visualizations/2026/09/01/01a05def-1c0d-76d1-abc6-07c63a443582/emulator-runs/retest/ios/ACC-001-cold-launch-login-build15.png</x:v>
      </x:c>
      <x:c r="K289" s="70" t="str">
        <x:v>Installed CFBundleVersion15 is confirmed. Four simulator rotations retained portrait-primary WebView402x874; original device position restored. Background/resume and app-switcher close/cold launch rendered sign-in safely.</x:v>
      </x:c>
      <x:c r="L289" s="70" t="str"/>
      <x:c r="M289" s="70" t="str">
        <x:v>Only runtime launch/orientation/resume subset checked. Pull-to-refresh across pages/form data preservation, slow/error loads and each registered integration remain untested; no blanket shell verification.</x:v>
      </x:c>
    </x:row>
    <x:row r="290" ht="118.80000305175781" hidden="0" customHeight="1">
      <x:c r="A290" s="70" t="str">
        <x:v>RUN-0286</x:v>
      </x:c>
      <x:c r="B290" s="70" t="str">
        <x:v>ACC-026</x:v>
      </x:c>
      <x:c r="C290" s="70" t="str">
        <x:v>Retest</x:v>
      </x:c>
      <x:c r="D290" s="70" t="str">
        <x:v>iOS</x:v>
      </x:c>
      <x:c r="E290" s="70" t="str">
        <x:v>iPhone 17 Pro</x:v>
      </x:c>
      <x:c r="F290" s="70" t="str">
        <x:v>iOS 26.5</x:v>
      </x:c>
      <x:c r="G290" s="70" t="str">
        <x:v>9e9dcf1+dirty; com.spacemancodes.buff 1.0.0 (15)</x:v>
      </x:c>
      <x:c r="H290" s="71" t="n">
        <x:v>46269.41180555556</x:v>
      </x:c>
      <x:c r="I290" s="70" t="str">
        <x:v>Blocked</x:v>
      </x:c>
      <x:c r="J290" s="70" t="str">
        <x:v>/Users/mason/.codex/visualizations/2026/09/01/01a05def-1c0d-76d1-abc6-07c63a443582/emulator-runs/retest/ios/ACC-026-age121-disabled.png
/Users/mason/.codex/visualizations/2026/09/01/01a05def-1c0d-76d1-abc6-07c63a443582/emulator-runs/retest/ios/ACC-026-height-roundtrip180.png
/Users/mason/.codex/visualizations/2026/09/01/01a05def-1c0d-76d1-abc6-07c63a443582/emulator-runs/retest/ios/ACC-026-weight-roundtrip75.png</x:v>
      </x:c>
      <x:c r="K290" s="70" t="str">
        <x:v>Age 12 and 121 disabled Next; age 25 enabled it. Empty current weight disabled Next. Height 180 cm converted to 5 feet 10.9 inches and back to exactly 180 cm; weight 75 kg converted to 165.3 lb and back to exactly 75 kg. The saved profile uses metric units.</x:v>
      </x:c>
      <x:c r="L290" s="70" t="str"/>
      <x:c r="M290" s="70" t="str">
        <x:v>This checks the observed conversion regression and representative age/required-weight cases, not all specified age/height/weight boundaries, locale keyboards, optional skips or assistive-technology radio semantics. No age-18 branch was exercised in this run.</x:v>
      </x:c>
    </x:row>
    <x:row r="291" ht="52.79999923706055" hidden="0" customHeight="1">
      <x:c r="A291" s="70" t="str">
        <x:v>RUN-0287</x:v>
      </x:c>
      <x:c r="B291" s="70" t="str">
        <x:v>ACC-028</x:v>
      </x:c>
      <x:c r="C291" s="70" t="str">
        <x:v>Retest</x:v>
      </x:c>
      <x:c r="D291" s="70" t="str">
        <x:v>iOS</x:v>
      </x:c>
      <x:c r="E291" s="70" t="str">
        <x:v>iPhone 17 Pro</x:v>
      </x:c>
      <x:c r="F291" s="70" t="str">
        <x:v>iOS 26.5</x:v>
      </x:c>
      <x:c r="G291" s="70" t="str">
        <x:v>9e9dcf1+dirty; com.spacemancodes.buff 1.0.0 (15)</x:v>
      </x:c>
      <x:c r="H291" s="71" t="n">
        <x:v>46269.41180555556</x:v>
      </x:c>
      <x:c r="I291" s="70" t="str">
        <x:v>Blocked</x:v>
      </x:c>
      <x:c r="J291" s="70" t="str">
        <x:v>/Users/mason/.codex/visualizations/2026/09/01/01a05def-1c0d-76d1-abc6-07c63a443582/emulator-runs/retest/ios/ACC-028-maintenance-plan2100.png</x:v>
      </x:c>
      <x:c r="K291" s="70" t="str">
        <x:v>Synthetic reference profile age 25, male equation, 180 cm, 75 kg, sedentary and maintain produced 2,100 kcal with starting-estimate notice and displayed 158 g protein, 210 g carbs, 70 g fat. Maintenance skipped target-weight and pace screens. Optional body-fat target was left blank.</x:v>
      </x:c>
      <x:c r="L291" s="70" t="str"/>
      <x:c r="M291" s="70" t="str">
        <x:v>One adult maintenance path passed. Lose/gain, age 18/19 boundary, female equation, every activity and 20-percent cap variants remain for separate emulator fixtures.</x:v>
      </x:c>
    </x:row>
    <x:row r="292" ht="118.80000305175781" hidden="0" customHeight="1">
      <x:c r="A292" s="70" t="str">
        <x:v>RUN-0288</x:v>
      </x:c>
      <x:c r="B292" s="70" t="str">
        <x:v>ACC-031</x:v>
      </x:c>
      <x:c r="C292" s="70" t="str">
        <x:v>Retest</x:v>
      </x:c>
      <x:c r="D292" s="70" t="str">
        <x:v>iOS</x:v>
      </x:c>
      <x:c r="E292" s="70" t="str">
        <x:v>iPhone 17 Pro</x:v>
      </x:c>
      <x:c r="F292" s="70" t="str">
        <x:v>iOS 26.5</x:v>
      </x:c>
      <x:c r="G292" s="70" t="str">
        <x:v>9e9dcf1+dirty; com.spacemancodes.buff 1.0.0 (15)</x:v>
      </x:c>
      <x:c r="H292" s="71" t="n">
        <x:v>46269.41388888889</x:v>
      </x:c>
      <x:c r="I292" s="70" t="str">
        <x:v>Blocked</x:v>
      </x:c>
      <x:c r="J292" s="70" t="str">
        <x:v>/Users/mason/.codex/visualizations/2026/09/01/01a05def-1c0d-76d1-abc6-07c63a443582/emulator-runs/retest/ios/ACC-031-onboarding-complete-today.png
/Users/mason/.codex/visualizations/2026/09/01/01a05def-1c0d-76d1-abc6-07c63a443582/emulator-runs/retest/ios/HLT-039-created-weight75.png</x:v>
      </x:c>
      <x:c r="K292" s="70" t="str">
        <x:v>Customize displayed unchanged 2,100 kcal and balanced 30/40/30 percentages. Start Buff completed once, showed Buff is ready, and opened Today with the saved goals. Goals retained the same defaults; Progress showed the initial 75 kg measurement and 180 cm height. Read-only localStorage inspection using the source-defined buff:onboarding-draft: prefix found zero drafts and no buff:registration-name after completion.</x:v>
      </x:c>
      <x:c r="L292" s="70" t="str"/>
      <x:c r="M292" s="70" t="str">
        <x:v>Happy-path initialization and cleanup passed. Boundary/mismatch/rollback/concurrent-write cases, body-profile/units screens and direct onboarding revisit remain untested. Simulator drag was interpreted as a tap, preventing reliable lower-panel touch-scroll/custom wheel coverage; do not treat that as an application defect. An accidental unsaved Goals preset selection was immediately restored to Balanced; no Save action occurred.</x:v>
      </x:c>
    </x:row>
    <x:row r="293" ht="52.79999923706055" hidden="0" customHeight="1">
      <x:c r="A293" s="70" t="str">
        <x:v>RUN-0289</x:v>
      </x:c>
      <x:c r="B293" s="70" t="str">
        <x:v>HLT-034</x:v>
      </x:c>
      <x:c r="C293" s="70" t="str">
        <x:v>Retest</x:v>
      </x:c>
      <x:c r="D293" s="70" t="str">
        <x:v>iOS</x:v>
      </x:c>
      <x:c r="E293" s="70" t="str">
        <x:v>iPhone 17 Pro</x:v>
      </x:c>
      <x:c r="F293" s="70" t="str">
        <x:v>iOS 26.5</x:v>
      </x:c>
      <x:c r="G293" s="70" t="str">
        <x:v>9e9dcf1+dirty; com.spacemancodes.buff 1.0.0 (15)</x:v>
      </x:c>
      <x:c r="H293" s="71" t="n">
        <x:v>46269.413194444445</x:v>
      </x:c>
      <x:c r="I293" s="70" t="str">
        <x:v>Blocked</x:v>
      </x:c>
      <x:c r="J293" s="70" t="str">
        <x:v>/Users/mason/.codex/visualizations/2026/09/01/01a05def-1c0d-76d1-abc6-07c63a443582/emulator-runs/retest/ios/HLT-039-created-weight75.png</x:v>
      </x:c>
      <x:c r="K293" s="70" t="str">
        <x:v>Progress displayed BMR 1,755 and estimated daily energy 2,106 kcal for the saved 25-year-old male-equation, 180 cm, 75 kg sedentary fixture. These match 10*75 + 6.25*180 - 5*25 + 5 = 1,755 and 1,755*1.2 = 2,106. Onboarding rounded the maintenance goal to 2,100 kcal.</x:v>
      </x:c>
      <x:c r="L293" s="70" t="str"/>
      <x:c r="M293" s="70" t="str">
        <x:v>One reference profile passed. Other activity levels, female equation, missing/invalid dependencies and goal adjustment variants are not covered by this result.</x:v>
      </x:c>
    </x:row>
    <x:row r="294" ht="79.19999694824219" hidden="0" customHeight="1">
      <x:c r="A294" s="70" t="str">
        <x:v>RUN-0290</x:v>
      </x:c>
      <x:c r="B294" s="70" t="str">
        <x:v>HLT-039</x:v>
      </x:c>
      <x:c r="C294" s="70" t="str">
        <x:v>Retest</x:v>
      </x:c>
      <x:c r="D294" s="70" t="str">
        <x:v>iOS</x:v>
      </x:c>
      <x:c r="E294" s="70" t="str">
        <x:v>iPhone 17 Pro</x:v>
      </x:c>
      <x:c r="F294" s="70" t="str">
        <x:v>iOS 26.5</x:v>
      </x:c>
      <x:c r="G294" s="70" t="str">
        <x:v>9e9dcf1+dirty; com.spacemancodes.buff 1.0.0 (15)</x:v>
      </x:c>
      <x:c r="H294" s="71" t="n">
        <x:v>46269.413194444445</x:v>
      </x:c>
      <x:c r="I294" s="70" t="str">
        <x:v>Blocked</x:v>
      </x:c>
      <x:c r="J294" s="70" t="str">
        <x:v>/Users/mason/.codex/visualizations/2026/09/01/01a05def-1c0d-76d1-abc6-07c63a443582/emulator-runs/retest/ios/ACC-031-onboarding-complete-today.png
/Users/mason/.codex/visualizations/2026/09/01/01a05def-1c0d-76d1-abc6-07c63a443582/emulator-runs/retest/ios/HLT-039-created-weight75.png</x:v>
      </x:c>
      <x:c r="K294" s="70" t="str">
        <x:v>Completing onboarding initialized the daily goals and today's 75 kg Progress entry, preserved metric height/weight and removed draft/registration-name storage. Today and Goals displayed the same saved target after navigation.</x:v>
      </x:c>
      <x:c r="L294" s="70" t="str"/>
      <x:c r="M294" s="70" t="str">
        <x:v>Core completion passed. Atomic rollback under forced failure, concurrent existing-goal behavior, direct onboarding redirect and every destination field still require targeted checks.</x:v>
      </x:c>
    </x:row>
    <x:row r="295" ht="79.19999694824219" hidden="0" customHeight="1">
      <x:c r="A295" s="70" t="str">
        <x:v>RUN-0291</x:v>
      </x:c>
      <x:c r="B295" s="70" t="str">
        <x:v>ACC-005</x:v>
      </x:c>
      <x:c r="C295" s="70" t="str">
        <x:v>Retest</x:v>
      </x:c>
      <x:c r="D295" s="70" t="str">
        <x:v>iOS</x:v>
      </x:c>
      <x:c r="E295" s="70" t="str">
        <x:v>iPhone 17 Pro</x:v>
      </x:c>
      <x:c r="F295" s="70" t="str">
        <x:v>iOS 26.5</x:v>
      </x:c>
      <x:c r="G295" s="70" t="str">
        <x:v>9e9dcf1+dirty; com.spacemancodes.buff 1.0.0 (15)</x:v>
      </x:c>
      <x:c r="H295" s="71" t="n">
        <x:v>46269.41388888889</x:v>
      </x:c>
      <x:c r="I295" s="70" t="str">
        <x:v>Blocked</x:v>
      </x:c>
      <x:c r="J295" s="70" t="str">
        <x:v>/Users/mason/.codex/visualizations/2026/09/01/01a05def-1c0d-76d1-abc6-07c63a443582/emulator-runs/retest/ios/ACC-005-registration-onboarding-build15.png
/Users/mason/.codex/visualizations/2026/09/01/01a05def-1c0d-76d1-abc6-07c63a443582/emulator-runs/retest/ios/ACC-005-authenticated-cold-launch.png</x:v>
      </x:c>
      <x:c r="K295" s="70" t="str">
        <x:v>After authorized registration and onboarding, closing Buff via the iOS app switcher and reopening its icon returned directly to Today with the same 2,100-kcal plan and no sign-in or consent repeat, proving the new QA session survives process death.</x:v>
      </x:c>
      <x:c r="L295" s="70" t="str"/>
      <x:c r="M295" s="70" t="str">
        <x:v>Registration, pre-verification use and credential persistence passed. Verification-mail delivery, normalized mixed-case/spaced input, duplicate registration and offline/rate-limit cases remain untested.</x:v>
      </x:c>
    </x:row>
    <x:row r="296" ht="79.19999694824219" hidden="0" customHeight="1">
      <x:c r="A296" s="70" t="str">
        <x:v>RUN-0292</x:v>
      </x:c>
      <x:c r="B296" s="70" t="str">
        <x:v>ACC-006</x:v>
      </x:c>
      <x:c r="C296" s="70" t="str">
        <x:v>Retest</x:v>
      </x:c>
      <x:c r="D296" s="70" t="str">
        <x:v>Android</x:v>
      </x:c>
      <x:c r="E296" s="70" t="str">
        <x:v>Medium_Phone QA user 10</x:v>
      </x:c>
      <x:c r="F296" s="70" t="str">
        <x:v>Android 17</x:v>
      </x:c>
      <x:c r="G296" s="70" t="str">
        <x:v>1.0.0 build 15</x:v>
      </x:c>
      <x:c r="H296" s="71" t="n">
        <x:v>46269.415972222225</x:v>
      </x:c>
      <x:c r="I296" s="70" t="str">
        <x:v>Blocked</x:v>
      </x:c>
      <x:c r="J296" s="70" t="str">
        <x:v>/Users/mason/.codex/visualizations/2026/09/01/01a05def-1c0d-76d1-abc6-07c63a443582/emulator-runs/retest/android/ACC-006-rejected-after-wake.json
/Users/mason/.codex/visualizations/2026/09/01/01a05def-1c0d-76d1-abc6-07c63a443582/emulator-runs/retest/android/ACC-006-login-result.json</x:v>
      </x:c>
      <x:c r="K296" s="70" t="str">
        <x:v>After wake/unlock removed Android background network blocking, the invalid password produced The provided credentials are incorrect. Replacing it with the generated QA password successfully opened Today and downloaded the iOS-created 2100-kcal plan with 158/210/70 displayed macro targets.</x:v>
      </x:c>
      <x:c r="L296" s="70" t="str"/>
      <x:c r="M296" s="70" t="str">
        <x:v>Core rejection, sign-in and cross-device onboarding-plan retrieval passed. Earlier connection-error evidence reflects the sleeping emulator, not an app defect. Full story still needs normalized input, same-account data preservation, different-account cleanup and intended-route variants.</x:v>
      </x:c>
    </x:row>
    <x:row r="297" ht="79.19999694824219" hidden="0" customHeight="1">
      <x:c r="A297" s="70" t="str">
        <x:v>RUN-0293</x:v>
      </x:c>
      <x:c r="B297" s="70" t="str">
        <x:v>NUT-107</x:v>
      </x:c>
      <x:c r="C297" s="70" t="str">
        <x:v>Retest</x:v>
      </x:c>
      <x:c r="D297" s="70" t="str">
        <x:v>Android</x:v>
      </x:c>
      <x:c r="E297" s="70" t="str">
        <x:v>Medium_Phone QA user 10</x:v>
      </x:c>
      <x:c r="F297" s="70" t="str">
        <x:v>Android 17</x:v>
      </x:c>
      <x:c r="G297" s="70" t="str">
        <x:v>1.0.0 build 15</x:v>
      </x:c>
      <x:c r="H297" s="71" t="n">
        <x:v>46269.41986111111</x:v>
      </x:c>
      <x:c r="I297" s="70" t="str">
        <x:v>Failed</x:v>
      </x:c>
      <x:c r="J297" s="70" t="str">
        <x:v>/Users/mason/.codex/visualizations/2026/09/01/01a05def-1c0d-76d1-abc6-07c63a443582/emulator-runs/retest/android/NUT-107-genuine-resume-sync.json
/Users/mason/.codex/visualizations/2026/09/01/01a05def-1c0d-76d1-abc6-07c63a443582/emulator-runs/retest/android/NUT-107-stale-hero-after-sync.png</x:v>
      </x:c>
      <x:c r="K297" s="70" t="str">
        <x:v>After iOS created and synced a 500-kcal meal, Android genuine background/foreground sync updated daily rows and insights to 500 kcal and 20/60/20 macros. The retained Weekly headline and macro cards stayed zero. Pending zero, no sync error.</x:v>
      </x:c>
      <x:c r="L297" s="70" t="str">
        <x:v>DEF-081</x:v>
      </x:c>
      <x:c r="M297" s="70" t="str">
        <x:v>Normal period navigation is a separate previously passing case. This build predates the new computed-value fix; both platforms need post-fix verification.</x:v>
      </x:c>
    </x:row>
    <x:row r="298" ht="118.80000305175781" hidden="0" customHeight="1">
      <x:c r="A298" s="70" t="str">
        <x:v>RUN-0294</x:v>
      </x:c>
      <x:c r="B298" s="70" t="str">
        <x:v>NUT-078</x:v>
      </x:c>
      <x:c r="C298" s="70" t="str">
        <x:v>Retest</x:v>
      </x:c>
      <x:c r="D298" s="70" t="str">
        <x:v>Android</x:v>
      </x:c>
      <x:c r="E298" s="70" t="str">
        <x:v>Medium_Phone QA user 10</x:v>
      </x:c>
      <x:c r="F298" s="70" t="str">
        <x:v>Android 17</x:v>
      </x:c>
      <x:c r="G298" s="70" t="str">
        <x:v>1.0.0 build 15</x:v>
      </x:c>
      <x:c r="H298" s="71" t="n">
        <x:v>46269.42083333333</x:v>
      </x:c>
      <x:c r="I298" s="70" t="str">
        <x:v>Failed</x:v>
      </x:c>
      <x:c r="J298" s="70" t="str">
        <x:v>/Users/mason/.codex/visualizations/2026/09/01/01a05def-1c0d-76d1-abc6-07c63a443582/emulator-runs/retest/android/NUT-078-offline-details.json
/Users/mason/.codex/visualizations/2026/09/01/01a05def-1c0d-76d1-abc6-07c63a443582/emulator-runs/retest/android/NUT-078-photo-request-status.json
/Users/mason/.codex/visualizations/2026/09/01/01a05def-1c0d-76d1-abc6-07c63a443582/emulator-runs/retest/android/NUT-078-offline-no-feedback.png</x:v>
      </x:c>
      <x:c r="K298" s="70" t="str">
        <x:v>Opening the synced QA meal offline triggered a photo GET returning 503. The drawer silently removed loading without error or Retry. Connectivity restoration did not reload photos or offer recovery.</x:v>
      </x:c>
      <x:c r="L298" s="70" t="str">
        <x:v>DEF-082</x:v>
      </x:c>
      <x:c r="M298" s="70" t="str">
        <x:v>Both transports restored. No confirmed photo gallery exists in this QA account, so successful-gallery and photo-viewer cases remain untested. This runtime failure is independent of the legitimate online 404 no-photo state.</x:v>
      </x:c>
    </x:row>
    <x:row r="299" ht="118.80000305175781" hidden="0" customHeight="1">
      <x:c r="A299" s="70" t="str">
        <x:v>RUN-0295</x:v>
      </x:c>
      <x:c r="B299" s="70" t="str">
        <x:v>NUT-039</x:v>
      </x:c>
      <x:c r="C299" s="70" t="str">
        <x:v>Retest</x:v>
      </x:c>
      <x:c r="D299" s="70" t="str">
        <x:v>iOS</x:v>
      </x:c>
      <x:c r="E299" s="70" t="str">
        <x:v>iPhone 17 Pro</x:v>
      </x:c>
      <x:c r="F299" s="70" t="str">
        <x:v>iOS 26.5</x:v>
      </x:c>
      <x:c r="G299" s="70" t="str">
        <x:v>9e9dcf1+dirty; com.spacemancodes.buff 1.0.0 (15)</x:v>
      </x:c>
      <x:c r="H299" s="71" t="n">
        <x:v>46269.41736111111</x:v>
      </x:c>
      <x:c r="I299" s="70" t="str">
        <x:v>Blocked</x:v>
      </x:c>
      <x:c r="J299" s="70" t="str">
        <x:v>/Users/mason/.codex/visualizations/2026/09/01/01a05def-1c0d-76d1-abc6-07c63a443582/emulator-runs/retest/ios/NUT-039-cross-device-meal-ready.png
/Users/mason/.codex/visualizations/2026/09/01/01a05def-1c0d-76d1-abc6-07c63a443582/emulator-runs/retest/ios/NUT-039-cross-device-meal500-today.png
/Users/mason/.codex/visualizations/2026/09/01/01a05def-1c0d-76d1-abc6-07c63a443582/emulator-runs/retest/ios/NUT-039-cross-device-meal-observation.json</x:v>
      </x:c>
      <x:c r="K299" s="70" t="str">
        <x:v>Opened Today Add food drawer then Custom. Entered a clearly named QA meal with 100 g portion and 20 g protein, 60 g carbs, 20 g fat; button calculated 500 kcal from 4/4/9 with no calorie field. Submitted once after cross-device coordination signal. Dated Today showed exactly one matching Lunch row, 500 kcal, macros 20/60/20 and 1,600 kcal remaining. Current page flash message is Custom food added; sync props subsequently reported pending 0 and no error.</x:v>
      </x:c>
      <x:c r="L299" s="70" t="str"/>
      <x:c r="M299" s="70" t="str">
        <x:v>Core manual-entry/save/calculation passed. Native toast rendering was not captured before dismissal, and the alternate ml unit was not exercised. No second meal was created to repeat the fleeting toast solely for evidence.</x:v>
      </x:c>
    </x:row>
    <x:row r="300" ht="92.4000015258789" hidden="0" customHeight="1">
      <x:c r="A300" s="70" t="str">
        <x:v>RUN-0296</x:v>
      </x:c>
      <x:c r="B300" s="70" t="str">
        <x:v>NUT-040</x:v>
      </x:c>
      <x:c r="C300" s="70" t="str">
        <x:v>Retest</x:v>
      </x:c>
      <x:c r="D300" s="70" t="str">
        <x:v>iOS</x:v>
      </x:c>
      <x:c r="E300" s="70" t="str">
        <x:v>iPhone 17 Pro</x:v>
      </x:c>
      <x:c r="F300" s="70" t="str">
        <x:v>iOS 26.5</x:v>
      </x:c>
      <x:c r="G300" s="70" t="str">
        <x:v>9e9dcf1+dirty; com.spacemancodes.buff 1.0.0 (15)</x:v>
      </x:c>
      <x:c r="H300" s="71" t="n">
        <x:v>46269.415972222225</x:v>
      </x:c>
      <x:c r="I300" s="70" t="str">
        <x:v>Blocked</x:v>
      </x:c>
      <x:c r="J300" s="70" t="str">
        <x:v>/Users/mason/.codex/visualizations/2026/09/01/01a05def-1c0d-76d1-abc6-07c63a443582/emulator-runs/retest/ios/NUT-039-cross-device-meal-observation.json</x:v>
      </x:c>
      <x:c r="K300" s="70" t="str">
        <x:v>Before final valid submission, entered protein -1 without submitting. Native HTML input had min 0, validity false and rangeUnderflow true. Correcting to 20 restored valid input and the expected calorie preview; every prepared field was valid before the one authorized save.</x:v>
      </x:c>
      <x:c r="L300" s="70" t="str"/>
      <x:c r="M300" s="70" t="str">
        <x:v>Only client range validity was checked. Invalid form submissions, inline server-field messages, name/portion/unit bounds and macro upper bounds were deliberately deferred to avoid data creation before the coordinated cross-device signal. Negative intermediate input displayed Add -4 kcal; it was never submitted.</x:v>
      </x:c>
    </x:row>
    <x:row r="301" ht="79.19999694824219" hidden="0" customHeight="1">
      <x:c r="A301" s="70" t="str">
        <x:v>RUN-0297</x:v>
      </x:c>
      <x:c r="B301" s="70" t="str">
        <x:v>NUT-018</x:v>
      </x:c>
      <x:c r="C301" s="70" t="str">
        <x:v>Retest</x:v>
      </x:c>
      <x:c r="D301" s="70" t="str">
        <x:v>iOS</x:v>
      </x:c>
      <x:c r="E301" s="70" t="str">
        <x:v>iPhone 17 Pro</x:v>
      </x:c>
      <x:c r="F301" s="70" t="str">
        <x:v>iOS 26.5</x:v>
      </x:c>
      <x:c r="G301" s="70" t="str">
        <x:v>9e9dcf1+dirty; com.spacemancodes.buff 1.0.0 (15)</x:v>
      </x:c>
      <x:c r="H301" s="71" t="n">
        <x:v>46269.41736111111</x:v>
      </x:c>
      <x:c r="I301" s="70" t="str">
        <x:v>Blocked</x:v>
      </x:c>
      <x:c r="J301" s="70" t="str">
        <x:v>/Users/mason/.codex/visualizations/2026/09/01/01a05def-1c0d-76d1-abc6-07c63a443582/emulator-runs/retest/ios/NUT-039-cross-device-meal-ready.png
/Users/mason/.codex/visualizations/2026/09/01/01a05def-1c0d-76d1-abc6-07c63a443582/emulator-runs/retest/ios/NUT-039-cross-device-meal500-today.png</x:v>
      </x:c>
      <x:c r="K301" s="70" t="str">
        <x:v>At approximately 10:58 BST, Custom defaulted to Lunch with accessible aria-checked=true. The unchanged selection propagated into the saved meal's Lunch group.</x:v>
      </x:c>
      <x:c r="L301" s="70" t="str"/>
      <x:c r="M301" s="70" t="str">
        <x:v>The observed daytime default and submission passed. Breakfast/dinner/snacks time boundaries, explicit meal-query override and changed selection remain untested.</x:v>
      </x:c>
    </x:row>
    <x:row r="302" ht="52.79999923706055" hidden="0" customHeight="1">
      <x:c r="A302" s="70" t="str">
        <x:v>RUN-0298</x:v>
      </x:c>
      <x:c r="B302" s="70" t="str">
        <x:v>NUT-111</x:v>
      </x:c>
      <x:c r="C302" s="70" t="str">
        <x:v>Retest</x:v>
      </x:c>
      <x:c r="D302" s="70" t="str">
        <x:v>iOS</x:v>
      </x:c>
      <x:c r="E302" s="70" t="str">
        <x:v>iPhone 17 Pro</x:v>
      </x:c>
      <x:c r="F302" s="70" t="str">
        <x:v>iOS 26.5</x:v>
      </x:c>
      <x:c r="G302" s="70" t="str">
        <x:v>9e9dcf1+dirty; com.spacemancodes.buff 1.0.0 (15)</x:v>
      </x:c>
      <x:c r="H302" s="71" t="n">
        <x:v>46269.41736111111</x:v>
      </x:c>
      <x:c r="I302" s="70" t="str">
        <x:v>Blocked</x:v>
      </x:c>
      <x:c r="J302" s="70" t="str">
        <x:v>/Users/mason/.codex/visualizations/2026/09/01/01a05def-1c0d-76d1-abc6-07c63a443582/emulator-runs/retest/ios/NUT-039-cross-device-meal-observation.json</x:v>
      </x:c>
      <x:c r="K302" s="70" t="str">
        <x:v>After Android Weekly was backgrounded at zero totals, iOS saved exactly one named custom meal. Its local Today snapshot retained date, Lunch type, physical portion and all macros. Normal synchronization completed with last_succeeded_at 2026-09-04T10:00:31.388041Z, pending 0 and no error.</x:v>
      </x:c>
      <x:c r="L302" s="70" t="str"/>
      <x:c r="M302" s="70" t="str">
        <x:v>This records the custom-meal source side only; root owns the Android receiver/resume evidence. Barcode/recipe/analyzed-meal relation snapshots and tombstone cleanup remain separate cases.</x:v>
      </x:c>
    </x:row>
    <x:row r="303" ht="92.4000015258789" hidden="0" customHeight="1">
      <x:c r="A303" s="70" t="str">
        <x:v>RUN-0299</x:v>
      </x:c>
      <x:c r="B303" s="70" t="str">
        <x:v>ACC-032</x:v>
      </x:c>
      <x:c r="C303" s="70" t="str">
        <x:v>Retest</x:v>
      </x:c>
      <x:c r="D303" s="70" t="str">
        <x:v>iOS</x:v>
      </x:c>
      <x:c r="E303" s="70" t="str">
        <x:v>iPhone 17 Pro</x:v>
      </x:c>
      <x:c r="F303" s="70" t="str">
        <x:v>iOS 26.5</x:v>
      </x:c>
      <x:c r="G303" s="70" t="str">
        <x:v>9e9dcf1+dirty; com.spacemancodes.buff 1.0.0 (15)</x:v>
      </x:c>
      <x:c r="H303" s="71" t="n">
        <x:v>46269.42986111111</x:v>
      </x:c>
      <x:c r="I303" s="70" t="str">
        <x:v>Blocked</x:v>
      </x:c>
      <x:c r="J303" s="70" t="str">
        <x:v>/Users/mason/.codex/visualizations/2026/09/01/01a05def-1c0d-76d1-abc6-07c63a443582/emulator-runs/retest/ios/ACC-032-035-settings-observations.json</x:v>
      </x:c>
      <x:c r="K303" s="70" t="str">
        <x:v>Opened Edit profile, Change password, Subscription, Appearance, Meal reminders, Body profile, Units and Exercise calories. All hid mobile bottom navigation and their header Back controls returned to the Settings hub, restoring the nav. Seven measured header links were44x44 and labelled Back to settings. Appearance header Back preserved history length9→9; hub theme detail tracked Dark and Light. Account, inactive subscription, reminder Off, metric units and Eat all back summaries matched current state.</x:v>
      </x:c>
      <x:c r="L303" s="70" t="str"/>
      <x:c r="M303" s="70" t="str">
        <x:v>Safe visible-row subset passed and DEF017 iOS-specific fix was verified. Lower Apple Health/Connected AI assistants rows and privacy-sheet activation were not completed because reliable Simulator scrolling remained unavailable. Logout/delete and alternate signed-out/subscribed/platform fixtures were not invoked.</x:v>
      </x:c>
    </x:row>
    <x:row r="304" ht="52.79999923706055" hidden="0" customHeight="1">
      <x:c r="A304" s="70" t="str">
        <x:v>RUN-0300</x:v>
      </x:c>
      <x:c r="B304" s="70" t="str">
        <x:v>ACC-033</x:v>
      </x:c>
      <x:c r="C304" s="70" t="str">
        <x:v>Retest</x:v>
      </x:c>
      <x:c r="D304" s="70" t="str">
        <x:v>iOS</x:v>
      </x:c>
      <x:c r="E304" s="70" t="str">
        <x:v>iPhone 17 Pro</x:v>
      </x:c>
      <x:c r="F304" s="70" t="str">
        <x:v>iOS 26.5</x:v>
      </x:c>
      <x:c r="G304" s="70" t="str">
        <x:v>9e9dcf1+dirty; com.spacemancodes.buff 1.0.0 (15)</x:v>
      </x:c>
      <x:c r="H304" s="71" t="n">
        <x:v>46269.427083333336</x:v>
      </x:c>
      <x:c r="I304" s="70" t="str">
        <x:v>Blocked</x:v>
      </x:c>
      <x:c r="J304" s="70" t="str">
        <x:v>/Users/mason/.codex/visualizations/2026/09/01/01a05def-1c0d-76d1-abc6-07c63a443582/emulator-runs/retest/ios/ACC-032-035-settings-observations.json</x:v>
      </x:c>
      <x:c r="K304" s="70" t="str">
        <x:v>Units displayed Kilograms, Centimeters, Centimeters and a44px labelled Back to settings; header return restored hub/nav with kg,cm summary.</x:v>
      </x:c>
      <x:c r="L304" s="70" t="str"/>
      <x:c r="M304" s="70" t="str">
        <x:v>Read-only navigation/defaults only. Shared unit preferences were intentionally not changed, so autosave queueing, rapid changes, persistence and error cases remain untested in this batch.</x:v>
      </x:c>
    </x:row>
    <x:row r="305" ht="158.39999389648438" hidden="0" customHeight="1">
      <x:c r="A305" s="70" t="str">
        <x:v>RUN-0301</x:v>
      </x:c>
      <x:c r="B305" s="70" t="str">
        <x:v>ACC-034</x:v>
      </x:c>
      <x:c r="C305" s="70" t="str">
        <x:v>Retest</x:v>
      </x:c>
      <x:c r="D305" s="70" t="str">
        <x:v>iOS</x:v>
      </x:c>
      <x:c r="E305" s="70" t="str">
        <x:v>iPhone 17 Pro</x:v>
      </x:c>
      <x:c r="F305" s="70" t="str">
        <x:v>iOS 26.5</x:v>
      </x:c>
      <x:c r="G305" s="70" t="str">
        <x:v>9e9dcf1+dirty; com.spacemancodes.buff 1.0.0 (15)</x:v>
      </x:c>
      <x:c r="H305" s="71" t="n">
        <x:v>46269.42986111111</x:v>
      </x:c>
      <x:c r="I305" s="70" t="str">
        <x:v>Blocked</x:v>
      </x:c>
      <x:c r="J305" s="70" t="str">
        <x:v>/Users/mason/.codex/visualizations/2026/09/01/01a05def-1c0d-76d1-abc6-07c63a443582/emulator-runs/retest/ios/ACC-032-035-settings-observations.json
/Users/mason/.codex/visualizations/2026/09/01/01a05def-1c0d-76d1-abc6-07c63a443582/emulator-runs/retest/ios/ACC-034-035-dark-cold-launch.png
/Users/mason/.codex/visualizations/2026/09/01/01a05def-1c0d-76d1-abc6-07c63a443582/emulator-runs/retest/ios/ACC-034-light-cold-launch.png
/Users/mason/.codex/visualizations/2026/09/01/01a05def-1c0d-76d1-abc6-07c63a443582/emulator-runs/retest/ios/ACC-034-system-restored-cold-launch.png</x:v>
      </x:c>
      <x:c r="K305" s="70" t="str">
        <x:v>System default initially matched the light OS. Selecting Dark immediately changed rendering and aria-pressed selection, persisted locally, updated the hub summary and survived process death. Light did the same and survived a second cold launch. System was restored and survived a third cold launch, matching the unchanged light OS.</x:v>
      </x:c>
      <x:c r="L305" s="70" t="str"/>
      <x:c r="M305" s="70" t="str">
        <x:v>All three app selections and cold-launch persistence passed. Live OS appearance switching and invalid-storage fallback were not injected; no claim about those branches. Only device-local preferences changed and the initial System setting was restored.</x:v>
      </x:c>
    </x:row>
    <x:row r="306" ht="118.80000305175781" hidden="0" customHeight="1">
      <x:c r="A306" s="70" t="str">
        <x:v>RUN-0302</x:v>
      </x:c>
      <x:c r="B306" s="70" t="str">
        <x:v>ACC-035</x:v>
      </x:c>
      <x:c r="C306" s="70" t="str">
        <x:v>Retest</x:v>
      </x:c>
      <x:c r="D306" s="70" t="str">
        <x:v>iOS</x:v>
      </x:c>
      <x:c r="E306" s="70" t="str">
        <x:v>iPhone 17 Pro</x:v>
      </x:c>
      <x:c r="F306" s="70" t="str">
        <x:v>iOS 26.5</x:v>
      </x:c>
      <x:c r="G306" s="70" t="str">
        <x:v>9e9dcf1+dirty; com.spacemancodes.buff 1.0.0 (15)</x:v>
      </x:c>
      <x:c r="H306" s="71" t="n">
        <x:v>46269.42986111111</x:v>
      </x:c>
      <x:c r="I306" s="70" t="str">
        <x:v>Blocked</x:v>
      </x:c>
      <x:c r="J306" s="70" t="str">
        <x:v>/Users/mason/.codex/visualizations/2026/09/01/01a05def-1c0d-76d1-abc6-07c63a443582/emulator-runs/retest/ios/ACC-032-035-settings-observations.json
/Users/mason/.codex/visualizations/2026/09/01/01a05def-1c0d-76d1-abc6-07c63a443582/emulator-runs/retest/ios/ACC-034-035-dark-reduce-motion-on.png
/Users/mason/.codex/visualizations/2026/09/01/01a05def-1c0d-76d1-abc6-07c63a443582/emulator-runs/retest/ios/ACC-034-035-light-reduce-motion-off.png</x:v>
      </x:c>
      <x:c r="K306" s="70" t="str">
        <x:v>With OS prefers-reduced-motion=false, turning Buff Reduce motion on set the accessible switch true, stored true and applied data-reduce-motion; all persisted after cold launch. Turning it off cleared local storage and the root attribute, and stayed off after subsequent cold launches. Original off preference restored.</x:v>
      </x:c>
      <x:c r="L306" s="70" t="str"/>
      <x:c r="M306" s="70" t="str">
        <x:v>App-on/app-off branches and persistence passed. OS accessibility combinations, live OS resume and frame-level transition verification were not exercised; the Android-only DEF054 retest was not changed.</x:v>
      </x:c>
    </x:row>
    <x:row r="307" ht="158.39999389648438" hidden="0" customHeight="1">
      <x:c r="A307" s="70" t="str">
        <x:v>RUN-0303</x:v>
      </x:c>
      <x:c r="B307" s="70" t="str">
        <x:v>HLT-002</x:v>
      </x:c>
      <x:c r="C307" s="70" t="str">
        <x:v>Retest</x:v>
      </x:c>
      <x:c r="D307" s="70" t="str">
        <x:v>Android</x:v>
      </x:c>
      <x:c r="E307" s="70" t="str">
        <x:v>Medium_Phone — Buff QA user10</x:v>
      </x:c>
      <x:c r="F307" s="70" t="str">
        <x:v>Android17</x:v>
      </x:c>
      <x:c r="G307" s="70" t="str">
        <x:v>15</x:v>
      </x:c>
      <x:c r="H307" s="71" t="n">
        <x:v>46269.432880092594</x:v>
      </x:c>
      <x:c r="I307" s="70" t="str">
        <x:v>Failed</x:v>
      </x:c>
      <x:c r="J307" s="70" t="str">
        <x:v>/Users/mason/.codex/visualizations/2026/09/01/01a05def-1c0d-76d1-abc6-07c63a443582/emulator-runs/retest/android/HLT-005-single-day-all.json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/Users/mason/.codex/visualizations/2026/09/01/01a05def-1c0d-76d1-abc6-07c63a443582/emulator-runs/retest/android/HLT-005-two-day-axis.png
/Users/mason/.codex/visualizations/2026/09/01/01a05def-1c0d-76d1-abc6-07c63a443582/emulator-runs/retest/android/HLT-009-existing-date-update-settled.json</x:v>
      </x:c>
      <x:c r="K307" s="70" t="str">
        <x:v>All displayed the one4 September75kg reading with a single4 Sept x tick. After adding3 September76kg, the two-day All window rendered3 Sept twice instead of3 Sept and4 Sept on both charts. The settled existing-date update retained /progress?range=all, two history rows, and pending sync0. DEF-016 therefore remains failed on build15 despite the corrected single-day case.</x:v>
      </x:c>
      <x:c r="L307" s="70" t="str">
        <x:v>DEF-016</x:v>
      </x:c>
      <x:c r="M307" s="70" t="str">
        <x:v>This run covers the All short-domain failure and range retention after the observed create/update. It does not complete30/90/180 boundary inclusion, invalid-range fallback, or range preservation after deletion. The explicit-calendar-tick follow-up source fix was not installed in this captured build.</x:v>
      </x:c>
    </x:row>
    <x:row r="308" ht="118.80000305175781" hidden="0" customHeight="1">
      <x:c r="A308" s="70" t="str">
        <x:v>RUN-0304</x:v>
      </x:c>
      <x:c r="B308" s="70" t="str">
        <x:v>HLT-005</x:v>
      </x:c>
      <x:c r="C308" s="70" t="str">
        <x:v>Retest</x:v>
      </x:c>
      <x:c r="D308" s="70" t="str">
        <x:v>Android</x:v>
      </x:c>
      <x:c r="E308" s="70" t="str">
        <x:v>Medium_Phone — Buff QA user10</x:v>
      </x:c>
      <x:c r="F308" s="70" t="str">
        <x:v>Android17</x:v>
      </x:c>
      <x:c r="G308" s="70" t="str">
        <x:v>15</x:v>
      </x:c>
      <x:c r="H308" s="71" t="n">
        <x:v>46269.42640027778</x:v>
      </x:c>
      <x:c r="I308" s="70" t="str">
        <x:v>Failed</x:v>
      </x:c>
      <x:c r="J308" s="70" t="str">
        <x:v>/Users/mason/.codex/visualizations/2026/09/01/01a05def-1c0d-76d1-abc6-07c63a443582/emulator-runs/retest/android/HLT-005-single-day-all.json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/Users/mason/.codex/visualizations/2026/09/01/01a05def-1c0d-76d1-abc6-07c63a443582/emulator-runs/retest/android/HLT-005-two-day-axis.png</x:v>
      </x:c>
      <x:c r="K308" s="70" t="str">
        <x:v>The one-day weight chart showed one4 Sept tick. With3 September76kg and4 September75kg, both weight/body-fat charts showed duplicate3 Sept labels after settling. The weight series and summary correctly showed76kg to75kg. The body-fat chart appeared after the historical20% reading and its summary showed20% to20%. The duplicate date labels reproduce DEF-016.</x:v>
      </x:c>
      <x:c r="L308" s="70" t="str">
        <x:v>DEF-016</x:v>
      </x:c>
      <x:c r="M308" s="70" t="str">
        <x:v>No full chart/carousel pass: goal lines, target-relative colors, all tooltip behavior, three-day and daylight-saving windows, and remaining conditional variants are not covered by this evidence. This is a failed retest of the count-only fix, not a retest of the new explicit-calendar-tick source change.</x:v>
      </x:c>
    </x:row>
    <x:row r="309" ht="277.20001220703125" hidden="0" customHeight="1">
      <x:c r="A309" s="70" t="str">
        <x:v>RUN-0305</x:v>
      </x:c>
      <x:c r="B309" s="70" t="str">
        <x:v>HLT-009</x:v>
      </x:c>
      <x:c r="C309" s="70" t="str">
        <x:v>Retest</x:v>
      </x:c>
      <x:c r="D309" s="70" t="str">
        <x:v>Android</x:v>
      </x:c>
      <x:c r="E309" s="70" t="str">
        <x:v>Medium_Phone — Buff QA user10</x:v>
      </x:c>
      <x:c r="F309" s="70" t="str">
        <x:v>Android17</x:v>
      </x:c>
      <x:c r="G309" s="70" t="str">
        <x:v>15</x:v>
      </x:c>
      <x:c r="H309" s="71" t="n">
        <x:v>46269.432880092594</x:v>
      </x:c>
      <x:c r="I309" s="70" t="str">
        <x:v>Blocked</x:v>
      </x:c>
      <x:c r="J309" s="70" t="str">
        <x:v>/Users/mason/.codex/visualizations/2026/09/01/01a05def-1c0d-76d1-abc6-07c63a443582/emulator-runs/retest/android/HLT-009-today-hydrated.json
/Users/mason/.codex/visualizations/2026/09/01/01a05def-1c0d-76d1-abc6-07c63a443582/emulator-runs/retest/android/HLT-009-empty-date-clears.json
/Users/mason/.codex/visualizations/2026/09/01/01a05def-1c0d-76d1-abc6-07c63a443582/emulator-runs/retest/android/HLT-009-history-before-save.json
/Users/mason/.codex/visualizations/2026/09/01/01a05def-1c0d-76d1-abc6-07c63a443582/emulator-runs/retest/android/HLT-009-history-saved.json
/Users/mason/.codex/visualizations/2026/09/01/01a05def-1c0d-76d1-abc6-07c63a443582/emulator-runs/retest/android/HLT-009-return-today-clears-history.json
/Users/mason/.codex/visualizations/2026/09/01/01a05def-1c0d-76d1-abc6-07c63a443582/emulator-runs/retest/android/HLT-009-history-rehydrated.json
/Users/mason/.codex/visualizations/2026/09/01/01a05def-1c0d-76d1-abc6-07c63a443582/emulator-runs/retest/android/HLT-009-existing-date-update-settled.json</x:v>
      </x:c>
      <x:c r="K309" s="70" t="str">
        <x:v>Partial success:4 September hydrated75kg with optional fields blank; selecting an empty3 September cleared all editable values. Saving3 September76kg,20% and QA historical check-in created the historical row while retaining All. Returning to4 September restored75kg and cleared historical optional values; returning to3 September restored76kg,20% and notes. Updating3 September with chest100, waist85, hips100, upper arm35 and thigh55 completed with the existing historical UUID01a06be8-b36e-72e4-9a04-3795ed7a59db, exactly two history rows, All retained, Save enabled, no sync error and pending0. The4 September row remained75kg with optional fields null.</x:v>
      </x:c>
      <x:c r="L309" s="70" t="str"/>
      <x:c r="M309" s="70" t="str">
        <x:v>Blocked as incomplete coverage, not an observed failure of these successful steps. The newly stored five measurements have not yet been rehydrated by switching away/back. Delayed or failed date-load locking, Retry loading check-in, rapid-switch races, dates outside visible history, photo reset, and clearing body-fat/notes while blank measurements preserve old values still need device checks. Existing story defect links are preserved by the updater.</x:v>
      </x:c>
    </x:row>
    <x:row r="310" ht="118.80000305175781" hidden="0" customHeight="1">
      <x:c r="A310" s="70" t="str">
        <x:v>RUN-0306</x:v>
      </x:c>
      <x:c r="B310" s="70" t="str">
        <x:v>HLT-011</x:v>
      </x:c>
      <x:c r="C310" s="70" t="str">
        <x:v>Retest</x:v>
      </x:c>
      <x:c r="D310" s="70" t="str">
        <x:v>Android</x:v>
      </x:c>
      <x:c r="E310" s="70" t="str">
        <x:v>Medium_Phone — Buff QA user10</x:v>
      </x:c>
      <x:c r="F310" s="70" t="str">
        <x:v>Android17</x:v>
      </x:c>
      <x:c r="G310" s="70" t="str">
        <x:v>15</x:v>
      </x:c>
      <x:c r="H310" s="71" t="n">
        <x:v>46269.4242909375</x:v>
      </x:c>
      <x:c r="I310" s="70" t="str">
        <x:v>Blocked</x:v>
      </x:c>
      <x:c r="J310" s="70" t="str">
        <x:v>/Users/mason/.codex/visualizations/2026/09/01/01a05def-1c0d-76d1-abc6-07c63a443582/emulator-runs/retest/android/HLT-009-today-hydrated.json
/Users/mason/.codex/visualizations/2026/09/01/01a05def-1c0d-76d1-abc6-07c63a443582/emulator-runs/retest/android/HLT-011-future-date-guard.json</x:v>
      </x:c>
      <x:c r="K310" s="70" t="str">
        <x:v>Partial success: the native date picker ignored the5 September future-date tap, retaining4 September. The captured date input remained2026-09-04 with max2026-09-04, valid=true and no date error. This verifies the observed picker-level future-date guard only.</x:v>
      </x:c>
      <x:c r="L310" s="70" t="str"/>
      <x:c r="M310" s="70" t="str">
        <x:v>No full validation pass. No invalid future date reached the server. Numeric/body-fat/measurement/notes boundaries, kg/lb conversion, malformed dates, visible error associations and correction, invalid-write preservation/outbox effects, and legacy out-of-range preservation remain unverified. The build15 hydration capture still reports weight input min1; the newer20kg-bound source fix must be installed before its boundary retest.</x:v>
      </x:c>
    </x:row>
    <x:row r="311" ht="118.80000305175781" hidden="0" customHeight="1">
      <x:c r="A311" s="70" t="str">
        <x:v>RUN-0307</x:v>
      </x:c>
      <x:c r="B311" s="70" t="str">
        <x:v>HLT-004</x:v>
      </x:c>
      <x:c r="C311" s="70" t="str">
        <x:v>Retest</x:v>
      </x:c>
      <x:c r="D311" s="70" t="str">
        <x:v>Android</x:v>
      </x:c>
      <x:c r="E311" s="70" t="str">
        <x:v>Medium_Phone — Buff QA user10</x:v>
      </x:c>
      <x:c r="F311" s="70" t="str">
        <x:v>Android17</x:v>
      </x:c>
      <x:c r="G311" s="70" t="str">
        <x:v>15</x:v>
      </x:c>
      <x:c r="H311" s="71" t="n">
        <x:v>46269.42640027778</x:v>
      </x:c>
      <x:c r="I311" s="70" t="str">
        <x:v>Blocked</x:v>
      </x:c>
      <x:c r="J311" s="70" t="str">
        <x:v>/Users/mason/.codex/visualizations/2026/09/01/01a05def-1c0d-76d1-abc6-07c63a443582/emulator-runs/retest/android/HLT-005-single-day-all.json
/Users/mason/.codex/visualizations/2026/09/01/01a05def-1c0d-76d1-abc6-07c63a443582/emulator-runs/retest/android/HLT-005-two-day-settled.json
/Users/mason/.codex/visualizations/2026/09/01/01a05def-1c0d-76d1-abc6-07c63a443582/emulator-runs/retest/android/HLT-009-existing-date-update-settled.json</x:v>
      </x:c>
      <x:c r="K311" s="70" t="str">
        <x:v>Partial success: after historical76kg followed by today's raw75kg, the stable header showed75.8kg/-0.3kg, matching the intended EMA75.75kg and trend delta-0.25kg rounded to one decimal. BMI remained23.1 at180cm, correctly using raw75kg rather than the smoothed headline. Latest body fat remained absent despite the older20% reading, and the header showed -- with No change. Energy remained displayed as2,106kcal and BMR1,755. The raw chart summary remained Started at76kg, now75kg.</x:v>
      </x:c>
      <x:c r="L311" s="70" t="str"/>
      <x:c r="M311" s="70" t="str">
        <x:v>Blocked as partial coverage. The EMA/raw distinction is intentional and is not a new defect. This evidence does not complete incomplete-profile hiding, all raw body-fat delta variants, alternate units, independent energy-input calculation checks, or summaries across ranges excluding the latest reading. HLT-003 already specifies EMA; the separate DEF-016 source repair draft contains the HLT-004 expectation clarification.</x:v>
      </x:c>
    </x:row>
    <x:row r="312" ht="316.79998779296875" hidden="0" customHeight="1">
      <x:c r="A312" s="70" t="str">
        <x:v>RUN-0308</x:v>
      </x:c>
      <x:c r="B312" s="70" t="str">
        <x:v>NUT-085</x:v>
      </x:c>
      <x:c r="C312" s="70" t="str">
        <x:v>Retest</x:v>
      </x:c>
      <x:c r="D312" s="70" t="str">
        <x:v>Android</x:v>
      </x:c>
      <x:c r="E312" s="70" t="str">
        <x:v>Medium_Phone — Buff QA user10</x:v>
      </x:c>
      <x:c r="F312" s="70" t="str">
        <x:v>Android17</x:v>
      </x:c>
      <x:c r="G312" s="70" t="str">
        <x:v>15</x:v>
      </x:c>
      <x:c r="H312" s="71" t="n">
        <x:v>46269.437644895836</x:v>
      </x:c>
      <x:c r="I312" s="70" t="str">
        <x:v>Failed</x:v>
      </x:c>
      <x:c r="J312" s="70" t="str">
        <x:v>/Users/mason/.codex/visualizations/2026/09/01/01a05def-1c0d-76d1-abc6-07c63a443582/emulator-runs/retest/android/NUT-085-blank-name-error.json
/Users/mason/.codex/visualizations/2026/09/01/01a05def-1c0d-76d1-abc6-07c63a443582/emulator-runs/retest/android/NUT-085-visible-name-error.png
/Users/mason/.codex/visualizations/2026/09/01/01a05def-1c0d-76d1-abc6-07c63a443582/emulator-runs/retest/android/NUT-085-long-name-error.json
/Users/mason/.codex/visualizations/2026/09/01/01a05def-1c0d-76d1-abc6-07c63a443582/emulator-runs/retest/android/NUT-085-large-macros-error.json
/Users/mason/.codex/visualizations/2026/09/01/01a05def-1c0d-76d1-abc6-07c63a443582/emulator-runs/retest/android/NUT-085-large-portion-error.json
/Users/mason/.codex/visualizations/2026/09/01/01a05def-1c0d-76d1-abc6-07c63a443582/emulator-runs/retest/android/NUT-085-zero-portion-native-validation.json
/Users/mason/.codex/visualizations/2026/09/01/01a05def-1c0d-76d1-abc6-07c63a443582/emulator-runs/retest/android/NUT-085-stale-portion-error.png
/Users/mason/.codex/visualizations/2026/09/01/01a05def-1c0d-76d1-abc6-07c63a443582/emulator-runs/retest/android/NUT-085-corrected-save-recovery.json</x:v>
      </x:c>
      <x:c r="K312" s="70" t="str">
        <x:v>Blank Name displayed required feedback and121-character Name displayed its120-character maximum, confirming DEF-025's original missing-name feedback is fixed on this Android build. Protein, carbs and fat each at1000.1 displayed their1000 maximum errors. Portion10000.1 displayed its10000 maximum error. Changing Portion to0 then submitting showed the native minimum0.1 failure while the obsolete10000 maximum error remained inline; corrected Name values also retained old feedback until resubmission. After restoring the original valid name, switching to Portion100 and saving, Meal updated appeared, the editor closed, the URL retained date2026-09-04, and the same meal showed100g,500kcal and20/60/20g macros. No rejected attempt persisted invalid values. NUT-085 remains Failed for new DEF-085 despite the successful recovery.</x:v>
      </x:c>
      <x:c r="L312" s="70" t="str">
        <x:v>DEF-085</x:v>
      </x:c>
      <x:c r="M312" s="70" t="str">
        <x:v>Negative protein/carbs/fat lower bounds were not exercised. Invalid meal type and portion unit were not reachable through the normal editor controls and remain untested. This run predates the new field-change cleanup source fix; do not count automated tests as its emulator retest. DEF-025 AndroidRetestPassed is a narrow existing-defect update, not a full-story pass.</x:v>
      </x:c>
    </x:row>
    <x:row r="313" ht="79.19999694824219" hidden="0" customHeight="1">
      <x:c r="A313" s="70" t="str">
        <x:v>RUN-0309</x:v>
      </x:c>
      <x:c r="B313" s="70" t="str">
        <x:v>HLT-002</x:v>
      </x:c>
      <x:c r="C313" s="70" t="str">
        <x:v>Retest</x:v>
      </x:c>
      <x:c r="D313" s="70" t="str">
        <x:v>iOS</x:v>
      </x:c>
      <x:c r="E313" s="70" t="str">
        <x:v>iPhone 17 Pro</x:v>
      </x:c>
      <x:c r="F313" s="70" t="str">
        <x:v>iOS 26.5</x:v>
      </x:c>
      <x:c r="G313" s="70" t="str">
        <x:v>9e9dcf1+dirty; com.spacemancodes.buff 1.0.0 (15)</x:v>
      </x:c>
      <x:c r="H313" s="71" t="n">
        <x:v>46269.43819444445</x:v>
      </x:c>
      <x:c r="I313" s="70" t="str">
        <x:v>Blocked</x:v>
      </x:c>
      <x:c r="J313" s="70" t="str">
        <x:v>/Users/mason/.codex/visualizations/2026/09/01/01a05def-1c0d-76d1-abc6-07c63a443582/emulator-runs/retest/ios/HLT-009-011-progress-observations.json
/Users/mason/.codex/visualizations/2026/09/01/01a05def-1c0d-76d1-abc6-07c63a443582/emulator-runs/retest/ios/HLT-002-004-progress90-restored.png</x:v>
      </x:c>
      <x:c r="K313" s="70" t="str">
        <x:v>All30/90/180/All controls navigated to the correct query and selected state. Inclusive starts wereAug6/Jun7/Mar9/Sep3 endingSep4. Both saved dates remained in history. Restored90 range.</x:v>
      </x:c>
      <x:c r="L313" s="70" t="str"/>
      <x:c r="M313" s="70" t="str">
        <x:v>Selection subset passed. Boundary fixtures, invalid-range deep link and save/delete preservation were not exercised. No shared writes.</x:v>
      </x:c>
    </x:row>
    <x:row r="314" ht="79.19999694824219" hidden="0" customHeight="1">
      <x:c r="A314" s="70" t="str">
        <x:v>RUN-0310</x:v>
      </x:c>
      <x:c r="B314" s="70" t="str">
        <x:v>HLT-003</x:v>
      </x:c>
      <x:c r="C314" s="70" t="str">
        <x:v>Retest</x:v>
      </x:c>
      <x:c r="D314" s="70" t="str">
        <x:v>iOS</x:v>
      </x:c>
      <x:c r="E314" s="70" t="str">
        <x:v>iPhone 17 Pro</x:v>
      </x:c>
      <x:c r="F314" s="70" t="str">
        <x:v>iOS 26.5</x:v>
      </x:c>
      <x:c r="G314" s="70" t="str">
        <x:v>9e9dcf1+dirty; com.spacemancodes.buff 1.0.0 (15)</x:v>
      </x:c>
      <x:c r="H314" s="71" t="n">
        <x:v>46269.43819444445</x:v>
      </x:c>
      <x:c r="I314" s="70" t="str">
        <x:v>Blocked</x:v>
      </x:c>
      <x:c r="J314" s="70" t="str">
        <x:v>/Users/mason/.codex/visualizations/2026/09/01/01a05def-1c0d-76d1-abc6-07c63a443582/emulator-runs/retest/ios/HLT-009-011-progress-observations.json
/Users/mason/.codex/visualizations/2026/09/01/01a05def-1c0d-76d1-abc6-07c63a443582/emulator-runs/retest/ios/HLT-002-004-progress90-restored.png</x:v>
      </x:c>
      <x:c r="K314" s="70" t="str">
        <x:v>With raw chronological76kg then75kg, headline75.8kg matches EMA75.75 rounded to one decimal; delta-0.3kg matches-0.25 rounded. Chart/history retain raw76→75.</x:v>
      </x:c>
      <x:c r="L314" s="70" t="str"/>
      <x:c r="M314" s="70" t="str">
        <x:v>Two-entry calculation subset passed. Three-plus irregular readings and seven-day baseline branch are not covered by this fixture.</x:v>
      </x:c>
    </x:row>
    <x:row r="315" ht="79.19999694824219" hidden="0" customHeight="1">
      <x:c r="A315" s="70" t="str">
        <x:v>RUN-0311</x:v>
      </x:c>
      <x:c r="B315" s="70" t="str">
        <x:v>HLT-004</x:v>
      </x:c>
      <x:c r="C315" s="70" t="str">
        <x:v>Retest</x:v>
      </x:c>
      <x:c r="D315" s="70" t="str">
        <x:v>iOS</x:v>
      </x:c>
      <x:c r="E315" s="70" t="str">
        <x:v>iPhone 17 Pro</x:v>
      </x:c>
      <x:c r="F315" s="70" t="str">
        <x:v>iOS 26.5</x:v>
      </x:c>
      <x:c r="G315" s="70" t="str">
        <x:v>9e9dcf1+dirty; com.spacemancodes.buff 1.0.0 (15)</x:v>
      </x:c>
      <x:c r="H315" s="71" t="n">
        <x:v>46269.43819444445</x:v>
      </x:c>
      <x:c r="I315" s="70" t="str">
        <x:v>Blocked</x:v>
      </x:c>
      <x:c r="J315" s="70" t="str">
        <x:v>/Users/mason/.codex/visualizations/2026/09/01/01a05def-1c0d-76d1-abc6-07c63a443582/emulator-runs/retest/ios/HLT-009-011-progress-observations.json
/Users/mason/.codex/visualizations/2026/09/01/01a05def-1c0d-76d1-abc6-07c63a443582/emulator-runs/retest/ios/HLT-002-004-progress90-restored.png</x:v>
      </x:c>
      <x:c r="K315" s="70" t="str">
        <x:v>LatestSep4 has body-fatnull: card shows--/No change despite Sep3body-fat20. BMI23.1 matches75kg/180cm. Complete profile givesBMR1755 andTDEE2106; summaries remain stable across all ranges.</x:v>
      </x:c>
      <x:c r="L315" s="70" t="str"/>
      <x:c r="M315" s="70" t="str">
        <x:v>Missing-profile suppression, two-present-body-fat delta and a range excluding latest were not exercised. Profile was not changed.</x:v>
      </x:c>
    </x:row>
    <x:row r="316" ht="79.19999694824219" hidden="0" customHeight="1">
      <x:c r="A316" s="70" t="str">
        <x:v>RUN-0312</x:v>
      </x:c>
      <x:c r="B316" s="70" t="str">
        <x:v>HLT-005</x:v>
      </x:c>
      <x:c r="C316" s="70" t="str">
        <x:v>Retest</x:v>
      </x:c>
      <x:c r="D316" s="70" t="str">
        <x:v>iOS</x:v>
      </x:c>
      <x:c r="E316" s="70" t="str">
        <x:v>iPhone 17 Pro</x:v>
      </x:c>
      <x:c r="F316" s="70" t="str">
        <x:v>iOS 26.5</x:v>
      </x:c>
      <x:c r="G316" s="70" t="str">
        <x:v>9e9dcf1+dirty; com.spacemancodes.buff 1.0.0 (15)</x:v>
      </x:c>
      <x:c r="H316" s="71" t="n">
        <x:v>46269.43472222222</x:v>
      </x:c>
      <x:c r="I316" s="70" t="str">
        <x:v>Failed</x:v>
      </x:c>
      <x:c r="J316" s="70" t="str">
        <x:v>/Users/mason/.codex/visualizations/2026/09/01/01a05def-1c0d-76d1-abc6-07c63a443582/emulator-runs/retest/ios/HLT-005-all-two-day-duplicate-ticks.png
/Users/mason/.codex/visualizations/2026/09/01/01a05def-1c0d-76d1-abc6-07c63a443582/emulator-runs/retest/ios/HLT-009-011-progress-observations.json</x:v>
      </x:c>
      <x:c r="K316" s="70" t="str">
        <x:v>All-time domainSep3–4 produces two3Sep labels on both chart axes, reproducing known short-domain defect. Weight/Body fat segmented controls change selection correctly; summaries show Started at76kg, now75kg and Started at20%, now20%.</x:v>
      </x:c>
      <x:c r="L316" s="70" t="str">
        <x:v>DEF-016</x:v>
      </x:c>
      <x:c r="M316" s="70" t="str">
        <x:v>DEF016 source followup is newer than build15. Goal-line/target-tone fixtures, tooltips and swipe gesture remain untested.</x:v>
      </x:c>
    </x:row>
    <x:row r="317" ht="79.19999694824219" hidden="0" customHeight="1">
      <x:c r="A317" s="70" t="str">
        <x:v>RUN-0313</x:v>
      </x:c>
      <x:c r="B317" s="70" t="str">
        <x:v>HLT-006</x:v>
      </x:c>
      <x:c r="C317" s="70" t="str">
        <x:v>Retest</x:v>
      </x:c>
      <x:c r="D317" s="70" t="str">
        <x:v>iOS</x:v>
      </x:c>
      <x:c r="E317" s="70" t="str">
        <x:v>iPhone 17 Pro</x:v>
      </x:c>
      <x:c r="F317" s="70" t="str">
        <x:v>iOS 26.5</x:v>
      </x:c>
      <x:c r="G317" s="70" t="str">
        <x:v>9e9dcf1+dirty; com.spacemancodes.buff 1.0.0 (15)</x:v>
      </x:c>
      <x:c r="H317" s="71" t="n">
        <x:v>46269.436111111114</x:v>
      </x:c>
      <x:c r="I317" s="70" t="str">
        <x:v>Blocked</x:v>
      </x:c>
      <x:c r="J317" s="70" t="str">
        <x:v>/Users/mason/.codex/visualizations/2026/09/01/01a05def-1c0d-76d1-abc6-07c63a443582/emulator-runs/retest/ios/HLT-009-sep3-full-measurements.png
/Users/mason/.codex/visualizations/2026/09/01/01a05def-1c0d-76d1-abc6-07c63a443582/emulator-runs/retest/ios/HLT-009-011-progress-observations.json</x:v>
      </x:c>
      <x:c r="K317" s="70" t="str">
        <x:v>Measurement cards use Sep3non-null values100/85/100/35/55cm despite latestSep4all-null measurements. Each reports First entry. Expanding the historical form reveals all five matching values.</x:v>
      </x:c>
      <x:c r="L317" s="70" t="str"/>
      <x:c r="M317" s="70" t="str">
        <x:v>Only latest-non-null and hydration subset. Staggered multi-date deltas, boundary writes and blank-measurement update retention remain untested; no Save invoked.</x:v>
      </x:c>
    </x:row>
    <x:row r="318" ht="79.19999694824219" hidden="0" customHeight="1">
      <x:c r="A318" s="70" t="str">
        <x:v>RUN-0314</x:v>
      </x:c>
      <x:c r="B318" s="70" t="str">
        <x:v>HLT-009</x:v>
      </x:c>
      <x:c r="C318" s="70" t="str">
        <x:v>Retest</x:v>
      </x:c>
      <x:c r="D318" s="70" t="str">
        <x:v>iOS</x:v>
      </x:c>
      <x:c r="E318" s="70" t="str">
        <x:v>iPhone 17 Pro</x:v>
      </x:c>
      <x:c r="F318" s="70" t="str">
        <x:v>iOS 26.5</x:v>
      </x:c>
      <x:c r="G318" s="70" t="str">
        <x:v>9e9dcf1+dirty; com.spacemancodes.buff 1.0.0 (15)</x:v>
      </x:c>
      <x:c r="H318" s="71" t="n">
        <x:v>46269.4375</x:v>
      </x:c>
      <x:c r="I318" s="70" t="str">
        <x:v>Blocked</x:v>
      </x:c>
      <x:c r="J318" s="70" t="str">
        <x:v>/Users/mason/.codex/visualizations/2026/09/01/01a05def-1c0d-76d1-abc6-07c63a443582/emulator-runs/retest/ios/HLT-009-sep3-full-measurements.png
/Users/mason/.codex/visualizations/2026/09/01/01a05def-1c0d-76d1-abc6-07c63a443582/emulator-runs/retest/ios/HLT-009-011-progress-observations.json</x:v>
      </x:c>
      <x:c r="K318" s="70" t="str">
        <x:v>Sep3loads76kg,20%,all five measurements and notes. Sep2with no record, outside visible All range, clears every actual value; placeholders remain distinct. Sep4loads75kg and empty optional fields. RapidSep3→Sep2→Sep3 ends with completeSep3 values and no error. Future-date load failure locks all fields/Save; selecting validSep4 recovers. RestoredSep4 and90range.</x:v>
      </x:c>
      <x:c r="L318" s="70" t="str"/>
      <x:c r="M318" s="70" t="str">
        <x:v>Hydration/clearing/recovery subset passed. Actual same-day writes, duplicate prevention, clear-and-save semantics, photo clearing, delayed-response race and Retry action remain untested. No shared data writes.</x:v>
      </x:c>
    </x:row>
    <x:row r="319" ht="118.80000305175781" hidden="0" customHeight="1">
      <x:c r="A319" s="70" t="str">
        <x:v>RUN-0315</x:v>
      </x:c>
      <x:c r="B319" s="70" t="str">
        <x:v>HLT-011</x:v>
      </x:c>
      <x:c r="C319" s="70" t="str">
        <x:v>Retest</x:v>
      </x:c>
      <x:c r="D319" s="70" t="str">
        <x:v>iOS</x:v>
      </x:c>
      <x:c r="E319" s="70" t="str">
        <x:v>iPhone 17 Pro</x:v>
      </x:c>
      <x:c r="F319" s="70" t="str">
        <x:v>iOS 26.5</x:v>
      </x:c>
      <x:c r="G319" s="70" t="str">
        <x:v>9e9dcf1+dirty; com.spacemancodes.buff 1.0.0 (15)</x:v>
      </x:c>
      <x:c r="H319" s="71" t="n">
        <x:v>46269.43680555555</x:v>
      </x:c>
      <x:c r="I319" s="70" t="str">
        <x:v>Failed</x:v>
      </x:c>
      <x:c r="J319" s="70" t="str">
        <x:v>/Users/mason/.codex/visualizations/2026/09/01/01a05def-1c0d-76d1-abc6-07c63a443582/emulator-runs/retest/ios/HLT-011-future-native-picker-selected.png
/Users/mason/.codex/visualizations/2026/09/01/01a05def-1c0d-76d1-abc6-07c63a443582/emulator-runs/retest/ios/HLT-011-future-date-locked-error.png
/Users/mason/.codex/visualizations/2026/09/01/01a05def-1c0d-76d1-abc6-07c63a443582/emulator-runs/retest/ios/HLT-009-011-progress-observations.json</x:v>
      </x:c>
      <x:c r="K319" s="70" t="str">
        <x:v>Native calendar permits tomorrow. HTMLmax/overflow flags it invalid and failed date load disables all fields/Save, but the visible message incorrectly asks user to check connection. Valid date selection recovers. Read-only constraints show body fat1–80, measurements1–500, notesmaxlength1000; installed weight stillmin1/no max rather than newer source20–1000.</x:v>
      </x:c>
      <x:c r="L319" s="70" t="str">
        <x:v>DEF-086</x:v>
      </x:c>
      <x:c r="M319" s="70" t="str">
        <x:v>No invalid write attempted. Full boundary, selected-unit, legacy-preservation, sync-outbox and VoiceOver/error-association cases remain. Current weight-bound source correction and new date-message correction require a fresh native build.</x:v>
      </x:c>
    </x:row>
    <x:row r="320" ht="118.80000305175781" hidden="0" customHeight="1">
      <x:c r="A320" s="70" t="str">
        <x:v>RUN-0316</x:v>
      </x:c>
      <x:c r="B320" s="70" t="str">
        <x:v>ACC-032</x:v>
      </x:c>
      <x:c r="C320" s="70" t="str">
        <x:v>Retest</x:v>
      </x:c>
      <x:c r="D320" s="70" t="str">
        <x:v>iOS</x:v>
      </x:c>
      <x:c r="E320" s="70" t="str">
        <x:v>iPhone 17 Pro</x:v>
      </x:c>
      <x:c r="F320" s="70" t="str">
        <x:v>iOS 26.5</x:v>
      </x:c>
      <x:c r="G320" s="70" t="str">
        <x:v>9e9dcf1+dirty; com.spacemancodes.buff 1.0.0 (15)</x:v>
      </x:c>
      <x:c r="H320" s="71" t="n">
        <x:v>46269.44305555556</x:v>
      </x:c>
      <x:c r="I320" s="70" t="str">
        <x:v>Blocked</x:v>
      </x:c>
      <x:c r="J320" s="70" t="str">
        <x:v>/Users/mason/.codex/visualizations/2026/09/01/01a05def-1c0d-76d1-abc6-07c63a443582/emulator-runs/retest/ios/ACC-032-068-NUT-085-observations.json
/Users/mason/.codex/visualizations/2026/09/01/01a05def-1c0d-76d1-abc6-07c63a443582/emulator-runs/retest/ios/ACC-043-health-permission-needed-readonly.png
/Users/mason/.codex/visualizations/2026/09/01/01a05def-1c0d-76d1-abc6-07c63a443582/emulator-runs/retest/ios/ACC-066-assistant-empty-inventory.png</x:v>
      </x:c>
      <x:c r="K320" s="70" t="str">
        <x:v>Additional lower-row coverage: Apple Health and Connected AI assistants open the expected pages with44×44 Back to settings links, no mobile nav, and header return restores hub/nav without increasing history (8→8 and9→9). Conditional Privacy entry is visible and opens native form. Log out/Delete account labels visible but not activated.</x:v>
      </x:c>
      <x:c r="L320" s="70" t="str"/>
      <x:c r="M320" s="70" t="str">
        <x:v>Complements prior upper-row run; does not duplicate it. Hardware PageDown now reliably reaches lower rows. Alternate account/subscription/platform fixtures and destructive/account actions remain excluded; no broad full-story pass.</x:v>
      </x:c>
    </x:row>
    <x:row r="321" ht="79.19999694824219" hidden="0" customHeight="1">
      <x:c r="A321" s="70" t="str">
        <x:v>RUN-0317</x:v>
      </x:c>
      <x:c r="B321" s="70" t="str">
        <x:v>ACC-043</x:v>
      </x:c>
      <x:c r="C321" s="70" t="str">
        <x:v>Retest</x:v>
      </x:c>
      <x:c r="D321" s="70" t="str">
        <x:v>iOS</x:v>
      </x:c>
      <x:c r="E321" s="70" t="str">
        <x:v>iPhone 17 Pro</x:v>
      </x:c>
      <x:c r="F321" s="70" t="str">
        <x:v>iOS 26.5</x:v>
      </x:c>
      <x:c r="G321" s="70" t="str">
        <x:v>9e9dcf1+dirty; com.spacemancodes.buff 1.0.0 (15)</x:v>
      </x:c>
      <x:c r="H321" s="71" t="n">
        <x:v>46269.44097222222</x:v>
      </x:c>
      <x:c r="I321" s="70" t="str">
        <x:v>Blocked</x:v>
      </x:c>
      <x:c r="J321" s="70" t="str">
        <x:v>/Users/mason/.codex/visualizations/2026/09/01/01a05def-1c0d-76d1-abc6-07c63a443582/emulator-runs/retest/ios/ACC-043-health-permission-needed-readonly.png
/Users/mason/.codex/visualizations/2026/09/01/01a05def-1c0d-76d1-abc6-07c63a443582/emulator-runs/retest/ios/ACC-032-068-NUT-085-observations.json</x:v>
      </x:c>
      <x:c r="K321" s="70" t="str">
        <x:v>iOS hub and health page show only Apple Health, Permission needed, automatic workout import explanation and Connect Apple Health. No Health Connect management/disconnect action appears. Header return works.</x:v>
      </x:c>
      <x:c r="L321" s="70" t="str"/>
      <x:c r="M321" s="70" t="str">
        <x:v>Correct-platform UI branch verified. Wrong-platform endpoints, unsupported shell and provider-error fixtures were not exercised. No permission request initiated.</x:v>
      </x:c>
    </x:row>
    <x:row r="322" ht="52.79999923706055" hidden="0" customHeight="1">
      <x:c r="A322" s="70" t="str">
        <x:v>RUN-0318</x:v>
      </x:c>
      <x:c r="B322" s="70" t="str">
        <x:v>ACC-047</x:v>
      </x:c>
      <x:c r="C322" s="70" t="str">
        <x:v>Retest</x:v>
      </x:c>
      <x:c r="D322" s="70" t="str">
        <x:v>iOS</x:v>
      </x:c>
      <x:c r="E322" s="70" t="str">
        <x:v>iPhone 17 Pro</x:v>
      </x:c>
      <x:c r="F322" s="70" t="str">
        <x:v>iOS 26.5</x:v>
      </x:c>
      <x:c r="G322" s="70" t="str">
        <x:v>9e9dcf1+dirty; com.spacemancodes.buff 1.0.0 (15)</x:v>
      </x:c>
      <x:c r="H322" s="71" t="n">
        <x:v>46269.44097222222</x:v>
      </x:c>
      <x:c r="I322" s="70" t="str">
        <x:v>Blocked</x:v>
      </x:c>
      <x:c r="J322" s="70" t="str">
        <x:v>/Users/mason/.codex/visualizations/2026/09/01/01a05def-1c0d-76d1-abc6-07c63a443582/emulator-runs/retest/ios/ACC-043-health-permission-needed-readonly.png</x:v>
      </x:c>
      <x:c r="K322" s="70" t="str">
        <x:v>Pre-authorization page renders Permission needed and enabled Connect Apple Health with no in-app disconnect control.</x:v>
      </x:c>
      <x:c r="L322" s="70" t="str"/>
      <x:c r="M322" s="70" t="str">
        <x:v>Read-only entry subset only. Authorization, denial, workout fixtures, imports, background delivery, Sync now and idempotence not exercised; permission grants intentionally excluded.</x:v>
      </x:c>
    </x:row>
    <x:row r="323" ht="79.19999694824219" hidden="0" customHeight="1">
      <x:c r="A323" s="70" t="str">
        <x:v>RUN-0319</x:v>
      </x:c>
      <x:c r="B323" s="70" t="str">
        <x:v>ACC-061</x:v>
      </x:c>
      <x:c r="C323" s="70" t="str">
        <x:v>Retest</x:v>
      </x:c>
      <x:c r="D323" s="70" t="str">
        <x:v>iOS</x:v>
      </x:c>
      <x:c r="E323" s="70" t="str">
        <x:v>iPhone 17 Pro</x:v>
      </x:c>
      <x:c r="F323" s="70" t="str">
        <x:v>iOS 26.5</x:v>
      </x:c>
      <x:c r="G323" s="70" t="str">
        <x:v>9e9dcf1+dirty; com.spacemancodes.buff 1.0.0 (15)</x:v>
      </x:c>
      <x:c r="H323" s="71" t="n">
        <x:v>46269.44375</x:v>
      </x:c>
      <x:c r="I323" s="70" t="str">
        <x:v>Blocked</x:v>
      </x:c>
      <x:c r="J323" s="70" t="str">
        <x:v>/Users/mason/.codex/visualizations/2026/09/01/01a05def-1c0d-76d1-abc6-07c63a443582/emulator-runs/retest/ios/ACC-061-privacy-entry-no-submission.png
/Users/mason/.codex/visualizations/2026/09/01/01a05def-1c0d-76d1-abc6-07c63a443582/emulator-runs/retest/ios/ACC-032-068-NUT-085-observations.json</x:v>
      </x:c>
      <x:c r="K323" s="70" t="str">
        <x:v>Ad privacy choices is visible in Settings; tapping opens native UMP form and underlying button shows Opening…. No close/cancel action is visible or exposed in AX. Closed Buff through app switcher and reopened to Today without selecting Consent, Do not consent or Manage options.</x:v>
      </x:c>
      <x:c r="L323" s="70" t="str"/>
      <x:c r="M323" s="70" t="str">
        <x:v>Entry/opening subset only. No consent submission or changes. Full form completion/row refresh, serialization, policy variants and provider failures remain untested. System/off preferences preserved.</x:v>
      </x:c>
    </x:row>
    <x:row r="324" ht="79.19999694824219" hidden="0" customHeight="1">
      <x:c r="A324" s="70" t="str">
        <x:v>RUN-0320</x:v>
      </x:c>
      <x:c r="B324" s="70" t="str">
        <x:v>ACC-066</x:v>
      </x:c>
      <x:c r="C324" s="70" t="str">
        <x:v>Retest</x:v>
      </x:c>
      <x:c r="D324" s="70" t="str">
        <x:v>iOS</x:v>
      </x:c>
      <x:c r="E324" s="70" t="str">
        <x:v>iPhone 17 Pro</x:v>
      </x:c>
      <x:c r="F324" s="70" t="str">
        <x:v>iOS 26.5</x:v>
      </x:c>
      <x:c r="G324" s="70" t="str">
        <x:v>9e9dcf1+dirty; com.spacemancodes.buff 1.0.0 (15)</x:v>
      </x:c>
      <x:c r="H324" s="71" t="n">
        <x:v>46269.441666666666</x:v>
      </x:c>
      <x:c r="I324" s="70" t="str">
        <x:v>Blocked</x:v>
      </x:c>
      <x:c r="J324" s="70" t="str">
        <x:v>/Users/mason/.codex/visualizations/2026/09/01/01a05def-1c0d-76d1-abc6-07c63a443582/emulator-runs/retest/ios/ACC-066-assistant-empty-inventory.png
/Users/mason/.codex/visualizations/2026/09/01/01a05def-1c0d-76d1-abc6-07c63a443582/emulator-runs/retest/ios/ACC-032-068-NUT-085-observations.json</x:v>
      </x:c>
      <x:c r="K324" s="70" t="str">
        <x:v>Connected AI assistants displays No assistants have access and Add one below when you're ready, with no alert or connection rows.44px labelled Back restores hub/nav.</x:v>
      </x:c>
      <x:c r="L324" s="70" t="str"/>
      <x:c r="M324" s="70" t="str">
        <x:v>Empty-state/navigation subset passed. No connections/tokens created. Active/authorized/revoked history, malformed rows, timestamp/order and API/session-error cases remain untested.</x:v>
      </x:c>
    </x:row>
    <x:row r="325" ht="79.19999694824219" hidden="0" customHeight="1">
      <x:c r="A325" s="70" t="str">
        <x:v>RUN-0321</x:v>
      </x:c>
      <x:c r="B325" s="70" t="str">
        <x:v>ACC-068</x:v>
      </x:c>
      <x:c r="C325" s="70" t="str">
        <x:v>Retest</x:v>
      </x:c>
      <x:c r="D325" s="70" t="str">
        <x:v>iOS</x:v>
      </x:c>
      <x:c r="E325" s="70" t="str">
        <x:v>iPhone 17 Pro</x:v>
      </x:c>
      <x:c r="F325" s="70" t="str">
        <x:v>iOS 26.5</x:v>
      </x:c>
      <x:c r="G325" s="70" t="str">
        <x:v>9e9dcf1+dirty; com.spacemancodes.buff 1.0.0 (15)</x:v>
      </x:c>
      <x:c r="H325" s="71" t="n">
        <x:v>46269.44305555556</x:v>
      </x:c>
      <x:c r="I325" s="70" t="str">
        <x:v>Blocked</x:v>
      </x:c>
      <x:c r="J325" s="70" t="str">
        <x:v>/Users/mason/.codex/visualizations/2026/09/01/01a05def-1c0d-76d1-abc6-07c63a443582/emulator-runs/retest/ios/ACC-066-assistant-empty-inventory.png
/Users/mason/.codex/visualizations/2026/09/01/01a05def-1c0d-76d1-abc6-07c63a443582/emulator-runs/retest/ios/ACC-032-068-NUT-085-observations.json</x:v>
      </x:c>
      <x:c r="K325" s="70" t="str">
        <x:v>Add an assistant card exposes readonly configured MCP endpoint and Copy MCP address control. Codex, ChatGPT, Claude and Gemini disclosures each opened via UI, rendered their own instructions, and closed again.</x:v>
      </x:c>
      <x:c r="L325" s="70" t="str"/>
      <x:c r="M325" s="70" t="str">
        <x:v>Disclosure/read-only endpoint subset only. Clipboard success/fallback, null configuration and external assistant/OAuth setup were not exercised; displayed third-party instructions were not externally verified.</x:v>
      </x:c>
    </x:row>
    <x:row r="326" ht="118.80000305175781" hidden="0" customHeight="1">
      <x:c r="A326" s="70" t="str">
        <x:v>RUN-0322</x:v>
      </x:c>
      <x:c r="B326" s="70" t="str">
        <x:v>NUT-085</x:v>
      </x:c>
      <x:c r="C326" s="70" t="str">
        <x:v>Retest</x:v>
      </x:c>
      <x:c r="D326" s="70" t="str">
        <x:v>iOS</x:v>
      </x:c>
      <x:c r="E326" s="70" t="str">
        <x:v>iPhone 17 Pro</x:v>
      </x:c>
      <x:c r="F326" s="70" t="str">
        <x:v>iOS 26.5</x:v>
      </x:c>
      <x:c r="G326" s="70" t="str">
        <x:v>9e9dcf1+dirty; com.spacemancodes.buff 1.0.0 (15)</x:v>
      </x:c>
      <x:c r="H326" s="71" t="n">
        <x:v>46269.44513888889</x:v>
      </x:c>
      <x:c r="I326" s="70" t="str">
        <x:v>Blocked</x:v>
      </x:c>
      <x:c r="J326" s="70" t="str">
        <x:v>/Users/mason/.codex/visualizations/2026/09/01/01a05def-1c0d-76d1-abc6-07c63a443582/emulator-runs/retest/ios/NUT-085-blank-name-inline-error.png
/Users/mason/.codex/visualizations/2026/09/01/01a05def-1c0d-76d1-abc6-07c63a443582/emulator-runs/retest/ios/NUT-085-cancel-meal-unchanged.png
/Users/mason/.codex/visualizations/2026/09/01/01a05def-1c0d-76d1-abc6-07c63a443582/emulator-runs/retest/ios/ACC-032-068-NUT-085-observations.json</x:v>
      </x:c>
      <x:c r="K326" s="70" t="str">
        <x:v>Cleared only Name in QA meal editor and submitted once. Required-name error appears beside field with role=alert; editor remains open with100g andLunch. Closed without valid save. Original named meal and Today500kcal/P20/C60/F20 remain unchanged; pending0 and no sync error.</x:v>
      </x:c>
      <x:c r="L326" s="70" t="str"/>
      <x:c r="M326" s="70" t="str">
        <x:v>DEF025 visible-feedback regression verified. Name aria-invalid/aria-describedby remain absent in build15; newer DEF085 fix was not retested. Long-name/type/portion/macro boundaries, processing lock and correction-success cases remain untested; no successful edit or restoration write occurred.</x:v>
      </x:c>
    </x:row>
    <x:row r="327" ht="198" hidden="0" customHeight="1">
      <x:c r="A327" s="70" t="str">
        <x:v>RUN-0323</x:v>
      </x:c>
      <x:c r="B327" s="70" t="str">
        <x:v>NUT-047</x:v>
      </x:c>
      <x:c r="C327" s="70" t="str">
        <x:v>Retest</x:v>
      </x:c>
      <x:c r="D327" s="70" t="str">
        <x:v>Android</x:v>
      </x:c>
      <x:c r="E327" s="70" t="str">
        <x:v>Medium_Phone — Buff QA user 10</x:v>
      </x:c>
      <x:c r="F327" s="70" t="str">
        <x:v>Android 17</x:v>
      </x:c>
      <x:c r="G327" s="70" t="str">
        <x:v>15</x:v>
      </x:c>
      <x:c r="H327" s="71" t="n">
        <x:v>46269.44366049769</x:v>
      </x:c>
      <x:c r="I327" s="70" t="str">
        <x:v>Failed</x:v>
      </x:c>
      <x:c r="J327" s="70" t="str">
        <x:v>/Users/mason/.codex/visualizations/2026/09/01/01a05def-1c0d-76d1-abc6-07c63a443582/emulator-runs/retest/android/NUT-047-negative-macro.json
/Users/mason/.codex/visualizations/2026/09/01/01a05def-1c0d-76d1-abc6-07c63a443582/emulator-runs/retest/android/NUT-047-small-quantity.json
/Users/mason/.codex/visualizations/2026/09/01/01a05def-1c0d-76d1-abc6-07c63a443582/emulator-runs/retest/android/NUT-047-malformed-macro-before-add.json
/Users/mason/.codex/visualizations/2026/09/01/01a05def-1c0d-76d1-abc6-07c63a443582/emulator-runs/retest/android/NUT-047-malformed-macro-appended.json
/Users/mason/.codex/visualizations/2026/09/01/01a05def-1c0d-76d1-abc6-07c63a443582/emulator-runs/retest/android/NUT-047-malformed-macro-appended.png</x:v>
      </x:c>
      <x:c r="K327" s="70" t="str">
        <x:v>Protein -1 and quantity 0.01 were blocked with their local range alerts and no ingredient. With quantity 100, malformed Protein -- had DOM value empty, badInput true and Please enter a number. Add ingredient nonetheless appended QA draft ingredient as 100 g and 0 kcal, cleared the error, reset the mini-form and enabled Save. No Save was invoked. The unsaved draft was later discarded by Cancel, as recorded in the NUT-044 follow-up.</x:v>
      </x:c>
      <x:c r="L327" s="70" t="str">
        <x:v>DEF-023</x:v>
      </x:c>
      <x:c r="M327" s="70" t="str">
        <x:v>Partial validation coverage with a definite failure; do not count a complete pass from the successful negative/small-quantity checks. Remaining name, macro, upper-bound, valid decimal/zero, nested server-error and edit-recipe variants remain untested on this build. The new raw-value source fix is not installed in build 15.</x:v>
      </x:c>
    </x:row>
    <x:row r="328" ht="158.39999389648438" hidden="0" customHeight="1">
      <x:c r="A328" s="70" t="str">
        <x:v>RUN-0324</x:v>
      </x:c>
      <x:c r="B328" s="70" t="str">
        <x:v>NUT-044</x:v>
      </x:c>
      <x:c r="C328" s="70" t="str">
        <x:v>Retest</x:v>
      </x:c>
      <x:c r="D328" s="70" t="str">
        <x:v>Android</x:v>
      </x:c>
      <x:c r="E328" s="70" t="str">
        <x:v>Medium_Phone — Buff QA user 10</x:v>
      </x:c>
      <x:c r="F328" s="70" t="str">
        <x:v>Android 17</x:v>
      </x:c>
      <x:c r="G328" s="70" t="str">
        <x:v>15</x:v>
      </x:c>
      <x:c r="H328" s="71" t="n">
        <x:v>46269.445197291665</x:v>
      </x:c>
      <x:c r="I328" s="70" t="str">
        <x:v>Blocked</x:v>
      </x:c>
      <x:c r="J328" s="70" t="str">
        <x:v>/Users/mason/.codex/visualizations/2026/09/01/01a05def-1c0d-76d1-abc6-07c63a443582/emulator-runs/retest/android/NUT-044-before-cancel.json
/Users/mason/.codex/visualizations/2026/09/01/01a05def-1c0d-76d1-abc6-07c63a443582/emulator-runs/retest/android/NUT-044-cancel-no-recipe.json
/Users/mason/.codex/visualizations/2026/09/01/01a05def-1c0d-76d1-abc6-07c63a443582/emulator-runs/retest/android/NUT-044-reopen-cleared.json
/Users/mason/.codex/visualizations/2026/09/01/01a05def-1c0d-76d1-abc6-07c63a443582/emulator-runs/retest/android/NUT-044-reopen-cleared.png</x:v>
      </x:c>
      <x:c r="K328" s="70" t="str">
        <x:v>Before Cancel the unsaved draft had name QA discarded draft, servings 2, one appended ingredient, search a and custom name Unadded QA ingredient. Cancel returned to the empty recipe list without any recipe request. Reopening showed blank recipe/custom names and search, no ingredients, servings 1, quantity 100, all macros 0, no alerts and Save disabled. The original stale auxiliary field defect DEF-007 is corrected in this observed path; the malformed ingredient from NUT-047 was never saved.</x:v>
      </x:c>
      <x:c r="L328" s="70" t="str"/>
      <x:c r="M328" s="70" t="str">
        <x:v>Blocked means incomplete story coverage, not a failed reset in the observed case. Delayed or pending search responses, debounce invalidation, form/search/custom error reset and existing-recipe edit variants were not tested. No full NUT-044 pass is claimed, and its existing DEF-007 link remains preserved.</x:v>
      </x:c>
    </x:row>
    <x:row r="329" ht="118.80000305175781" hidden="0" customHeight="1">
      <x:c r="A329" s="70" t="str">
        <x:v>RUN-0325</x:v>
      </x:c>
      <x:c r="B329" s="70" t="str">
        <x:v>ACC-032</x:v>
      </x:c>
      <x:c r="C329" s="70" t="str">
        <x:v>Retest</x:v>
      </x:c>
      <x:c r="D329" s="70" t="str">
        <x:v>Android</x:v>
      </x:c>
      <x:c r="E329" s="70" t="str">
        <x:v>Medium_Phone QA user 10</x:v>
      </x:c>
      <x:c r="F329" s="70" t="str">
        <x:v>Android 17</x:v>
      </x:c>
      <x:c r="G329" s="70" t="str">
        <x:v>1.0.0 build 15</x:v>
      </x:c>
      <x:c r="H329" s="71" t="n">
        <x:v>46269.44674261574</x:v>
      </x:c>
      <x:c r="I329" s="70" t="str">
        <x:v>Blocked</x:v>
      </x:c>
      <x:c r="J329" s="70" t="str">
        <x:v>/Users/mason/.codex/visualizations/2026/09/01/01a05def-1c0d-76d1-abc6-07c63a443582/emulator-runs/retest/android/ACC-032-before-header-back.json
/Users/mason/.codex/visualizations/2026/09/01/01a05def-1c0d-76d1-abc6-07c63a443582/emulator-runs/retest/android/ACC-032-after-header-back.json
/Users/mason/.codex/visualizations/2026/09/01/01a05def-1c0d-76d1-abc6-07c63a443582/emulator-runs/retest/android/ACC-032-physical-back-no-loop.json</x:v>
      </x:c>
      <x:c r="K329" s="70" t="str">
        <x:v>Appearance opened with a labelled 44×44 Back to settings control and hidden bottom navigation. Header Back returned to Settings and restored navigation without increasing history length (14 → 14). The next physical Back remained on Settings and did not reopen Appearance. Theme remained System and no preference was changed.</x:v>
      </x:c>
      <x:c r="L329" s="70" t="str"/>
      <x:c r="M329" s="70" t="str">
        <x:v>Original DEF-017 regression passed. This is partial ACC-032 coverage, not a pass for every Settings navigation/account/subscription/platform variant. The initial Android ten-subpage physical-Back evidence and iOS header evidence remain in the canonical defect history.</x:v>
      </x:c>
    </x:row>
    <x:row r="330" ht="118.80000305175781" hidden="0" customHeight="1">
      <x:c r="A330" s="70" t="str">
        <x:v>RUN-0326</x:v>
      </x:c>
      <x:c r="B330" s="70" t="str">
        <x:v>NUT-091</x:v>
      </x:c>
      <x:c r="C330" s="70" t="str">
        <x:v>Retest</x:v>
      </x:c>
      <x:c r="D330" s="70" t="str">
        <x:v>iOS</x:v>
      </x:c>
      <x:c r="E330" s="70" t="str">
        <x:v>iPhone 17 Pro</x:v>
      </x:c>
      <x:c r="F330" s="70" t="str">
        <x:v>iOS 26.5</x:v>
      </x:c>
      <x:c r="G330" s="70" t="str">
        <x:v>9e9dcf1+dirty; com.spacemancodes.buff 1.0.0 (15)</x:v>
      </x:c>
      <x:c r="H330" s="71" t="n">
        <x:v>46269.46805555555</x:v>
      </x:c>
      <x:c r="I330" s="70" t="str">
        <x:v>Blocked</x:v>
      </x:c>
      <x:c r="J330" s="70" t="str">
        <x:v>/Users/mason/.codex/visualizations/2026/09/01/01a05def-1c0d-76d1-abc6-07c63a443582/emulator-runs/retest/ios/NUT-091-105-batch007-observations.json
/Users/mason/.codex/visualizations/2026/09/01/01a05def-1c0d-76d1-abc6-07c63a443582/emulator-runs/retest/ios/NUT-091-093-protein-populated.png
/Users/mason/.codex/visualizations/2026/09/01/01a05def-1c0d-76d1-abc6-07c63a443582/emulator-runs/retest/ios/NUT-094-protein-empty-day.png</x:v>
      </x:c>
      <x:c r="K330" s="70" t="str">
        <x:v>All three Today macro cards open matching protein/carbs/fat routes for Sep 4. Each has the correct heading/date and a 44 px labelled Back control that returns to the same Today date. Repeated all three on empty historical Sep 3. Back retains Sep 3.</x:v>
      </x:c>
      <x:c r="L330" s="70" t="str"/>
      <x:c r="M330" s="70" t="str">
        <x:v>Unsupported slugs and malformed dates not invoked. Only existing goal/meal fixture; no broad validation pass.</x:v>
      </x:c>
    </x:row>
    <x:row r="331" ht="118.80000305175781" hidden="0" customHeight="1">
      <x:c r="A331" s="70" t="str">
        <x:v>RUN-0327</x:v>
      </x:c>
      <x:c r="B331" s="70" t="str">
        <x:v>NUT-092</x:v>
      </x:c>
      <x:c r="C331" s="70" t="str">
        <x:v>Retest</x:v>
      </x:c>
      <x:c r="D331" s="70" t="str">
        <x:v>iOS</x:v>
      </x:c>
      <x:c r="E331" s="70" t="str">
        <x:v>iPhone 17 Pro</x:v>
      </x:c>
      <x:c r="F331" s="70" t="str">
        <x:v>iOS 26.5</x:v>
      </x:c>
      <x:c r="G331" s="70" t="str">
        <x:v>9e9dcf1+dirty; com.spacemancodes.buff 1.0.0 (15)</x:v>
      </x:c>
      <x:c r="H331" s="71" t="n">
        <x:v>46269.46805555555</x:v>
      </x:c>
      <x:c r="I331" s="70" t="str">
        <x:v>Blocked</x:v>
      </x:c>
      <x:c r="J331" s="70" t="str">
        <x:v>/Users/mason/.codex/visualizations/2026/09/01/01a05def-1c0d-76d1-abc6-07c63a443582/emulator-runs/retest/ios/NUT-091-105-batch007-observations.json
/Users/mason/.codex/visualizations/2026/09/01/01a05def-1c0d-76d1-abc6-07c63a443582/emulator-runs/retest/ios/NUT-091-093-protein-populated.png
/Users/mason/.codex/visualizations/2026/09/01/01a05def-1c0d-76d1-abc6-07c63a443582/emulator-runs/retest/ios/NUT-094-protein-empty-day.png</x:v>
      </x:c>
      <x:c r="K331" s="70" t="str">
        <x:v>Known P 20 / C 60 / F 20 g gives a macro-derived 500 kcal and exact current splits of 16/48/36%. Displayed goal splits are 30/40/30%, with gram targets of 158/210/70. Empty Sep 3 produces 0% current on each macro with goal splits retained.</x:v>
      </x:c>
      <x:c r="L331" s="70" t="str"/>
      <x:c r="M331" s="70" t="str">
        <x:v>Normal/zero branches verified. No over-target/progress-cap or no-goal fixture; no goals changed.</x:v>
      </x:c>
    </x:row>
    <x:row r="332" ht="79.19999694824219" hidden="0" customHeight="1">
      <x:c r="A332" s="70" t="str">
        <x:v>RUN-0328</x:v>
      </x:c>
      <x:c r="B332" s="70" t="str">
        <x:v>NUT-093</x:v>
      </x:c>
      <x:c r="C332" s="70" t="str">
        <x:v>Retest</x:v>
      </x:c>
      <x:c r="D332" s="70" t="str">
        <x:v>iOS</x:v>
      </x:c>
      <x:c r="E332" s="70" t="str">
        <x:v>iPhone 17 Pro</x:v>
      </x:c>
      <x:c r="F332" s="70" t="str">
        <x:v>iOS 26.5</x:v>
      </x:c>
      <x:c r="G332" s="70" t="str">
        <x:v>9e9dcf1+dirty; com.spacemancodes.buff 1.0.0 (15)</x:v>
      </x:c>
      <x:c r="H332" s="71" t="n">
        <x:v>46269.46805555555</x:v>
      </x:c>
      <x:c r="I332" s="70" t="str">
        <x:v>Blocked</x:v>
      </x:c>
      <x:c r="J332" s="70" t="str">
        <x:v>/Users/mason/.codex/visualizations/2026/09/01/01a05def-1c0d-76d1-abc6-07c63a443582/emulator-runs/retest/ios/NUT-091-105-batch007-observations.json
/Users/mason/.codex/visualizations/2026/09/01/01a05def-1c0d-76d1-abc6-07c63a443582/emulator-runs/retest/ios/NUT-091-093-protein-populated.png</x:v>
      </x:c>
      <x:c r="K332" s="70" t="str">
        <x:v>Every populated macro screen attributes its 20/60/20 g selected macro to the QA meal with Lunch, 100 g and a full P 20 / C 60 / F 20 g grid. The single meal appears once, and text remains readable.</x:v>
      </x:c>
      <x:c r="L332" s="70" t="str"/>
      <x:c r="M332" s="70" t="str">
        <x:v>Single custom-food attribution only. Multi-entry sorting/ties, zero-contribution foods, image-present and recipe/null-unit servings remain untested.</x:v>
      </x:c>
    </x:row>
    <x:row r="333" ht="79.19999694824219" hidden="0" customHeight="1">
      <x:c r="A333" s="70" t="str">
        <x:v>RUN-0329</x:v>
      </x:c>
      <x:c r="B333" s="70" t="str">
        <x:v>NUT-094</x:v>
      </x:c>
      <x:c r="C333" s="70" t="str">
        <x:v>Retest</x:v>
      </x:c>
      <x:c r="D333" s="70" t="str">
        <x:v>iOS</x:v>
      </x:c>
      <x:c r="E333" s="70" t="str">
        <x:v>iPhone 17 Pro</x:v>
      </x:c>
      <x:c r="F333" s="70" t="str">
        <x:v>iOS 26.5</x:v>
      </x:c>
      <x:c r="G333" s="70" t="str">
        <x:v>9e9dcf1+dirty; com.spacemancodes.buff 1.0.0 (15)</x:v>
      </x:c>
      <x:c r="H333" s="71" t="n">
        <x:v>46269.46805555555</x:v>
      </x:c>
      <x:c r="I333" s="70" t="str">
        <x:v>Blocked</x:v>
      </x:c>
      <x:c r="J333" s="70" t="str">
        <x:v>/Users/mason/.codex/visualizations/2026/09/01/01a05def-1c0d-76d1-abc6-07c63a443582/emulator-runs/retest/ios/NUT-091-105-batch007-observations.json
/Users/mason/.codex/visualizations/2026/09/01/01a05def-1c0d-76d1-abc6-07c63a443582/emulator-runs/retest/ios/NUT-094-protein-empty-day.png</x:v>
      </x:c>
      <x:c r="K333" s="70" t="str">
        <x:v>All three Sep 3 empty macro pages show No food logged for this day, 0% current and 0 g eaten. The existing goal remains 30/40/30%, with 158/210/70 g displayed targets. Historical header Back works.</x:v>
      </x:c>
      <x:c r="L333" s="70" t="str"/>
      <x:c r="M333" s="70" t="str">
        <x:v>Goal-present empty branch only. Having no food does not zero an existing goal. No-goal cases with or without food remain untested.</x:v>
      </x:c>
    </x:row>
    <x:row r="334" ht="118.80000305175781" hidden="0" customHeight="1">
      <x:c r="A334" s="70" t="str">
        <x:v>RUN-0330</x:v>
      </x:c>
      <x:c r="B334" s="70" t="str">
        <x:v>NUT-096</x:v>
      </x:c>
      <x:c r="C334" s="70" t="str">
        <x:v>Retest</x:v>
      </x:c>
      <x:c r="D334" s="70" t="str">
        <x:v>iOS</x:v>
      </x:c>
      <x:c r="E334" s="70" t="str">
        <x:v>iPhone 17 Pro</x:v>
      </x:c>
      <x:c r="F334" s="70" t="str">
        <x:v>iOS 26.5</x:v>
      </x:c>
      <x:c r="G334" s="70" t="str">
        <x:v>9e9dcf1+dirty; com.spacemancodes.buff 1.0.0 (15)</x:v>
      </x:c>
      <x:c r="H334" s="71" t="n">
        <x:v>46269.46805555555</x:v>
      </x:c>
      <x:c r="I334" s="70" t="str">
        <x:v>Blocked</x:v>
      </x:c>
      <x:c r="J334" s="70" t="str">
        <x:v>/Users/mason/.codex/visualizations/2026/09/01/01a05def-1c0d-76d1-abc6-07c63a443582/emulator-runs/retest/ios/NUT-091-105-batch007-observations.json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/Users/mason/.codex/visualizations/2026/09/01/01a05def-1c0d-76d1-abc6-07c63a443582/emulator-runs/retest/ios/NUT-096-102-105-daily-rows.png</x:v>
      </x:c>
      <x:c r="K334" s="70" t="str">
        <x:v>Entered Weekly from Sep 3 Today: Monday Aug 31–Sunday Sep 6, seven rows, Sep 3 highlighted and aria-current=date. The Back href preserved Sep 3. After range checks, header Back returned to its declared Sep 4 Today target.</x:v>
      </x:c>
      <x:c r="L334" s="70" t="str"/>
      <x:c r="M334" s="70" t="str">
        <x:v>DEF010 selected-row regression passes. Monday/Sunday/year-boundary originating dates remain untested; no blanket full navigation pass.</x:v>
      </x:c>
    </x:row>
    <x:row r="335" ht="118.80000305175781" hidden="0" customHeight="1">
      <x:c r="A335" s="70" t="str">
        <x:v>RUN-0331</x:v>
      </x:c>
      <x:c r="B335" s="70" t="str">
        <x:v>NUT-097</x:v>
      </x:c>
      <x:c r="C335" s="70" t="str">
        <x:v>Retest</x:v>
      </x:c>
      <x:c r="D335" s="70" t="str">
        <x:v>iOS</x:v>
      </x:c>
      <x:c r="E335" s="70" t="str">
        <x:v>iPhone 17 Pro</x:v>
      </x:c>
      <x:c r="F335" s="70" t="str">
        <x:v>iOS 26.5</x:v>
      </x:c>
      <x:c r="G335" s="70" t="str">
        <x:v>9e9dcf1+dirty; com.spacemancodes.buff 1.0.0 (15)</x:v>
      </x:c>
      <x:c r="H335" s="71" t="n">
        <x:v>46269.46805555555</x:v>
      </x:c>
      <x:c r="I335" s="70" t="str">
        <x:v>Failed</x:v>
      </x:c>
      <x:c r="J335" s="70" t="str">
        <x:v>/Users/mason/.codex/visualizations/2026/09/01/01a05def-1c0d-76d1-abc6-07c63a443582/emulator-runs/retest/ios/NUT-091-105-batch007-observations.json
/Users/mason/.codex/visualizations/2026/09/01/01a05def-1c0d-76d1-abc6-07c63a443582/emulator-runs/retest/ios/NUT-097-year-picker-starts1926.png
/Users/mason/.codex/visualizations/2026/09/01/01a05def-1c0d-76d1-abc6-07c63a443582/emulator-runs/retest/ios/NUT-097-native-select-state.json</x:v>
      </x:c>
      <x:c r="K335" s="70" t="str">
        <x:v>Week calendar Next advances from September to October. Selecting Oct 15 visits its week and closes the picker. Week/Range toggles expose the correct aria-pressed state, and Range is prefilled with Oct 12–18. However, native month/year selects have an empty value and selectedIndex -1. The displayed 2026 year menu starts at 1926 without a current selection.</x:v>
      </x:c>
      <x:c r="L335" s="70" t="str">
        <x:v>DEF-011</x:v>
      </x:c>
      <x:c r="M335" s="70" t="str">
        <x:v>Remaining known DEF011 native-select initialization issue. Arrow navigation improvement is confirmed but does not close the whole defect. New source fix created after this run is not installed.</x:v>
      </x:c>
    </x:row>
    <x:row r="336" ht="158.39999389648438" hidden="0" customHeight="1">
      <x:c r="A336" s="70" t="str">
        <x:v>RUN-0332</x:v>
      </x:c>
      <x:c r="B336" s="70" t="str">
        <x:v>NUT-098</x:v>
      </x:c>
      <x:c r="C336" s="70" t="str">
        <x:v>Retest</x:v>
      </x:c>
      <x:c r="D336" s="70" t="str">
        <x:v>iOS</x:v>
      </x:c>
      <x:c r="E336" s="70" t="str">
        <x:v>iPhone 17 Pro</x:v>
      </x:c>
      <x:c r="F336" s="70" t="str">
        <x:v>iOS 26.5</x:v>
      </x:c>
      <x:c r="G336" s="70" t="str">
        <x:v>9e9dcf1+dirty; com.spacemancodes.buff 1.0.0 (15)</x:v>
      </x:c>
      <x:c r="H336" s="71" t="n">
        <x:v>46269.46805555555</x:v>
      </x:c>
      <x:c r="I336" s="70" t="str">
        <x:v>Blocked</x:v>
      </x:c>
      <x:c r="J336" s="70" t="str">
        <x:v>/Users/mason/.codex/visualizations/2026/09/01/01a05def-1c0d-76d1-abc6-07c63a443582/emulator-runs/retest/ios/NUT-091-105-batch007-observations.json
/Users/mason/.codex/visualizations/2026/09/01/01a05def-1c0d-76d1-abc6-07c63a443582/emulator-runs/retest/ios/NUT-098-valid-single-day.png
/Users/mason/.codex/visualizations/2026/09/01/01a05def-1c0d-76d1-abc6-07c63a443582/emulator-runs/retest/ios/NUT-098-101-valid90day-range.png
/Users/mason/.codex/visualizations/2026/09/01/01a05def-1c0d-76d1-abc6-07c63a443582/emulator-runs/retest/ios/NUT-099-invalid91day-visible-error.png</x:v>
      </x:c>
      <x:c r="K336" s="70" t="str">
        <x:v>Applied equal Oct 18 dates: one row, 0 kcal and a 2100 period target. Applied Jul 21–Oct 18: 90 inclusive rows, 500 calories and exact 90-day macro denominators of 14175/18900/6300 g. Jul 20–Oct 18 (91 days) is rejected while the prior 90-row result remains. Attempted values are retained.</x:v>
      </x:c>
      <x:c r="L336" s="70" t="str"/>
      <x:c r="M336" s="70" t="str">
        <x:v>90/91 and same-day boundary subset verified. Reversed dates also rejected but hidden feedback tracked in NUT099. Missing paired dates and malformed date values not submitted; native Reset did not clear Start.</x:v>
      </x:c>
    </x:row>
    <x:row r="337" ht="118.80000305175781" hidden="0" customHeight="1">
      <x:c r="A337" s="70" t="str">
        <x:v>RUN-0333</x:v>
      </x:c>
      <x:c r="B337" s="70" t="str">
        <x:v>NUT-099</x:v>
      </x:c>
      <x:c r="C337" s="70" t="str">
        <x:v>Retest</x:v>
      </x:c>
      <x:c r="D337" s="70" t="str">
        <x:v>iOS</x:v>
      </x:c>
      <x:c r="E337" s="70" t="str">
        <x:v>iPhone 17 Pro</x:v>
      </x:c>
      <x:c r="F337" s="70" t="str">
        <x:v>iOS 26.5</x:v>
      </x:c>
      <x:c r="G337" s="70" t="str">
        <x:v>9e9dcf1+dirty; com.spacemancodes.buff 1.0.0 (15)</x:v>
      </x:c>
      <x:c r="H337" s="71" t="n">
        <x:v>46269.46805555555</x:v>
      </x:c>
      <x:c r="I337" s="70" t="str">
        <x:v>Failed</x:v>
      </x:c>
      <x:c r="J337" s="70" t="str">
        <x:v>/Users/mason/.codex/visualizations/2026/09/01/01a05def-1c0d-76d1-abc6-07c63a443582/emulator-runs/retest/ios/NUT-091-105-batch007-observations.json
/Users/mason/.codex/visualizations/2026/09/01/01a05def-1c0d-76d1-abc6-07c63a443582/emulator-runs/retest/ios/NUT-099-reversed-range-error-hidden-week-mode.png
/Users/mason/.codex/visualizations/2026/09/01/01a05def-1c0d-76d1-abc6-07c63a443582/emulator-runs/retest/ios/NUT-099-invalid91day-visible-error.png</x:v>
      </x:c>
      <x:c r="K337" s="70" t="str">
        <x:v>From Week mode on Oct 15, toggle Range and apply Start Oct 19 / End Oct 18: the server returns an error and rejectedControls, but the page resets to Week and hides both inputs and all alerts. Reopening Range exposes retained dates and the required end-date error. Correcting the range to equal Oct 18 dates clears the error. A 91-day attempt from an already-valid Range view stays in Range and visibly shows Choose a range of 90 days or less.</x:v>
      </x:c>
      <x:c r="L337" s="70" t="str">
        <x:v>DEF-013</x:v>
      </x:c>
      <x:c r="M337" s="70" t="str">
        <x:v>Known DEF013 remains for the Week to invalid Range transition. The current source follow-up is not in build 15. Missing/malformed date branches remain untested. No records changed.</x:v>
      </x:c>
    </x:row>
    <x:row r="338" ht="158.39999389648438" hidden="0" customHeight="1">
      <x:c r="A338" s="70" t="str">
        <x:v>RUN-0334</x:v>
      </x:c>
      <x:c r="B338" s="70" t="str">
        <x:v>NUT-100</x:v>
      </x:c>
      <x:c r="C338" s="70" t="str">
        <x:v>Retest</x:v>
      </x:c>
      <x:c r="D338" s="70" t="str">
        <x:v>iOS</x:v>
      </x:c>
      <x:c r="E338" s="70" t="str">
        <x:v>iPhone 17 Pro</x:v>
      </x:c>
      <x:c r="F338" s="70" t="str">
        <x:v>iOS 26.5</x:v>
      </x:c>
      <x:c r="G338" s="70" t="str">
        <x:v>9e9dcf1+dirty; com.spacemancodes.buff 1.0.0 (15)</x:v>
      </x:c>
      <x:c r="H338" s="71" t="n">
        <x:v>46269.46805555555</x:v>
      </x:c>
      <x:c r="I338" s="70" t="str">
        <x:v>Blocked</x:v>
      </x:c>
      <x:c r="J338" s="70" t="str">
        <x:v>/Users/mason/.codex/visualizations/2026/09/01/01a05def-1c0d-76d1-abc6-07c63a443582/emulator-runs/retest/ios/NUT-091-105-batch007-observations.json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/Users/mason/.codex/visualizations/2026/09/01/01a05def-1c0d-76d1-abc6-07c63a443582/emulator-runs/retest/ios/NUT-100-empty-period-target.png
/Users/mason/.codex/visualizations/2026/09/01/01a05def-1c0d-76d1-abc6-07c63a443582/emulator-runs/retest/ios/NUT-098-101-valid90day-range.png</x:v>
      </x:c>
      <x:c r="K338" s="70" t="str">
        <x:v>The populated week and 90-day range show a 500 kcal logged-day average versus a 2100 daily target, with 500 period calories. The empty Oct 12–18 week shows 0 and a 14700 kcal period target. A single empty Oct 18 shows 0 and a 2100 period target. All macro/hero values update during ordinary range navigation.</x:v>
      </x:c>
      <x:c r="L338" s="70" t="str"/>
      <x:c r="M338" s="70" t="str">
        <x:v>DEF012 period-label fix verified on iOS. Multiple logged days, workout burn/effective-target variants and progress caps remain untested; preserve-state resume is not claimed.</x:v>
      </x:c>
    </x:row>
    <x:row r="339" ht="158.39999389648438" hidden="0" customHeight="1">
      <x:c r="A339" s="70" t="str">
        <x:v>RUN-0335</x:v>
      </x:c>
      <x:c r="B339" s="70" t="str">
        <x:v>NUT-101</x:v>
      </x:c>
      <x:c r="C339" s="70" t="str">
        <x:v>Retest</x:v>
      </x:c>
      <x:c r="D339" s="70" t="str">
        <x:v>iOS</x:v>
      </x:c>
      <x:c r="E339" s="70" t="str">
        <x:v>iPhone 17 Pro</x:v>
      </x:c>
      <x:c r="F339" s="70" t="str">
        <x:v>iOS 26.5</x:v>
      </x:c>
      <x:c r="G339" s="70" t="str">
        <x:v>9e9dcf1+dirty; com.spacemancodes.buff 1.0.0 (15)</x:v>
      </x:c>
      <x:c r="H339" s="71" t="n">
        <x:v>46269.46805555555</x:v>
      </x:c>
      <x:c r="I339" s="70" t="str">
        <x:v>Blocked</x:v>
      </x:c>
      <x:c r="J339" s="70" t="str">
        <x:v>/Users/mason/.codex/visualizations/2026/09/01/01a05def-1c0d-76d1-abc6-07c63a443582/emulator-runs/retest/ios/NUT-091-105-batch007-observations.json
/Users/mason/.codex/visualizations/2026/09/01/01a05def-1c0d-76d1-abc6-07c63a443582/emulator-runs/retest/ios/NUT-096-101-weekly-populated.png
/Users/mason/.codex/visualizations/2026/09/01/01a05def-1c0d-76d1-abc6-07c63a443582/emulator-runs/retest/ios/NUT-098-valid-single-day.png
/Users/mason/.codex/visualizations/2026/09/01/01a05def-1c0d-76d1-abc6-07c63a443582/emulator-runs/retest/ios/NUT-098-101-valid90day-range.png</x:v>
      </x:c>
      <x:c r="K339" s="70" t="str">
        <x:v>Seven-day macro totals of 20/60/20 g display full-period goals of 1103/1470/490 g, including unlogged/future dates and protein rounding from 1102.5 to 1103. Empty one-day goals of 158/210/70 and 90-day goals of 14175/18900/6300 recalculate correctly.</x:v>
      </x:c>
      <x:c r="L339" s="70" t="str"/>
      <x:c r="M339" s="70" t="str">
        <x:v>Period arithmetic and decimal rounding subset verified. Over-goal progress cap and additional decimal/input fixtures remain untested.</x:v>
      </x:c>
    </x:row>
    <x:row r="340" ht="79.19999694824219" hidden="0" customHeight="1">
      <x:c r="A340" s="70" t="str">
        <x:v>RUN-0336</x:v>
      </x:c>
      <x:c r="B340" s="70" t="str">
        <x:v>NUT-102</x:v>
      </x:c>
      <x:c r="C340" s="70" t="str">
        <x:v>Retest</x:v>
      </x:c>
      <x:c r="D340" s="70" t="str">
        <x:v>iOS</x:v>
      </x:c>
      <x:c r="E340" s="70" t="str">
        <x:v>iPhone 17 Pro</x:v>
      </x:c>
      <x:c r="F340" s="70" t="str">
        <x:v>iOS 26.5</x:v>
      </x:c>
      <x:c r="G340" s="70" t="str">
        <x:v>9e9dcf1+dirty; com.spacemancodes.buff 1.0.0 (15)</x:v>
      </x:c>
      <x:c r="H340" s="71" t="n">
        <x:v>46269.46805555555</x:v>
      </x:c>
      <x:c r="I340" s="70" t="str">
        <x:v>Failed</x:v>
      </x:c>
      <x:c r="J340" s="70" t="str">
        <x:v>/Users/mason/.codex/visualizations/2026/09/01/01a05def-1c0d-76d1-abc6-07c63a443582/emulator-runs/retest/ios/NUT-091-105-batch007-observations.json
/Users/mason/.codex/visualizations/2026/09/01/01a05def-1c0d-76d1-abc6-07c63a443582/emulator-runs/retest/ios/NUT-096-102-105-daily-rows.png</x:v>
      </x:c>
      <x:c r="K340" s="70" t="str">
        <x:v>Seven-day rows contain the correct 500/2100 and P 20 / C 60 / F 20 on Sep 4, under target. The other six dates show 0/2100 and no log. The standard populated row truncates before its fat value on the 402 px iPhone viewport: the 248 px text width exceeds the 220 px container, with ellipsis/overflow hidden and no reveal action.</x:v>
      </x:c>
      <x:c r="L340" s="70" t="str">
        <x:v>DEF-088</x:v>
      </x:c>
      <x:c r="M340" s="70" t="str">
        <x:v>New DEF088 covers inaccessible visible macro clipping. The status tolerance of ±50, over/on-target cases and eat-back matrix remain untested. DOM correctness does not make the clipped visual presentation pass.</x:v>
      </x:c>
    </x:row>
    <x:row r="341" ht="118.80000305175781" hidden="0" customHeight="1">
      <x:c r="A341" s="70" t="str">
        <x:v>RUN-0337</x:v>
      </x:c>
      <x:c r="B341" s="70" t="str">
        <x:v>NUT-105</x:v>
      </x:c>
      <x:c r="C341" s="70" t="str">
        <x:v>Retest</x:v>
      </x:c>
      <x:c r="D341" s="70" t="str">
        <x:v>iOS</x:v>
      </x:c>
      <x:c r="E341" s="70" t="str">
        <x:v>iPhone 17 Pro</x:v>
      </x:c>
      <x:c r="F341" s="70" t="str">
        <x:v>iOS 26.5</x:v>
      </x:c>
      <x:c r="G341" s="70" t="str">
        <x:v>9e9dcf1+dirty; com.spacemancodes.buff 1.0.0 (15)</x:v>
      </x:c>
      <x:c r="H341" s="71" t="n">
        <x:v>46269.46805555555</x:v>
      </x:c>
      <x:c r="I341" s="70" t="str">
        <x:v>Blocked</x:v>
      </x:c>
      <x:c r="J341" s="70" t="str">
        <x:v>/Users/mason/.codex/visualizations/2026/09/01/01a05def-1c0d-76d1-abc6-07c63a443582/emulator-runs/retest/ios/NUT-091-105-batch007-observations.json
/Users/mason/.codex/visualizations/2026/09/01/01a05def-1c0d-76d1-abc6-07c63a443582/emulator-runs/retest/ios/NUT-096-102-105-daily-rows.png
/Users/mason/.codex/visualizations/2026/09/01/01a05def-1c0d-76d1-abc6-07c63a443582/emulator-runs/retest/ios/NUT-100-empty-period-target.png</x:v>
      </x:c>
      <x:c r="K341" s="70" t="str">
        <x:v>The Aug 31–Sep 6 week and 90-day range show Weight down 1 kg this period, matching chronological Sep 3 = 76 kg and Sep 4 = 75 kg. The empty Oct week and single Oct 18 range contain no weight insight.</x:v>
      </x:c>
      <x:c r="L341" s="70" t="str"/>
      <x:c r="M341" s="70" t="str">
        <x:v>The two-metric decrease and zero-metric omission subsets are verified. One/three metrics, up/unchanged, lb preference and rounding variants remain untested. No weight/unit writes occurred.</x:v>
      </x:c>
    </x:row>
    <x:row r="342" ht="79.19999694824219" hidden="0" customHeight="1">
      <x:c r="A342" s="70" t="str">
        <x:v>RUN-0338</x:v>
      </x:c>
      <x:c r="B342" s="70" t="str">
        <x:v>NUT-043</x:v>
      </x:c>
      <x:c r="C342" s="70" t="str">
        <x:v>Retest</x:v>
      </x:c>
      <x:c r="D342" s="70" t="str">
        <x:v>Android</x:v>
      </x:c>
      <x:c r="E342" s="70" t="str">
        <x:v>Medium_Phone emulator-5554, isolated QA user 10</x:v>
      </x:c>
      <x:c r="F342" s="70" t="str">
        <x:v>Android 17</x:v>
      </x:c>
      <x:c r="G342" s="70" t="str">
        <x:v>1.0.0 (15)</x:v>
      </x:c>
      <x:c r="H342" s="71" t="n">
        <x:v>46269.46179662037</x:v>
      </x:c>
      <x:c r="I342" s="70" t="str">
        <x:v>Failed</x:v>
      </x:c>
      <x:c r="J342" s="70" t="str">
        <x:v>/Users/mason/.codex/visualizations/2026/09/01/01a05def-1c0d-76d1-abc6-07c63a443582/emulator-runs/retest/android/NUT-043-recipe-empty-current.json
/Users/mason/.codex/visualizations/2026/09/01/01a05def-1c0d-76d1-abc6-07c63a443582/emulator-runs/retest/android/NUT-043-057-two-recipes-offline.json</x:v>
      </x:c>
      <x:c r="K342" s="70" t="str">
        <x:v>Empty Recipes showed one Create your first recipe action. After two saves, newest B appeared above A with calorie totals, ingredient counts, log targets and individually named Edit/Delete actions. Both one-item rows incorrectly said 1 ingredients.</x:v>
      </x:c>
      <x:c r="L342" s="70" t="str">
        <x:v>DEF-087</x:v>
      </x:c>
      <x:c r="M342" s="70" t="str">
        <x:v>New singular-label source fix is not installed. Both tabs remained available; the QA recipe library is retained for cross-device verification.</x:v>
      </x:c>
    </x:row>
    <x:row r="343" ht="158.39999389648438" hidden="0" customHeight="1">
      <x:c r="A343" s="70" t="str">
        <x:v>RUN-0339</x:v>
      </x:c>
      <x:c r="B343" s="70" t="str">
        <x:v>NUT-048</x:v>
      </x:c>
      <x:c r="C343" s="70" t="str">
        <x:v>Retest</x:v>
      </x:c>
      <x:c r="D343" s="70" t="str">
        <x:v>Android</x:v>
      </x:c>
      <x:c r="E343" s="70" t="str">
        <x:v>Medium_Phone emulator-5554, isolated QA user 10</x:v>
      </x:c>
      <x:c r="F343" s="70" t="str">
        <x:v>Android 17</x:v>
      </x:c>
      <x:c r="G343" s="70" t="str">
        <x:v>1.0.0 (15)</x:v>
      </x:c>
      <x:c r="H343" s="71" t="n">
        <x:v>46269.45910226852</x:v>
      </x:c>
      <x:c r="I343" s="70" t="str">
        <x:v>Passed</x:v>
      </x:c>
      <x:c r="J343" s="70" t="str">
        <x:v>/Users/mason/.codex/visualizations/2026/09/01/01a05def-1c0d-76d1-abc6-07c63a443582/emulator-runs/retest/android/NUT-048-one-ingredient-live.json
/Users/mason/.codex/visualizations/2026/09/01/01a05def-1c0d-76d1-abc6-07c63a443582/emulator-runs/retest/android/NUT-048-two-ingredient-appended.json
/Users/mason/.codex/visualizations/2026/09/01/01a05def-1c0d-76d1-abc6-07c63a443582/emulator-runs/retest/android/NUT-048-yield-error.json
/Users/mason/.codex/visualizations/2026/09/01/01a05def-1c0d-76d1-abc6-07c63a443582/emulator-runs/retest/android/NUT-049-saved-recipe-a.json</x:v>
      </x:c>
      <x:c r="K343" s="70" t="str">
        <x:v>QA oats 100g/P10/C20/F5 produced 165 kcal. QA milk 100ml/P6/C12/F3 added 99 kcal, producing exact batch totals 264/P16/C32/F8. Yield 100.1 returned a visible maximum-100 error and created no recipe. Correcting yield to 4 saved the two ingredient snapshots and exact totals.</x:v>
      </x:c>
      <x:c r="L343" s="70" t="str"/>
      <x:c r="M343" s="70" t="str">
        <x:v>This run covers the specified live totals, upper-bound validation and valid yield save. Exhaustive numeric boundary permutations are not claimed.</x:v>
      </x:c>
    </x:row>
    <x:row r="344" ht="79.19999694824219" hidden="0" customHeight="1">
      <x:c r="A344" s="70" t="str">
        <x:v>RUN-0340</x:v>
      </x:c>
      <x:c r="B344" s="70" t="str">
        <x:v>NUT-049</x:v>
      </x:c>
      <x:c r="C344" s="70" t="str">
        <x:v>Retest</x:v>
      </x:c>
      <x:c r="D344" s="70" t="str">
        <x:v>Android</x:v>
      </x:c>
      <x:c r="E344" s="70" t="str">
        <x:v>Medium_Phone emulator-5554, isolated QA user 10</x:v>
      </x:c>
      <x:c r="F344" s="70" t="str">
        <x:v>Android 17</x:v>
      </x:c>
      <x:c r="G344" s="70" t="str">
        <x:v>1.0.0 (15)</x:v>
      </x:c>
      <x:c r="H344" s="71" t="n">
        <x:v>46269.46225871528</x:v>
      </x:c>
      <x:c r="I344" s="70" t="str">
        <x:v>Blocked</x:v>
      </x:c>
      <x:c r="J344" s="70" t="str">
        <x:v>/Users/mason/.codex/visualizations/2026/09/01/01a05def-1c0d-76d1-abc6-07c63a443582/emulator-runs/retest/android/NUT-049-saved-recipe-a.json
/Users/mason/.codex/visualizations/2026/09/01/01a05def-1c0d-76d1-abc6-07c63a443582/emulator-runs/retest/android/NUT-056-057-offline-relaunch.json</x:v>
      </x:c>
      <x:c r="K344" s="70" t="str">
        <x:v>Valid A saved, returned to Recipes with date=2026-09-04 and appeared with correct data. A subsequent update and offline B save persisted through process restart; both recipes remained in the library.</x:v>
      </x:c>
      <x:c r="L344" s="70" t="str"/>
      <x:c r="M344" s="70" t="str">
        <x:v>Partial: this batch used today, not a historical date, and did not capture the transient success toast. Nested invalid ingredient behavior remains tracked under DEF-023; this run does not replace that failed retest.</x:v>
      </x:c>
    </x:row>
    <x:row r="345" ht="198" hidden="0" customHeight="1">
      <x:c r="A345" s="70" t="str">
        <x:v>RUN-0341</x:v>
      </x:c>
      <x:c r="B345" s="70" t="str">
        <x:v>NUT-056</x:v>
      </x:c>
      <x:c r="C345" s="70" t="str">
        <x:v>Retest</x:v>
      </x:c>
      <x:c r="D345" s="70" t="str">
        <x:v>Android</x:v>
      </x:c>
      <x:c r="E345" s="70" t="str">
        <x:v>Medium_Phone emulator-5554, isolated QA user 10</x:v>
      </x:c>
      <x:c r="F345" s="70" t="str">
        <x:v>Android 17</x:v>
      </x:c>
      <x:c r="G345" s="70" t="str">
        <x:v>1.0.0 (15)</x:v>
      </x:c>
      <x:c r="H345" s="71" t="n">
        <x:v>46269.46225871528</x:v>
      </x:c>
      <x:c r="I345" s="70" t="str">
        <x:v>Blocked</x:v>
      </x:c>
      <x:c r="J345" s="70" t="str">
        <x:v>/Users/mason/.codex/visualizations/2026/09/01/01a05def-1c0d-76d1-abc6-07c63a443582/emulator-runs/retest/android/NUT-056-prefill.json
/Users/mason/.codex/visualizations/2026/09/01/01a05def-1c0d-76d1-abc6-07c63a443582/emulator-runs/retest/android/NUT-056-updated.json
/Users/mason/.codex/visualizations/2026/09/01/01a05def-1c0d-76d1-abc6-07c63a443582/emulator-runs/retest/android/NUT-056-cancel-draft.json
/Users/mason/.codex/visualizations/2026/09/01/01a05def-1c0d-76d1-abc6-07c63a443582/emulator-runs/retest/android/NUT-056-cancel-preserved.json
/Users/mason/.codex/visualizations/2026/09/01/01a05def-1c0d-76d1-abc6-07c63a443582/emulator-runs/retest/android/NUT-056-057-offline-relaunch.json</x:v>
      </x:c>
      <x:c r="K345" s="70" t="str">
        <x:v>Edit accurately prefilled name, yield and both ingredient snapshots. Rename, yield 4→2 and removing milk saved the same UUID with 165/P10/C20/F5. An unsaved second rename was cancelled and original saved values remained. The update survived offline process restart.</x:v>
      </x:c>
      <x:c r="L345" s="70" t="str">
        <x:v>DEF-037</x:v>
      </x:c>
      <x:c r="M345" s="70" t="str">
        <x:v>The original unreachable Edit defect passes this Android check. Broader story remains partial: offline update, invalid edit recovery, ingredient addition during edit and previously logged snapshot independence are not exercised here.</x:v>
      </x:c>
    </x:row>
    <x:row r="346" ht="118.80000305175781" hidden="0" customHeight="1">
      <x:c r="A346" s="70" t="str">
        <x:v>RUN-0342</x:v>
      </x:c>
      <x:c r="B346" s="70" t="str">
        <x:v>NUT-057</x:v>
      </x:c>
      <x:c r="C346" s="70" t="str">
        <x:v>Retest</x:v>
      </x:c>
      <x:c r="D346" s="70" t="str">
        <x:v>Android</x:v>
      </x:c>
      <x:c r="E346" s="70" t="str">
        <x:v>Medium_Phone emulator-5554, isolated QA user 10</x:v>
      </x:c>
      <x:c r="F346" s="70" t="str">
        <x:v>Android 17</x:v>
      </x:c>
      <x:c r="G346" s="70" t="str">
        <x:v>1.0.0 (15)</x:v>
      </x:c>
      <x:c r="H346" s="71" t="n">
        <x:v>46269.46660543981</x:v>
      </x:c>
      <x:c r="I346" s="70" t="str">
        <x:v>Blocked</x:v>
      </x:c>
      <x:c r="J346" s="70" t="str">
        <x:v>/Users/mason/.codex/visualizations/2026/09/01/01a05def-1c0d-76d1-abc6-07c63a443582/emulator-runs/retest/android/NUT-043-057-two-recipes-offline.json
/Users/mason/.codex/visualizations/2026/09/01/01a05def-1c0d-76d1-abc6-07c63a443582/emulator-runs/retest/android/NUT-056-057-offline-relaunch.json
/Users/mason/.codex/visualizations/2026/09/01/01a05def-1c0d-76d1-abc6-07c63a443582/emulator-runs/retest/android/NUT-053-cancel-preserved-both.json</x:v>
      </x:c>
      <x:c r="K346" s="70" t="str">
        <x:v>With Wi-Fi/mobile data disabled and navigator.onLine=false, valid zero-macro Recipe B saved locally. Force-stop/relaunch offline retained B and edited A. Re-enabling connectivity completed sync with pending 0 and no error; both recipes remained. Radios were restored on.</x:v>
      </x:c>
      <x:c r="L346" s="70" t="str"/>
      <x:c r="M346" s="70" t="str">
        <x:v>Partial cross-device story: iOS receipt, reciprocal offline update/log/delete and conflict resolution require their own observations. No recipe deletion or meal log was performed.</x:v>
      </x:c>
    </x:row>
    <x:row r="347" ht="79.19999694824219" hidden="0" customHeight="1">
      <x:c r="A347" s="70" t="str">
        <x:v>RUN-0343</x:v>
      </x:c>
      <x:c r="B347" s="70" t="str">
        <x:v>NUT-050</x:v>
      </x:c>
      <x:c r="C347" s="70" t="str">
        <x:v>Retest</x:v>
      </x:c>
      <x:c r="D347" s="70" t="str">
        <x:v>Android</x:v>
      </x:c>
      <x:c r="E347" s="70" t="str">
        <x:v>Medium_Phone emulator-5554, isolated QA user 10</x:v>
      </x:c>
      <x:c r="F347" s="70" t="str">
        <x:v>Android 17</x:v>
      </x:c>
      <x:c r="G347" s="70" t="str">
        <x:v>1.0.0 (15)</x:v>
      </x:c>
      <x:c r="H347" s="71" t="n">
        <x:v>46269.462799189816</x:v>
      </x:c>
      <x:c r="I347" s="70" t="str">
        <x:v>Blocked</x:v>
      </x:c>
      <x:c r="J347" s="70" t="str">
        <x:v>/Users/mason/.codex/visualizations/2026/09/01/01a05def-1c0d-76d1-abc6-07c63a443582/emulator-runs/retest/android/NUT-050-default-log.json
/Users/mason/.codex/visualizations/2026/09/01/01a05def-1c0d-76d1-abc6-07c63a443582/emulator-runs/retest/android/NUT-050-lunch-default-sync.json</x:v>
      </x:c>
      <x:c r="K347" s="70" t="str">
        <x:v>Opening A with meal=null at local hour 12 selected Lunch with aria-checked=true and prefilled its saved yield 2. Breakfast/Dinner/Snacks were present as unchecked radio choices. Back returned to Recipes.</x:v>
      </x:c>
      <x:c r="L347" s="70" t="str">
        <x:v>DEF-032</x:v>
      </x:c>
      <x:c r="M347" s="70" t="str">
        <x:v>Original unconditional Breakfast defect passes at a non-breakfast time. Other hour boundaries, explicit meal query and selecting all choices remain untested in this batch.</x:v>
      </x:c>
    </x:row>
    <x:row r="348" ht="158.39999389648438" hidden="0" customHeight="1">
      <x:c r="A348" s="70" t="str">
        <x:v>RUN-0344</x:v>
      </x:c>
      <x:c r="B348" s="70" t="str">
        <x:v>NUT-052</x:v>
      </x:c>
      <x:c r="C348" s="70" t="str">
        <x:v>Retest</x:v>
      </x:c>
      <x:c r="D348" s="70" t="str">
        <x:v>Android</x:v>
      </x:c>
      <x:c r="E348" s="70" t="str">
        <x:v>Medium_Phone emulator-5554, isolated QA user 10</x:v>
      </x:c>
      <x:c r="F348" s="70" t="str">
        <x:v>Android 17</x:v>
      </x:c>
      <x:c r="G348" s="70" t="str">
        <x:v>1.0.0 (15)</x:v>
      </x:c>
      <x:c r="H348" s="71" t="n">
        <x:v>46269.464086203705</x:v>
      </x:c>
      <x:c r="I348" s="70" t="str">
        <x:v>Blocked</x:v>
      </x:c>
      <x:c r="J348" s="70" t="str">
        <x:v>/Users/mason/.codex/visualizations/2026/09/01/01a05def-1c0d-76d1-abc6-07c63a443582/emulator-runs/retest/android/NUT-052-blank-log-blocked.json
/Users/mason/.codex/visualizations/2026/09/01/01a05def-1c0d-76d1-abc6-07c63a443582/emulator-runs/retest/android/NUT-052-blank-log-blocked.png
/Users/mason/.codex/visualizations/2026/09/01/01a05def-1c0d-76d1-abc6-07c63a443582/emulator-runs/retest/android/NUT-052-max-log-blocked.json
/Users/mason/.codex/visualizations/2026/09/01/01a05def-1c0d-76d1-abc6-07c63a443582/emulator-runs/retest/android/NUT-052-reopen-log-cleared.json</x:v>
      </x:c>
      <x:c r="K348" s="70" t="str">
        <x:v>Blank servings showed native Please fill out this field, valueMissing=true and no log request. 100.1 showed the maximum-100 native message and no log request. Leaving and reopening restored valid yield 2 with no validation message or alert. No meals were created.</x:v>
      </x:c>
      <x:c r="L348" s="70" t="str">
        <x:v>DEF-035</x:v>
      </x:c>
      <x:c r="M348" s="70" t="str">
        <x:v>DEF-035 passes on Android. Server-returned error clearing (DEF-034), date/meal/id failures and all remaining numeric boundaries need separate coverage; native prevalidation prevented a server error in these cases.</x:v>
      </x:c>
    </x:row>
    <x:row r="349" ht="198" hidden="0" customHeight="1">
      <x:c r="A349" s="70" t="str">
        <x:v>RUN-0345</x:v>
      </x:c>
      <x:c r="B349" s="70" t="str">
        <x:v>NUT-053</x:v>
      </x:c>
      <x:c r="C349" s="70" t="str">
        <x:v>Retest</x:v>
      </x:c>
      <x:c r="D349" s="70" t="str">
        <x:v>Android</x:v>
      </x:c>
      <x:c r="E349" s="70" t="str">
        <x:v>Medium_Phone emulator-5554, isolated QA user 10</x:v>
      </x:c>
      <x:c r="F349" s="70" t="str">
        <x:v>Android 17</x:v>
      </x:c>
      <x:c r="G349" s="70" t="str">
        <x:v>1.0.0 (15)</x:v>
      </x:c>
      <x:c r="H349" s="71" t="n">
        <x:v>46269.46660543981</x:v>
      </x:c>
      <x:c r="I349" s="70" t="str">
        <x:v>Failed</x:v>
      </x:c>
      <x:c r="J349" s="70" t="str">
        <x:v>/Users/mason/.codex/visualizations/2026/09/01/01a05def-1c0d-76d1-abc6-07c63a443582/emulator-runs/retest/android/NUT-043-057-two-recipes-offline.json
/Users/mason/.codex/visualizations/2026/09/01/01a05def-1c0d-76d1-abc6-07c63a443582/emulator-runs/retest/android/NUT-053-alert-confirmation-open.json
/Users/mason/.codex/visualizations/2026/09/01/01a05def-1c0d-76d1-abc6-07c63a443582/emulator-runs/retest/android/NUT-053-alert-confirmation-open.png
/Users/mason/.codex/visualizations/2026/09/01/01a05def-1c0d-76d1-abc6-07c63a443582/emulator-runs/retest/android/NUT-053-system-back-left-page.json
/Users/mason/.codex/visualizations/2026/09/01/01a05def-1c0d-76d1-abc6-07c63a443582/emulator-runs/retest/android/NUT-053-cancel-preserved-both.json</x:v>
      </x:c>
      <x:c r="K349" s="70" t="str">
        <x:v>Delete controls correctly named each recipe and confirmation named the selected A. One Android Back with the visible alertdialog open navigated to Home instead of dismissing in-place. Reopening and pressing explicit Cancel stayed on Recipes and retained both rows. No Delete confirmation was submitted.</x:v>
      </x:c>
      <x:c r="L349" s="70" t="str">
        <x:v>DEF-018</x:v>
      </x:c>
      <x:c r="M349" s="70" t="str">
        <x:v>DEF-036 contextual naming passes Android. Remaining native-back gap belongs to DEF-018; destructive completion, repeated submit and failure recovery were not exercised.</x:v>
      </x:c>
    </x:row>
    <x:row r="350" ht="118.80000305175781" hidden="0" customHeight="1">
      <x:c r="A350" s="70" t="str">
        <x:v>RUN-0346</x:v>
      </x:c>
      <x:c r="B350" s="70" t="str">
        <x:v>ACC-078</x:v>
      </x:c>
      <x:c r="C350" s="70" t="str">
        <x:v>Retest</x:v>
      </x:c>
      <x:c r="D350" s="70" t="str">
        <x:v>Android</x:v>
      </x:c>
      <x:c r="E350" s="70" t="str">
        <x:v>Medium_Phone emulator-5554, isolated QA user 10</x:v>
      </x:c>
      <x:c r="F350" s="70" t="str">
        <x:v>Android 17</x:v>
      </x:c>
      <x:c r="G350" s="70" t="str">
        <x:v>1.0.0 (15)</x:v>
      </x:c>
      <x:c r="H350" s="71" t="n">
        <x:v>46269.46718508102</x:v>
      </x:c>
      <x:c r="I350" s="70" t="str">
        <x:v>Failed</x:v>
      </x:c>
      <x:c r="J350" s="70" t="str">
        <x:v>/Users/mason/.codex/visualizations/2026/09/01/01a05def-1c0d-76d1-abc6-07c63a443582/emulator-runs/retest/android/NUT-053-cancel-preserved-both.json
/Users/mason/.codex/visualizations/2026/09/01/01a05def-1c0d-76d1-abc6-07c63a443582/emulator-runs/retest/android/ACC-020-history-back-sync-state.json
/Users/mason/.codex/visualizations/2026/09/01/01a05def-1c0d-76d1-abc6-07c63a443582/emulator-runs/retest/android/ACC-020-fresh-home-sync-state.json</x:v>
      </x:c>
      <x:c r="K350" s="70" t="str">
        <x:v>An offline recipe was retained and automatic reconnect recovery succeeded. Back restored a cached Home failure with pending 1 and an older success time, while a fresh Home visit immediately showed pending 0/no error with the newer success time. No retry was needed to remove the warning.</x:v>
      </x:c>
      <x:c r="L350" s="70" t="str">
        <x:v>DEF-089</x:v>
      </x:c>
      <x:c r="M350" s="70" t="str">
        <x:v>This is a stale-history failure-state defect. Existing DEF-052 pending/success visibility decisions remain separate and unresolved. Final Android state is online Home with one unchanged 500-kcal meal, two recipes and pending 0.</x:v>
      </x:c>
    </x:row>
    <x:row r="351" ht="118.80000305175781" hidden="0" customHeight="1">
      <x:c r="A351" s="70" t="str">
        <x:v>RUN-0347</x:v>
      </x:c>
      <x:c r="B351" s="70" t="str">
        <x:v>NUT-043</x:v>
      </x:c>
      <x:c r="C351" s="70" t="str">
        <x:v>Retest</x:v>
      </x:c>
      <x:c r="D351" s="70" t="str">
        <x:v>iOS</x:v>
      </x:c>
      <x:c r="E351" s="70" t="str">
        <x:v>iPhone 17 Pro</x:v>
      </x:c>
      <x:c r="F351" s="70" t="str">
        <x:v>iOS 26.5</x:v>
      </x:c>
      <x:c r="G351" s="70" t="str">
        <x:v>9e9dcf1+dirty; com.spacemancodes.buff 1.0.0 (15)</x:v>
      </x:c>
      <x:c r="H351" s="71" t="n">
        <x:v>46269.47236111111</x:v>
      </x:c>
      <x:c r="I351" s="70" t="str">
        <x:v>Failed</x:v>
      </x:c>
      <x:c r="J351" s="70" t="str">
        <x:v>/Users/mason/.codex/visualizations/2026/09/01/01a05def-1c0d-76d1-abc6-07c63a443582/emulator-runs/retest/ios/NUT-043-recipe-empty-before-sync.png
/Users/mason/.codex/visualizations/2026/09/01/01a05def-1c0d-76d1-abc6-07c63a443582/emulator-runs/retest/ios/NUT-043-057-recipes-received.png
/Users/mason/.codex/visualizations/2026/09/01/01a05def-1c0d-76d1-abc6-07c63a443582/emulator-runs/retest/ios/NUT-043-057-batch008-observations.json</x:v>
      </x:c>
      <x:c r="K351" s="70" t="str">
        <x:v>The empty Recipes page showed All foods / Recipes tabs, Save meals you repeat, explanatory text and Create your first recipe. After normal resume sync, the same open page displayed recipe B followed by A, with 0 and 165 kcal, New recipe, log targets and contextual Edit / Delete controls. Both one-ingredient rows incorrectly said 1 ingredients.</x:v>
      </x:c>
      <x:c r="L351" s="70" t="str">
        <x:v>DEF-087</x:v>
      </x:c>
      <x:c r="M351" s="70" t="str">
        <x:v>Empty and populated states were observed. Creating a recipe through the empty-state action, longer lists and large-text layouts remain untested in this run.</x:v>
      </x:c>
    </x:row>
    <x:row r="352" ht="118.80000305175781" hidden="0" customHeight="1">
      <x:c r="A352" s="70" t="str">
        <x:v>RUN-0348</x:v>
      </x:c>
      <x:c r="B352" s="70" t="str">
        <x:v>NUT-048</x:v>
      </x:c>
      <x:c r="C352" s="70" t="str">
        <x:v>Retest</x:v>
      </x:c>
      <x:c r="D352" s="70" t="str">
        <x:v>iOS</x:v>
      </x:c>
      <x:c r="E352" s="70" t="str">
        <x:v>iPhone 17 Pro</x:v>
      </x:c>
      <x:c r="F352" s="70" t="str">
        <x:v>iOS 26.5</x:v>
      </x:c>
      <x:c r="G352" s="70" t="str">
        <x:v>9e9dcf1+dirty; com.spacemancodes.buff 1.0.0 (15)</x:v>
      </x:c>
      <x:c r="H352" s="71" t="n">
        <x:v>46269.475694444445</x:v>
      </x:c>
      <x:c r="I352" s="70" t="str">
        <x:v>Blocked</x:v>
      </x:c>
      <x:c r="J352" s="70" t="str">
        <x:v>/Users/mason/.codex/visualizations/2026/09/01/01a05def-1c0d-76d1-abc6-07c63a443582/emulator-runs/retest/ios/NUT-056-recipe-a-edit-prefill.png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/Users/mason/.codex/visualizations/2026/09/01/01a05def-1c0d-76d1-abc6-07c63a443582/emulator-runs/retest/ios/NUT-043-057-batch008-observations.json</x:v>
      </x:c>
      <x:c r="K352" s="70" t="str">
        <x:v>The saved editor snapshots matched the received data. A showed yield 2, QA oats 100 g and total 165 kcal / P 10g / C 20g / F 5g. B showed yield 1, QA water 100 g and all totals zero. Both editors were cancelled without saving.</x:v>
      </x:c>
      <x:c r="L352" s="70" t="str"/>
      <x:c r="M352" s="70" t="str">
        <x:v>Read-only saved-snapshot and totals subset only. Live recalculation after adding or removing ingredients, yield validation, create submission and stored-payload verification remain untested on iOS.</x:v>
      </x:c>
    </x:row>
    <x:row r="353" ht="118.80000305175781" hidden="0" customHeight="1">
      <x:c r="A353" s="70" t="str">
        <x:v>RUN-0349</x:v>
      </x:c>
      <x:c r="B353" s="70" t="str">
        <x:v>NUT-050</x:v>
      </x:c>
      <x:c r="C353" s="70" t="str">
        <x:v>Retest</x:v>
      </x:c>
      <x:c r="D353" s="70" t="str">
        <x:v>iOS</x:v>
      </x:c>
      <x:c r="E353" s="70" t="str">
        <x:v>iPhone 17 Pro</x:v>
      </x:c>
      <x:c r="F353" s="70" t="str">
        <x:v>iOS 26.5</x:v>
      </x:c>
      <x:c r="G353" s="70" t="str">
        <x:v>9e9dcf1+dirty; com.spacemancodes.buff 1.0.0 (15)</x:v>
      </x:c>
      <x:c r="H353" s="71" t="n">
        <x:v>46269.47818287037</x:v>
      </x:c>
      <x:c r="I353" s="70" t="str">
        <x:v>Blocked</x:v>
      </x:c>
      <x:c r="J353" s="70" t="str">
        <x:v>/Users/mason/.codex/visualizations/2026/09/01/01a05def-1c0d-76d1-abc6-07c63a443582/emulator-runs/retest/ios/NUT-050-recipe-a-lunch-default.png
/Users/mason/.codex/visualizations/2026/09/01/01a05def-1c0d-76d1-abc6-07c63a443582/emulator-runs/retest/ios/NUT-050-052-recipe-b-clean-defaults.png
/Users/mason/.codex/visualizations/2026/09/01/01a05def-1c0d-76d1-abc6-07c63a443582/emulator-runs/retest/ios/NUT-043-057-batch008-observations.json</x:v>
      </x:c>
      <x:c r="K353" s="70" t="str">
        <x:v>Tapping A opened its log form with 165 kcal per 2 servings and servings 2. At local hour 12, with no meal query, Lunch was selected. After invalid blank and 100.1 servings attempts, Back restored the library. Opening B then showed 0 kcal per 1 serving, servings 1, Lunch and no validation message. Back restored the library again.</x:v>
      </x:c>
      <x:c r="L353" s="70" t="str">
        <x:v>DEF-032</x:v>
      </x:c>
      <x:c r="M353" s="70" t="str">
        <x:v>The observed non-breakfast default regression passed. Other hour boundaries, explicit meal-query precedence, all meal selections and clearing a server-generated error remain untested. Native validation bubbles did not create a server error.</x:v>
      </x:c>
    </x:row>
    <x:row r="354" ht="198" hidden="0" customHeight="1">
      <x:c r="A354" s="70" t="str">
        <x:v>RUN-0350</x:v>
      </x:c>
      <x:c r="B354" s="70" t="str">
        <x:v>NUT-052</x:v>
      </x:c>
      <x:c r="C354" s="70" t="str">
        <x:v>Retest</x:v>
      </x:c>
      <x:c r="D354" s="70" t="str">
        <x:v>iOS</x:v>
      </x:c>
      <x:c r="E354" s="70" t="str">
        <x:v>iPhone 17 Pro</x:v>
      </x:c>
      <x:c r="F354" s="70" t="str">
        <x:v>iOS 26.5</x:v>
      </x:c>
      <x:c r="G354" s="70" t="str">
        <x:v>9e9dcf1+dirty; com.spacemancodes.buff 1.0.0 (15)</x:v>
      </x:c>
      <x:c r="H354" s="71" t="n">
        <x:v>46269.47893518519</x:v>
      </x:c>
      <x:c r="I354" s="70" t="str">
        <x:v>Blocked</x:v>
      </x:c>
      <x:c r="J354" s="70" t="str">
        <x:v>/Users/mason/.codex/visualizations/2026/09/01/01a05def-1c0d-76d1-abc6-07c63a443582/emulator-runs/retest/ios/NUT-052-blank-servings-native-validation.png
/Users/mason/.codex/visualizations/2026/09/01/01a05def-1c0d-76d1-abc6-07c63a443582/emulator-runs/retest/ios/NUT-052-max-servings-native-validation.png
/Users/mason/.codex/visualizations/2026/09/01/01a05def-1c0d-76d1-abc6-07c63a443582/emulator-runs/retest/ios/NUT-050-052-recipe-b-clean-defaults.png
/Users/mason/.codex/visualizations/2026/09/01/01a05def-1c0d-76d1-abc6-07c63a443582/emulator-runs/retest/ios/NUT-052-053-056-today-preserved500.png
/Users/mason/.codex/visualizations/2026/09/01/01a05def-1c0d-76d1-abc6-07c63a443582/emulator-runs/retest/ios/NUT-043-057-batch008-observations.json</x:v>
      </x:c>
      <x:c r="K354" s="70" t="str">
        <x:v>Blank servings was rejected with Fill out this field. Servings 100.1 was rejected with Value must be less than or equal to 100. The form stayed open and no /meals/recipe resource request was observed for either attempt. B subsequently opened with its saved value 1 and no error. Today retained exactly one custom Lunch meal with 500 kcal / P 20g / C 60g / F 20g.</x:v>
      </x:c>
      <x:c r="L354" s="70" t="str">
        <x:v>DEF-035</x:v>
      </x:c>
      <x:c r="M354" s="70" t="str">
        <x:v>Blank-input fallback regression passed. Lower and accepted numeric boundaries, invalid date or meal type, stale recipe, server-side rejection feedback, processing state and correction followed by successful logging remain untested.</x:v>
      </x:c>
    </x:row>
    <x:row r="355" ht="118.80000305175781" hidden="0" customHeight="1">
      <x:c r="A355" s="70" t="str">
        <x:v>RUN-0351</x:v>
      </x:c>
      <x:c r="B355" s="70" t="str">
        <x:v>NUT-053</x:v>
      </x:c>
      <x:c r="C355" s="70" t="str">
        <x:v>Retest</x:v>
      </x:c>
      <x:c r="D355" s="70" t="str">
        <x:v>iOS</x:v>
      </x:c>
      <x:c r="E355" s="70" t="str">
        <x:v>iPhone 17 Pro</x:v>
      </x:c>
      <x:c r="F355" s="70" t="str">
        <x:v>iOS 26.5</x:v>
      </x:c>
      <x:c r="G355" s="70" t="str">
        <x:v>9e9dcf1+dirty; com.spacemancodes.buff 1.0.0 (15)</x:v>
      </x:c>
      <x:c r="H355" s="71" t="n">
        <x:v>46269.47673611111</x:v>
      </x:c>
      <x:c r="I355" s="70" t="str">
        <x:v>Blocked</x:v>
      </x:c>
      <x:c r="J355" s="70" t="str">
        <x:v>/Users/mason/.codex/visualizations/2026/09/01/01a05def-1c0d-76d1-abc6-07c63a443582/emulator-runs/retest/ios/NUT-053-recipe-a-delete-cancel.png
/Users/mason/.codex/visualizations/2026/09/01/01a05def-1c0d-76d1-abc6-07c63a443582/emulator-runs/retest/ios/NUT-053-recipe-b-delete-cancel.png
/Users/mason/.codex/visualizations/2026/09/01/01a05def-1c0d-76d1-abc6-07c63a443582/emulator-runs/retest/ios/NUT-043-057-batch008-observations.json</x:v>
      </x:c>
      <x:c r="K355" s="70" t="str">
        <x:v>Both trash controls had distinct accessible labels containing their recipe names and measured 44 × 44 CSS pixels. A and B each opened Delete recipe with the correct full recipe name. A's alertdialog exposed 140 × 48 Cancel and Delete buttons. Cancel dismissed each confirmation; both recipes remained unchanged.</x:v>
      </x:c>
      <x:c r="L355" s="70" t="str">
        <x:v>DEF-036</x:v>
      </x:c>
      <x:c r="M355" s="70" t="str">
        <x:v>Contextual-label regression and cancellation subset passed. Deletion confirmation, processing lock, success toast, row removal, deletion failures and VoiceOver announcement remain untested.</x:v>
      </x:c>
    </x:row>
    <x:row r="356" ht="158.39999389648438" hidden="0" customHeight="1">
      <x:c r="A356" s="70" t="str">
        <x:v>RUN-0352</x:v>
      </x:c>
      <x:c r="B356" s="70" t="str">
        <x:v>NUT-056</x:v>
      </x:c>
      <x:c r="C356" s="70" t="str">
        <x:v>Retest</x:v>
      </x:c>
      <x:c r="D356" s="70" t="str">
        <x:v>iOS</x:v>
      </x:c>
      <x:c r="E356" s="70" t="str">
        <x:v>iPhone 17 Pro</x:v>
      </x:c>
      <x:c r="F356" s="70" t="str">
        <x:v>iOS 26.5</x:v>
      </x:c>
      <x:c r="G356" s="70" t="str">
        <x:v>9e9dcf1+dirty; com.spacemancodes.buff 1.0.0 (15)</x:v>
      </x:c>
      <x:c r="H356" s="71" t="n">
        <x:v>46269.47615740741</x:v>
      </x:c>
      <x:c r="I356" s="70" t="str">
        <x:v>Blocked</x:v>
      </x:c>
      <x:c r="J356" s="70" t="str">
        <x:v>/Users/mason/.codex/visualizations/2026/09/01/01a05def-1c0d-76d1-abc6-07c63a443582/emulator-runs/retest/ios/NUT-056-recipe-a-edit-prefill.png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/Users/mason/.codex/visualizations/2026/09/01/01a05def-1c0d-76d1-abc6-07c63a443582/emulator-runs/retest/ios/NUT-052-053-056-today-preserved500.png
/Users/mason/.codex/visualizations/2026/09/01/01a05def-1c0d-76d1-abc6-07c63a443582/emulator-runs/retest/ios/NUT-043-057-batch008-observations.json</x:v>
      </x:c>
      <x:c r="K356" s="70" t="str">
        <x:v>Edit A restored the revised name, yield 2 and QA oats 100 g snapshot with 165 kcal / P 10g / C 20g / F 5g. Cancel returned to the library. Edit B restored its distinct name, yield 1 and QA water 100 g snapshot with zero totals. Cancel again returned to the unchanged library. The existing custom meal remained unchanged.</x:v>
      </x:c>
      <x:c r="L356" s="70" t="str"/>
      <x:c r="M356" s="70" t="str">
        <x:v>Prefill and cancellation subset only. No fields were modified before Cancel. Editing ingredients or yield, recalculation, PUT submission, validation correction, relaunch persistence and independence of previously logged recipe-meal snapshots remain untested.</x:v>
      </x:c>
    </x:row>
    <x:row r="357" ht="198" hidden="0" customHeight="1">
      <x:c r="A357" s="70" t="str">
        <x:v>RUN-0353</x:v>
      </x:c>
      <x:c r="B357" s="70" t="str">
        <x:v>NUT-057</x:v>
      </x:c>
      <x:c r="C357" s="70" t="str">
        <x:v>Retest</x:v>
      </x:c>
      <x:c r="D357" s="70" t="str">
        <x:v>iOS</x:v>
      </x:c>
      <x:c r="E357" s="70" t="str">
        <x:v>iPhone 17 Pro</x:v>
      </x:c>
      <x:c r="F357" s="70" t="str">
        <x:v>iOS 26.5</x:v>
      </x:c>
      <x:c r="G357" s="70" t="str">
        <x:v>9e9dcf1+dirty; com.spacemancodes.buff 1.0.0 (15)</x:v>
      </x:c>
      <x:c r="H357" s="71" t="n">
        <x:v>46269.47236111111</x:v>
      </x:c>
      <x:c r="I357" s="70" t="str">
        <x:v>Blocked</x:v>
      </x:c>
      <x:c r="J357" s="70" t="str">
        <x:v>/Users/mason/.codex/visualizations/2026/09/01/01a05def-1c0d-76d1-abc6-07c63a443582/emulator-runs/retest/ios/NUT-043-recipe-empty-before-sync.png
/Users/mason/.codex/visualizations/2026/09/01/01a05def-1c0d-76d1-abc6-07c63a443582/emulator-runs/retest/ios/NUT-043-057-recipes-received.png
/Users/mason/.codex/visualizations/2026/09/01/01a05def-1c0d-76d1-abc6-07c63a443582/emulator-runs/retest/ios/NUT-056-recipe-a-edit-prefill.png
/Users/mason/.codex/visualizations/2026/09/01/01a05def-1c0d-76d1-abc6-07c63a443582/emulator-runs/retest/ios/NUT-056-recipe-b-edit-prefill.png
/Users/mason/.codex/visualizations/2026/09/01/01a05def-1c0d-76d1-abc6-07c63a443582/emulator-runs/retest/ios/NUT-043-057-batch008-observations.json</x:v>
      </x:c>
      <x:c r="K357" s="70" t="str">
        <x:v>The initially empty iOS recipe page received Android's revised recipe A and offline-created recipe B through normal background/resume sync. The already open page updated to both rows. Their UUIDs, names, saved yields, ingredient quantities and nutritional snapshots matched the fixtures. Sync succeeded at 11:20:11 UTC with pending 0 and no error.</x:v>
      </x:c>
      <x:c r="L357" s="70" t="str"/>
      <x:c r="M357" s="70" t="str">
        <x:v>Cross-device receipt subset only. iOS-origin offline create, edit, log and delete operations, reconnection retries, recipe-linked meal synchronization and concurrent-edit conflict resolution remain untested.</x:v>
      </x:c>
    </x:row>
    <x:row r="358" ht="277.20001220703125" hidden="0" customHeight="1">
      <x:c r="A358" s="70" t="str">
        <x:v>RUN-0354</x:v>
      </x:c>
      <x:c r="B358" s="70" t="str">
        <x:v>HLT-029</x:v>
      </x:c>
      <x:c r="C358" s="70" t="str">
        <x:v>Retest</x:v>
      </x:c>
      <x:c r="D358" s="70" t="str">
        <x:v>iOS</x:v>
      </x:c>
      <x:c r="E358" s="70" t="str">
        <x:v>iPhone 17 Pro</x:v>
      </x:c>
      <x:c r="F358" s="70" t="str">
        <x:v>iOS 26.5</x:v>
      </x:c>
      <x:c r="G358" s="70" t="str">
        <x:v>9e9dcf1+dirty; com.spacemancodes.buff 1.0.0 (15)</x:v>
      </x:c>
      <x:c r="H358" s="71" t="n">
        <x:v>46269.492372685185</x:v>
      </x:c>
      <x:c r="I358" s="70" t="str">
        <x:v>Failed</x:v>
      </x:c>
      <x:c r="J358" s="70" t="str">
        <x:v>/Users/mason/.codex/visualizations/2026/09/01/01a05def-1c0d-76d1-abc6-07c63a443582/emulator-runs/retest/ios/HLT-029-batch009-observations.json
/Users/mason/.codex/visualizations/2026/09/01/01a05def-1c0d-76d1-abc6-07c63a443582/emulator-runs/retest/ios/HLT-029-custom-initial304030.png
/Users/mason/.codex/visualizations/2026/09/01/01a05def-1c0d-76d1-abc6-07c63a443582/emulator-runs/retest/ios/HLT-029-custom-zero00100.png
/Users/mason/.codex/visualizations/2026/09/01/01a05def-1c0d-76d1-abc6-07c63a443582/emulator-runs/retest/ios/HLT-029-custom-reopened-model-mismatch.png
/Users/mason/.codex/visualizations/2026/09/01/01a05def-1c0d-76d1-abc6-07c63a443582/emulator-runs/retest/ios/HLT-029-custom-mismatch-visible-totals.png
/Users/mason/.codex/visualizations/2026/09/01/01a05def-1c0d-76d1-abc6-07c63a443582/emulator-runs/retest/ios/HLT-029-custom-mismatch-save-disabled.png
/Users/mason/.codex/visualizations/2026/09/01/01a05def-1c0d-76d1-abc6-07c63a443582/emulator-runs/retest/ios/HLT-029-unsaved-exit-restored-balanced.png</x:v>
      </x:c>
      <x:c r="K358" s="70" t="str">
        <x:v>Goals opened at 2100 kcal with Balanced 30/40/30. The first Custom opening preserved the split and showed labelled, selected percentage options. Adjusting Custom to 0/0/100 produced matching bound P 0g / C 0g / F 233.33g and enabled Save. Selecting Balanced restored P 157.5g / C 210g / F 70g and disabled Save. Returning to Custom without wheel movement displayed 0/0/100 and 0g / 0g / 233g, but the bound model stayed Balanced and Save remained disabled. The mismatch persisted after 37 seconds. Leaving through Home and reopening restored the saved Balanced plan; Today retained the original 500 kcal meal and sync pending 0.</x:v>
      </x:c>
      <x:c r="L358" s="70" t="str">
        <x:v>DEF-090</x:v>
      </x:c>
      <x:c r="M358" s="70" t="str">
        <x:v>No Save was invoked and no incorrect persistence is claimed. Goals has no Back-labelled control; unsaved cancellation was verified through Home navigation. Other presets, direct calorie entry and +/-50 boundaries, representability limits, other custom combinations, native VoiceOver, onboarding reuse and successful save/reopen remain untested.</x:v>
      </x:c>
    </x:row>
    <x:row r="359" ht="356.3999938964844" hidden="0" customHeight="1">
      <x:c r="A359" s="70" t="str">
        <x:v>RUN-0355</x:v>
      </x:c>
      <x:c r="B359" s="70" t="str">
        <x:v>HLT-029</x:v>
      </x:c>
      <x:c r="C359" s="70" t="str">
        <x:v>Retest</x:v>
      </x:c>
      <x:c r="D359" s="70" t="str">
        <x:v>Android</x:v>
      </x:c>
      <x:c r="E359" s="70" t="str">
        <x:v>Medium_Phone, QA user 10</x:v>
      </x:c>
      <x:c r="F359" s="70" t="str">
        <x:v>Android 17</x:v>
      </x:c>
      <x:c r="G359" s="70" t="str">
        <x:v>9e9dcf1+dirty; com.spacemancodes.buff 1.0.0 (15)</x:v>
      </x:c>
      <x:c r="H359" s="71" t="n">
        <x:v>46269.49097222222</x:v>
      </x:c>
      <x:c r="I359" s="70" t="str">
        <x:v>Failed</x:v>
      </x:c>
      <x:c r="J359" s="70" t="str">
        <x:v>/Users/mason/.codex/visualizations/2026/09/01/01a05def-1c0d-76d1-abc6-07c63a443582/emulator-runs/retest/android/HLT-029-custom-initial-304030.json
/Users/mason/.codex/visualizations/2026/09/01/01a05def-1c0d-76d1-abc6-07c63a443582/emulator-runs/retest/android/HLT-029-custom-zero-zero-100.json
/Users/mason/.codex/visualizations/2026/09/01/01a05def-1c0d-76d1-abc6-07c63a443582/emulator-runs/retest/android/HLT-029-return-balanced.json
/Users/mason/.codex/visualizations/2026/09/01/01a05def-1c0d-76d1-abc6-07c63a443582/emulator-runs/retest/android/HLT-029-custom-reentry-model-mismatch.json
/Users/mason/.codex/visualizations/2026/09/01/01a05def-1c0d-76d1-abc6-07c63a443582/emulator-runs/retest/android/HLT-029-custom-reentry-settled.json
/Users/mason/.codex/visualizations/2026/09/01/01a05def-1c0d-76d1-abc6-07c63a443582/emulator-runs/retest/android/HLT-029-custom-reentry-zero-wheels.png
/Users/mason/.codex/visualizations/2026/09/01/01a05def-1c0d-76d1-abc6-07c63a443582/emulator-runs/retest/android/HLT-029-custom-reentry-save-disabled.png
/Users/mason/.codex/visualizations/2026/09/01/01a05def-1c0d-76d1-abc6-07c63a443582/emulator-runs/retest/android/HLT-029-back-home-preserved.json
/Users/mason/.codex/visualizations/2026/09/01/01a05def-1c0d-76d1-abc6-07c63a443582/emulator-runs/retest/android/HLT-029-reopen-original-goals.json</x:v>
      </x:c>
      <x:c r="K359" s="70" t="str">
        <x:v>Initial Custom preserved the saved Balanced 30/40/30 and 157.5/210/70 g. Touch-scrolling both labelled wheels to zero produced 0/0/100, form values 0/0/233.33 g and enabled Save. Balanced restored the original form values and disabled Save. Reentering Custom without moving a wheel displayed 0/0/100 and 0/0/233 g, with selected zero options and scrollTop 0, but the form-bound child props still held 157.5/210/70 g and Save remained disabled. The mismatch persisted in a later settled snapshot. Android Back returned Home; reopening Goals restored Balanced with unchanged persisted targets. No goal-save request was made.</x:v>
      </x:c>
      <x:c r="L359" s="70" t="str">
        <x:v>DEF-090</x:v>
      </x:c>
      <x:c r="M359" s="70" t="str">
        <x:v>Confirmed display/model and dirty-state defect, not an observed wrong persisted save. Calorie-step and boundary controls, all preset transitions, TalkBack operation, valid save and validation-error recovery remain outside this run. QA meal remains 500 kcal; sync has pending 0 and no error.</x:v>
      </x:c>
    </x:row>
    <x:row r="360" ht="475.20001220703125" hidden="0" customHeight="1">
      <x:c r="A360" s="70" t="str">
        <x:v>RUN-0356</x:v>
      </x:c>
      <x:c r="B360" s="70" t="str">
        <x:v>HLT-040</x:v>
      </x:c>
      <x:c r="C360" s="70" t="str">
        <x:v>Retest</x:v>
      </x:c>
      <x:c r="D360" s="70" t="str">
        <x:v>iOS</x:v>
      </x:c>
      <x:c r="E360" s="70" t="str">
        <x:v>iPhone 17 Pro</x:v>
      </x:c>
      <x:c r="F360" s="70" t="str">
        <x:v>iOS 26.5</x:v>
      </x:c>
      <x:c r="G360" s="70" t="str">
        <x:v>9e9dcf1+dirty; com.spacemancodes.buff 1.0.0 (15)</x:v>
      </x:c>
      <x:c r="H360" s="71" t="n">
        <x:v>46269.50127314815</x:v>
      </x:c>
      <x:c r="I360" s="70" t="str">
        <x:v>Passed</x:v>
      </x:c>
      <x:c r="J360" s="70" t="str">
        <x:v>/Users/mason/.codex/visualizations/2026/09/01/01a05def-1c0d-76d1-abc6-07c63a443582/emulator-runs/retest/ios/HLT-040-042-batch010-observations.json
/Users/mason/.codex/visualizations/2026/09/01/01a05def-1c0d-76d1-abc6-07c63a443582/emulator-runs/retest/ios/HLT-040-today-current-time-default.png
/Users/mason/.codex/visualizations/2026/09/01/01a05def-1c0d-76d1-abc6-07c63a443582/emulator-runs/retest/ios/HLT-040-today-before-save.png
/Users/mason/.codex/visualizations/2026/09/01/01a05def-1c0d-76d1-abc6-07c63a443582/emulator-runs/retest/ios/HLT-040-today-created.png
/Users/mason/.codex/visualizations/2026/09/01/01a05def-1c0d-76d1-abc6-07c63a443582/emulator-runs/retest/ios/HLT-040-past-selected-date-default.png
/Users/mason/.codex/visualizations/2026/09/01/01a05def-1c0d-76d1-abc6-07c63a443582/emulator-runs/retest/ios/HLT-040-past-before-save.png
/Users/mason/.codex/visualizations/2026/09/01/01a05def-1c0d-76d1-abc6-07c63a443582/emulator-runs/retest/ios/HLT-040-past-created.png
/Users/mason/.codex/visualizations/2026/09/01/01a05def-1c0d-76d1-abc6-07c63a443582/emulator-runs/retest/ios/HLT-040-today-cold-launch-persisted.png
/Users/mason/.codex/visualizations/2026/09/01/01a05def-1c0d-76d1-abc6-07c63a443582/emulator-runs/retest/ios/HLT-042-cold-launch-persisted.png
/Users/mason/.codex/visualizations/2026/09/01/01a05def-1c0d-76d1-abc6-07c63a443582/emulator-runs/retest/ios/HLT-040-cross-device-today247.json
/Users/mason/.codex/visualizations/2026/09/01/01a05def-1c0d-76d1-abc6-07c63a443582/emulator-runs/retest/ios/HLT-040-cross-device-today247-totals.png
/Users/mason/.codex/visualizations/2026/09/01/01a05def-1c0d-76d1-abc6-07c63a443582/emulator-runs/retest/ios/HLT-040-cross-device-today247-rows.png</x:v>
      </x:c>
      <x:c r="K360" s="70" t="str">
        <x:v>Created a manual workout on both required date branches. Sep 4 opened with current-time default 12:52; QA iOS today workout 2026-09-04 saved once with 124 kcal and that unchanged time, then redirected to Sep 4. Sep 1 opened with the selected historical date and current-time default 12:54; QA iOS workout 2026-09-01 saved once at 09:15 with 501 kcal, then redirected to Sep 1. Both responses reported Workout added.; the historical create also showed the native success toast. Returned summaries identified distinct manual-source UUIDs and exact dates/times/calories. Both records survived a cold launch, with the historical record retaining its subsequently edited values.</x:v>
      </x:c>
      <x:c r="L360" s="70" t="str"/>
      <x:c r="M360" s="70" t="str">
        <x:v>Covers the stated today and historical creation requirements. At creation, existing 100% eat-back produced effective goals of 2224 on Sep 4 and 2601 on Sep 1; the saved base goal remained 2100 and the existing meal remained 500 kcal. Exhaustive validation belongs to HLT-046 and was not claimed here. DEF-053 aggregate error-clearing coverage remains incomplete. Read-only follow-up at 12:05:55 UTC: normal background/resume sync brought Android's 123 kcal, 13:03 workout into the open Today page beside iOS's 124 kcal, 12:52 workout, with both expected UUIDs and manual sources. Total burned became 247 kcal, effective goal 2347, meal total remained 500, remaining calories 1847, and sync pending was 0 with no error.</x:v>
      </x:c>
    </x:row>
    <x:row r="361" ht="316.79998779296875" hidden="0" customHeight="1">
      <x:c r="A361" s="70" t="str">
        <x:v>RUN-0357</x:v>
      </x:c>
      <x:c r="B361" s="70" t="str">
        <x:v>HLT-042</x:v>
      </x:c>
      <x:c r="C361" s="70" t="str">
        <x:v>Retest</x:v>
      </x:c>
      <x:c r="D361" s="70" t="str">
        <x:v>iOS</x:v>
      </x:c>
      <x:c r="E361" s="70" t="str">
        <x:v>iPhone 17 Pro</x:v>
      </x:c>
      <x:c r="F361" s="70" t="str">
        <x:v>iOS 26.5</x:v>
      </x:c>
      <x:c r="G361" s="70" t="str">
        <x:v>9e9dcf1+dirty; com.spacemancodes.buff 1.0.0 (15)</x:v>
      </x:c>
      <x:c r="H361" s="71" t="n">
        <x:v>46269.50166666666</x:v>
      </x:c>
      <x:c r="I361" s="70" t="str">
        <x:v>Passed</x:v>
      </x:c>
      <x:c r="J361" s="70" t="str">
        <x:v>/Users/mason/.codex/visualizations/2026/09/01/01a05def-1c0d-76d1-abc6-07c63a443582/emulator-runs/retest/ios/HLT-040-042-batch010-observations.json
/Users/mason/.codex/visualizations/2026/09/01/01a05def-1c0d-76d1-abc6-07c63a443582/emulator-runs/retest/ios/HLT-042-editor-prefill.png
/Users/mason/.codex/visualizations/2026/09/01/01a05def-1c0d-76d1-abc6-07c63a443582/emulator-runs/retest/ios/HLT-042-blank-title-error.png
/Users/mason/.codex/visualizations/2026/09/01/01a05def-1c0d-76d1-abc6-07c63a443582/emulator-runs/retest/ios/HLT-042-corrected-title-error-cleared.png
/Users/mason/.codex/visualizations/2026/09/01/01a05def-1c0d-76d1-abc6-07c63a443582/emulator-runs/retest/ios/HLT-042-title-calorie-save-intermediate.png
/Users/mason/.codex/visualizations/2026/09/01/01a05def-1c0d-76d1-abc6-07c63a443582/emulator-runs/retest/ios/HLT-042-final-before-save.png
/Users/mason/.codex/visualizations/2026/09/01/01a05def-1c0d-76d1-abc6-07c63a443582/emulator-runs/retest/ios/HLT-042-final-saved.png
/Users/mason/.codex/visualizations/2026/09/01/01a05def-1c0d-76d1-abc6-07c63a443582/emulator-runs/retest/ios/HLT-042-cold-launch-persisted.png</x:v>
      </x:c>
      <x:c r="K361" s="70" t="str">
        <x:v>The Sep 1 workout editor prefilled its exact title, 501 kcal and 09:15. Blank title submission kept the sheet open with an adjacent required-title alert and did not change the saved record. Correcting the title cleared the visible error before resubmission. The same UUID was updated to QA iOS workout corrected 2026-09-01 and 502 kcal, then reopened and changed to 10:45. Successful updates closed the sheet, retained manual source and Sep 1, and returned Workout updated.; a native update toast was observed. The dialog offered no editable date control. Fresh navigation after a cold launch retained the exact final title, 502 kcal, 10:45 and UUID.</x:v>
      </x:c>
      <x:c r="L361" s="70" t="str"/>
      <x:c r="M361" s="70" t="str">
        <x:v>All stated title/calorie/time edit, error-stays-open, successful-close and date-preservation requirements were exercised. Title/calories and time were saved in two updates to the same record. The dated effective goal became 2602 from 502 kcal burned; no meal or base goal was edited. Add-form and calorie/time error-clearing branches of DEF-053 remain outside this run.</x:v>
      </x:c>
    </x:row>
    <x:row r="362" ht="356.3999938964844" hidden="0" customHeight="1">
      <x:c r="A362" s="70" t="str">
        <x:v>RUN-0358</x:v>
      </x:c>
      <x:c r="B362" s="70" t="str">
        <x:v>HLT-040</x:v>
      </x:c>
      <x:c r="C362" s="70" t="str">
        <x:v>Retest</x:v>
      </x:c>
      <x:c r="D362" s="70" t="str">
        <x:v>Android</x:v>
      </x:c>
      <x:c r="E362" s="70" t="str">
        <x:v>Medium_Phone, QA user 10</x:v>
      </x:c>
      <x:c r="F362" s="70" t="str">
        <x:v>Android 17</x:v>
      </x:c>
      <x:c r="G362" s="70" t="str">
        <x:v>9e9dcf1+dirty; com.spacemancodes.buff 1.0.0 (15)</x:v>
      </x:c>
      <x:c r="H362" s="71" t="n">
        <x:v>46269.50381944444</x:v>
      </x:c>
      <x:c r="I362" s="70" t="str">
        <x:v>Passed</x:v>
      </x:c>
      <x:c r="J362" s="70" t="str">
        <x:v>/Users/mason/.codex/visualizations/2026/09/01/01a05def-1c0d-76d1-abc6-07c63a443582/emulator-runs/retest/android/HLT-040-historical-workout-defaults.json
/Users/mason/.codex/visualizations/2026/09/01/01a05def-1c0d-76d1-abc6-07c63a443582/emulator-runs/retest/android/HLT-040-historical-before-save.json
/Users/mason/.codex/visualizations/2026/09/01/01a05def-1c0d-76d1-abc6-07c63a443582/emulator-runs/retest/android/HLT-040-historical-created.json
/Users/mason/.codex/visualizations/2026/09/01/01a05def-1c0d-76d1-abc6-07c63a443582/emulator-runs/retest/android/HLT-042-historical-cold-reopen-persisted.json
/Users/mason/.codex/visualizations/2026/09/01/01a05def-1c0d-76d1-abc6-07c63a443582/emulator-runs/retest/android/HLT-040-today-workout-defaults.json
/Users/mason/.codex/visualizations/2026/09/01/01a05def-1c0d-76d1-abc6-07c63a443582/emulator-runs/retest/android/HLT-040-today-before-save.json
/Users/mason/.codex/visualizations/2026/09/01/01a05def-1c0d-76d1-abc6-07c63a443582/emulator-runs/retest/android/HLT-040-today-create-result.png
/Users/mason/.codex/visualizations/2026/09/01/01a05def-1c0d-76d1-abc6-07c63a443582/emulator-runs/retest/android/HLT-040-today-created.json
/Users/mason/.codex/visualizations/2026/09/01/01a05def-1c0d-76d1-abc6-07c63a443582/emulator-runs/retest/android/HLT-040-today-cold-reopen-persisted.json</x:v>
      </x:c>
      <x:c r="K362" s="70" t="str">
        <x:v>Both required creation date branches passed. Sep 2 opened with the selected historical date and current-time default 12:51. QA Android workout 2026-09-02 saved with 501 kcal at 09:15 and redirected to Sep 2 with Workout added. and manual-source UUID 01a06c44-0268-72b0-8801-7813f44daf6f. Sep 4 opened with current-time default 13:03 while the device clock read 13:03:50. QA Android today workout 2026-09-04 saved with 123 kcal and the unchanged default time, redirected to Sep 4 and displayed a native Workout added. toast. Its manual-source UUID is 01a06c4e-1e30-71bc-89b9-c4d5544a03ec. Both records survived app force-stop/relaunch, the historical entry with its subsequently edited values. Today retained the existing 500-kcal meal and received the counterpart iOS 124-kcal workout, for exactly 247 burned, effective goal 2347 and 1847 remaining. Sync pending 0 and no error.</x:v>
      </x:c>
      <x:c r="L362" s="70" t="str"/>
      <x:c r="M362" s="70" t="str">
        <x:v>Pass covers the stated form defaults, dated manual creation, success feedback and persistence. This does not claim all workout validation branches or the clean visual presentation of Today: its separately recorded rendering corruption is DEF-091. HLT-046 and aggregate DEF-053 remain incomplete. Historical creation screenshot was taken during processing and is not used as proof of a native toast; the returned historical flash and the current-day native toast were separately verified. No meal, base goal or existing workout was deleted.</x:v>
      </x:c>
    </x:row>
    <x:row r="363" ht="356.3999938964844" hidden="0" customHeight="1">
      <x:c r="A363" s="70" t="str">
        <x:v>RUN-0359</x:v>
      </x:c>
      <x:c r="B363" s="70" t="str">
        <x:v>HLT-042</x:v>
      </x:c>
      <x:c r="C363" s="70" t="str">
        <x:v>Retest</x:v>
      </x:c>
      <x:c r="D363" s="70" t="str">
        <x:v>Android</x:v>
      </x:c>
      <x:c r="E363" s="70" t="str">
        <x:v>Medium_Phone, QA user 10</x:v>
      </x:c>
      <x:c r="F363" s="70" t="str">
        <x:v>Android 17</x:v>
      </x:c>
      <x:c r="G363" s="70" t="str">
        <x:v>9e9dcf1+dirty; com.spacemancodes.buff 1.0.0 (15)</x:v>
      </x:c>
      <x:c r="H363" s="71" t="n">
        <x:v>46269.50226851852</x:v>
      </x:c>
      <x:c r="I363" s="70" t="str">
        <x:v>Failed</x:v>
      </x:c>
      <x:c r="J363" s="70" t="str">
        <x:v>/Users/mason/.codex/visualizations/2026/09/01/01a05def-1c0d-76d1-abc6-07c63a443582/emulator-runs/retest/android/HLT-042-workout-editor-prefill.json
/Users/mason/.codex/visualizations/2026/09/01/01a05def-1c0d-76d1-abc6-07c63a443582/emulator-runs/retest/android/HLT-042-blank-title-rejected.json
/Users/mason/.codex/visualizations/2026/09/01/01a05def-1c0d-76d1-abc6-07c63a443582/emulator-runs/retest/android/HLT-042-title-corrected-error-cleared.json
/Users/mason/.codex/visualizations/2026/09/01/01a05def-1c0d-76d1-abc6-07c63a443582/emulator-runs/retest/android/HLT-042-corrected-before-save.json
/Users/mason/.codex/visualizations/2026/09/01/01a05def-1c0d-76d1-abc6-07c63a443582/emulator-runs/retest/android/HLT-042-updated-sheet-closed.png
/Users/mason/.codex/visualizations/2026/09/01/01a05def-1c0d-76d1-abc6-07c63a443582/emulator-runs/retest/android/HLT-042-updated-same-workout.json
/Users/mason/.codex/visualizations/2026/09/01/01a05def-1c0d-76d1-abc6-07c63a443582/emulator-runs/retest/android/HLT-042-android-native-frame.png
/Users/mason/.codex/visualizations/2026/09/01/01a05def-1c0d-76d1-abc6-07c63a443582/emulator-runs/retest/android/HLT-042-cold-launch-settled.png
/Users/mason/.codex/visualizations/2026/09/01/01a05def-1c0d-76d1-abc6-07c63a443582/emulator-runs/retest/android/HLT-042-historical-cold-reopen-persisted.json</x:v>
      </x:c>
      <x:c r="K363" s="70" t="str">
        <x:v>The functional edit passed: Sep 2 editor prefilled the exact title, 501 kcal and 09:15 with no editable date. Blank title kept the sheet open and showed the required-title error. Correcting the title immediately cleared that error. Saving QA Android revised workout 2026-09-02, 502 kcal and 10:45 closed the sheet, showed Workout updated., retained manual source and the same Sep 2 UUID, and updated the effective target to 2602. A cold launch and fresh navigation retained the exact final values and sync pending 0. The overall visual result failed: Today displayed duplicated Snacks/workout fragments over the single current row. An independent native framebuffer capture confirmed corruption, and scrolling, Home navigation and cold launch did not fully recover. DEF-091 records the still-unconfirmed rendering cause.</x:v>
      </x:c>
      <x:c r="L363" s="70" t="str">
        <x:v>DEF-091</x:v>
      </x:c>
      <x:c r="M363" s="70" t="str">
        <x:v>Do not interpret the failed overall result as data loss or a failed PUT. The observed fields, manual source, date, UUID, successful close and persistence are correct. Broader calorie/time and creation error-clearing cases remain outside this run and keep DEF-053 partial. The rendering problem has not been proven to originate in app code or to require workout editing as a trigger.</x:v>
      </x:c>
    </x:row>
    <x:row r="364" ht="216" hidden="0" customHeight="1">
      <x:c r="A364" s="72" t="str">
        <x:v>RUN-0360</x:v>
      </x:c>
      <x:c r="B364" s="72" t="str">
        <x:v>HLT-046</x:v>
      </x:c>
      <x:c r="C364" s="72" t="str">
        <x:v>Retest</x:v>
      </x:c>
      <x:c r="D364" s="72" t="str">
        <x:v>Android</x:v>
      </x:c>
      <x:c r="E364" s="72" t="str">
        <x:v>Medium_Phone (QA user 10)</x:v>
      </x:c>
      <x:c r="F364" s="72" t="str">
        <x:v>Android 17</x:v>
      </x:c>
      <x:c r="G364" s="72" t="str">
        <x:v>9e9dcf1+dirty; com.spacemancodes.buff 1.0.0 (15)</x:v>
      </x:c>
      <x:c r="H364" s="73" t="n">
        <x:v>46269.527294618056</x:v>
      </x:c>
      <x:c r="I364" s="72" t="str">
        <x:v>Blocked</x:v>
      </x:c>
      <x:c r="J364" s="72" t="str">
        <x:v>Full case evidence: /Users/mason/.codex/visualizations/2026/09/01/01a05def-1c0d-76d1-abc6-07c63a443582/inventory/retest-android-workout-validation-batch.json
Native invalid-value screenshot: /Users/mason/.codex/visualizations/2026/09/01/01a05def-1c0d-76d1-abc6-07c63a443582/emulator-runs/retest/android/HLT-046-add-zero-native-message.png
Persisted final state: /Users/mason/.codex/visualizations/2026/09/01/01a05def-1c0d-76d1-abc6-07c63a443582/emulator-runs/retest/android/HLT-046-edit-cold-launch-persisted.json</x:v>
      </x:c>
      <x:c r="K364" s="72" t="str">
        <x:v>Add and Edit each returned three adjacent required errors after title, calories and native time were cleared. Correcting each field immediately removed only its visible error before resubmission. Both forms capped a pasted 121-character title at 120; submitting that title and 1 or 10000 calories with time deliberately blank returned only the time error. Native number validation rejected 0, 10001 and 1.5 without a new workout request. Android time-picker text mode rejected minute 99 with Enter a valid time; correcting it accepted 00:00 in Add and 23:59 in Edit and cleared the app time-required error. Exactly one future Sep 5 manual workout was saved at 1 kcal/00:00, then edited to QA Android validation revised 2026-09-05, 1 kcal/23:59 on the same UUID 01a06c61-20a7-735f-8531-df8fb7262fd1. Invalid edits never changed the saved row. Final update showed Workout updated., closed the sheet, and retained exact date, UUID, title, calories and time after a cold launch. Pending sync was 0 and no error; no meals, goals, body metrics or pre-existing workouts changed.</x:v>
      </x:c>
      <x:c r="L364" s="72" t="str">
        <x:v>DEF-053</x:v>
      </x:c>
      <x:c r="M364" s="72" t="str">
        <x:v>Manual Add/Edit native validation and all three field-error recovery paths passed. HLT-046 remains partial because imported/synced 121–255-character titles and 0 or 10001–100000 calories, and local editing of those wider-contract records, remain untested on this device. Upper title/calorie endpoints were accepted by validation while another invalid field prevented persistence; do not equate that with successful saving at those endpoints. Native numeric/time prevention is not direct server rejection of bypassed malformed payloads. DEF-053 Android is Passed for field clearing; overall status remains In Progress pending iOS time-error coverage. Separate DEF-091 visual corruption remains open and does not invalidate the narrow persisted-data assertions.</x:v>
      </x:c>
    </x:row>
    <x:row r="365" ht="282" hidden="0" customHeight="1">
      <x:c r="A365" s="72" t="str">
        <x:v>RUN-0361</x:v>
      </x:c>
      <x:c r="B365" s="72" t="str">
        <x:v>HLT-046</x:v>
      </x:c>
      <x:c r="C365" s="72" t="str">
        <x:v>Retest</x:v>
      </x:c>
      <x:c r="D365" s="72" t="str">
        <x:v>iOS</x:v>
      </x:c>
      <x:c r="E365" s="72" t="str">
        <x:v>iPhone 17 Pro</x:v>
      </x:c>
      <x:c r="F365" s="72" t="str">
        <x:v>iOS 26.5</x:v>
      </x:c>
      <x:c r="G365" s="72" t="str">
        <x:v>9e9dcf1+dirty; com.spacemancodes.buff 1.0.0 (15)</x:v>
      </x:c>
      <x:c r="H365" s="73" t="n">
        <x:v>46269.53005119213</x:v>
      </x:c>
      <x:c r="I365" s="72" t="str">
        <x:v>Blocked</x:v>
      </x:c>
      <x:c r="J365" s="72" t="str">
        <x:v>Full case evidence: /Users/mason/.codex/visualizations/2026/09/01/01a05def-1c0d-76d1-abc6-07c63a443582/emulator-runs/retest/ios/batch-011-draft.json
Future-save evidence: /Users/mason/.codex/visualizations/2026/09/01/01a05def-1c0d-76d1-abc6-07c63a443582/emulator-runs/retest/ios/HLT-046-future-sep6-observations.json
Persisted final screen: /Users/mason/.codex/visualizations/2026/09/01/01a05def-1c0d-76d1-abc6-07c63a443582/emulator-runs/retest/ios/HLT-046-future-sep6-cold-persisted.png</x:v>
      </x:c>
      <x:c r="K365" s="72" t="str">
        <x:v>On iOS build 15, Add and Edit both returned adjacent required-title and required-calorie errors, then cleared each visible message immediately when its input was corrected. Typing 121 characters capped the title at 120; that value passed while the deliberately missing calorie field blocked saving. Both forms natively rejected 0, 10001 and 1.5 calories with the appropriate minimum, maximum or valid-value feedback. Values 1 and 10000 passed validation while a deliberately missing title prevented persistence. Add accepted 00:00 and Edit accepted 23:59 through the native picker. Sep 5 opened in Add and an invalid submission returned only title/calorie errors, with no date error and no resulting row. Reset and clear attempts did not produce an empty time; typing 25:99 normalized to 17:09. All rejected Add attempts left Aug 31 empty, and all rejected Edit attempts retained the saved row. Exactly one Aug 31 manual workout was created, then successfully recovered and saved as QA iOS validation workout 2026-08-31, 1 kcal, 23:59, UUID 01a06c61-df7b-708d-9a6b-a79f770e0c06. A cold launch retained those exact values; pending sync was 0 with no error. Follow-up closed the valid future-save case: Sep 6 accepted one QA iOS future workout 2026-09-06 at 1 kcal and 00:00, manual source, UUID 01a06c70-9b59-708a-b465-ff3c7ff2746e. It redirected to Sep 6 with Workout added. and retained that same date/UUID/title/time/calories after a cold launch. Sync succeeded at 12:43:07 UTC with pending 0 and no error.</x:v>
      </x:c>
      <x:c r="L365" s="72" t="str">
        <x:v>DEF-053</x:v>
      </x:c>
      <x:c r="M365" s="72" t="str">
        <x:v>Practical native title/calorie boundary, required-error recovery, time-boundary and rejected-write preservation cases passed. Remaining cases: actual missing/malformed-time server errors and their clearing in both forms; imported/synced zero-calorie, greater-than-10000-calorie and greater-than-120-character-title records under the wider sync contract. Native prevention is not claimed as direct server rejection of bypassed invalid payloads. Final Aug 31 and Sep 6 burns are each 1 kcal, and each effective goal is 2101 under the unchanged eat-back setting; no meal, goal, body-metric or existing workout was changed.</x:v>
      </x:c>
    </x:row>
    <x:row r="366" ht="136.8000030517578" hidden="0" customHeight="1">
      <x:c r="A366" s="72" t="str">
        <x:v>RUN-0362</x:v>
      </x:c>
      <x:c r="B366" s="72" t="str">
        <x:v>HLT-042</x:v>
      </x:c>
      <x:c r="C366" s="72" t="str">
        <x:v>Retest</x:v>
      </x:c>
      <x:c r="D366" s="72" t="str">
        <x:v>iOS</x:v>
      </x:c>
      <x:c r="E366" s="72" t="str">
        <x:v>iPhone 17 Pro</x:v>
      </x:c>
      <x:c r="F366" s="72" t="str">
        <x:v>iOS 26.5</x:v>
      </x:c>
      <x:c r="G366" s="72" t="str">
        <x:v>9e9dcf1+dirty; com.spacemancodes.buff 1.0.0 (15)</x:v>
      </x:c>
      <x:c r="H366" s="73" t="n">
        <x:v>46269.53480486111</x:v>
      </x:c>
      <x:c r="I366" s="72" t="str">
        <x:v>Failed</x:v>
      </x:c>
      <x:c r="J366" s="72" t="str">
        <x:v>/Users/mason/.codex/visualizations/2026/09/01/01a05def-1c0d-76d1-abc6-07c63a443582/emulator-runs/retest/ios/DEF-092-edit-time-layout.json
/Users/mason/.codex/visualizations/2026/09/01/01a05def-1c0d-76d1-abc6-07c63a443582/emulator-runs/retest/ios/DEF-092-edit-time-layout.png
/Users/mason/.codex/visualizations/2026/09/01/01a05def-1c0d-76d1-abc6-07c63a443582/emulator-runs/retest/ios/DEF-092-after-cancel.json</x:v>
      </x:c>
      <x:c r="K366" s="72" t="str">
        <x:v>Fresh Edit workout sheet on iOS build 15 visibly clips the native time input at its right card boundary. At a 402×874 CSS-pixel viewport, the number input is 161×48 px border-box but the time input renders 191×74 px content-box despite the same computed 161×48 px dimensions. Its 12 px vertical and 14 px horizontal padding plus borders add 26 px height and 30 px width. Time extends 30 px beyond its 161 px label and 10 px beyond the clipping card edge. Native minimum sizing is 70×15 px and appearance is auto. No picker was opened or field changed; the form was cancelled without saving.</x:v>
      </x:c>
      <x:c r="L366" s="72" t="str">
        <x:v>DEF-092</x:v>
      </x:c>
      <x:c r="M366" s="72" t="str">
        <x:v>This is a distinct visual-layout failure, not stale validation feedback or a data-save failure. Preserve earlier successful functional save/validation assertions. DEF-092 source fix is awaiting fresh native builds and a new visual/picker regression pass on both platforms. Existing Aug 31 workout remained unchanged at 1 kcal/23:59.</x:v>
      </x:c>
    </x:row>
    <x:row r="367" ht="136.8000030517578" hidden="0" customHeight="1">
      <x:c r="A367" s="72" t="str">
        <x:v>RUN-0363</x:v>
      </x:c>
      <x:c r="B367" s="72" t="str">
        <x:v>HLT-040</x:v>
      </x:c>
      <x:c r="C367" s="72" t="str">
        <x:v>Retest</x:v>
      </x:c>
      <x:c r="D367" s="72" t="str">
        <x:v>iOS</x:v>
      </x:c>
      <x:c r="E367" s="72" t="str">
        <x:v>iPhone 17 Pro</x:v>
      </x:c>
      <x:c r="F367" s="72" t="str">
        <x:v>iOS 26.5</x:v>
      </x:c>
      <x:c r="G367" s="72" t="str">
        <x:v>9e9dcf1+dirty; com.spacemancodes.buff 1.0.0 (15)</x:v>
      </x:c>
      <x:c r="H367" s="73" t="n">
        <x:v>46269.53551703704</x:v>
      </x:c>
      <x:c r="I367" s="72" t="str">
        <x:v>Failed</x:v>
      </x:c>
      <x:c r="J367" s="72" t="str">
        <x:v>/Users/mason/.codex/visualizations/2026/09/01/01a05def-1c0d-76d1-abc6-07c63a443582/emulator-runs/retest/ios/DEF-092-add-time-layout.json
/Users/mason/.codex/visualizations/2026/09/01/01a05def-1c0d-76d1-abc6-07c63a443582/emulator-runs/retest/ios/DEF-092-add-time-layout.png
/Users/mason/.codex/visualizations/2026/09/01/01a05def-1c0d-76d1-abc6-07c63a443582/emulator-runs/retest/ios/DEF-092-after-cancel.json</x:v>
      </x:c>
      <x:c r="K367" s="72" t="str">
        <x:v>Fresh Add workout form on iOS build 15 visibly clips the native time input at its right card boundary. At a 402×874 CSS-pixel viewport, the number input is 161×48 px border-box but the time input renders 191×74 px content-box despite the same computed 161×48 px dimensions. Its 12 px vertical and 14 px horizontal padding plus borders add 26 px height and 30 px width. Time extends 30 px beyond its 161 px label and 10 px beyond the clipping card edge. Native minimum sizing is 70×15 px and appearance is auto. No picker was opened or field changed; the form was cancelled without saving.</x:v>
      </x:c>
      <x:c r="L367" s="72" t="str">
        <x:v>DEF-092</x:v>
      </x:c>
      <x:c r="M367" s="72" t="str">
        <x:v>This is a distinct visual-layout failure, not stale validation feedback or a data-save failure. Preserve earlier successful functional save/validation assertions. DEF-092 source fix is awaiting fresh native builds and a new visual/picker regression pass on both platforms. Existing Aug 31 workout remained unchanged at 1 kcal/23:59.</x:v>
      </x:c>
    </x:row>
    <x:row r="368" ht="79.19999694824219" hidden="0" customHeight="1">
      <x:c r="A368" s="72" t="str">
        <x:v>RUN-0364</x:v>
      </x:c>
      <x:c r="B368" s="72" t="str">
        <x:v>NUT-009</x:v>
      </x:c>
      <x:c r="C368" s="72" t="str">
        <x:v>Retest</x:v>
      </x:c>
      <x:c r="D368" s="72" t="str">
        <x:v>Android</x:v>
      </x:c>
      <x:c r="E368" s="72" t="str">
        <x:v>Medium_Phone emulator-5554 / QA user10</x:v>
      </x:c>
      <x:c r="F368" s="72" t="str">
        <x:v>Android17</x:v>
      </x:c>
      <x:c r="G368" s="72" t="str">
        <x:v>1.0.0 (15)</x:v>
      </x:c>
      <x:c r="H368" s="73" t="n">
        <x:v>46269.55288083333</x:v>
      </x:c>
      <x:c r="I368" s="72" t="str">
        <x:v>Failed</x:v>
      </x:c>
      <x:c r="J368" s="72" t="str">
        <x:v>/Users/mason/.codex/visualizations/2026/09/01/01a05def-1c0d-76d1-abc6-07c63a443582/inventory/retest-android-meal-groups-cases.json
/Users/mason/.codex/visualizations/2026/09/01/01a05def-1c0d-76d1-abc6-07c63a443582/emulator-runs/retest/android/NUT-009-baseline-groups.png</x:v>
      </x:c>
      <x:c r="K368" s="72" t="str">
        <x:v>All four empty-group Add presets retain Aug29/type. Populated Breakfast/Dinner hide their Add; Lunch/Snacks retain Add and global Add food remains. A/B creation order is correct, including after moves. Native frames still have displaced calorie-ring and duplicate meal fragments (DEF-091).</x:v>
      </x:c>
      <x:c r="L368" s="72" t="str">
        <x:v>DEF-091</x:v>
      </x:c>
      <x:c r="M368" s="72" t="str">
        <x:v>Detailed cases and exact UUID/nutrition snapshots are in the immutable case manifest. No duplicate meal data. Visual failure is distinct from passing group/preset logic.</x:v>
      </x:c>
    </x:row>
    <x:row r="369" ht="79.19999694824219" hidden="0" customHeight="1">
      <x:c r="A369" s="72" t="str">
        <x:v>RUN-0365</x:v>
      </x:c>
      <x:c r="B369" s="72" t="str">
        <x:v>NUT-090</x:v>
      </x:c>
      <x:c r="C369" s="72" t="str">
        <x:v>Retest</x:v>
      </x:c>
      <x:c r="D369" s="72" t="str">
        <x:v>Android</x:v>
      </x:c>
      <x:c r="E369" s="72" t="str">
        <x:v>Medium_Phone emulator-5554 / QA user10</x:v>
      </x:c>
      <x:c r="F369" s="72" t="str">
        <x:v>Android17</x:v>
      </x:c>
      <x:c r="G369" s="72" t="str">
        <x:v>1.0.0 (15)</x:v>
      </x:c>
      <x:c r="H369" s="73" t="n">
        <x:v>46269.55288083333</x:v>
      </x:c>
      <x:c r="I369" s="72" t="str">
        <x:v>Failed</x:v>
      </x:c>
      <x:c r="J369" s="72" t="str">
        <x:v>/Users/mason/.codex/visualizations/2026/09/01/01a05def-1c0d-76d1-abc6-07c63a443582/inventory/retest-android-meal-groups-cases.json
/Users/mason/.codex/visualizations/2026/09/01/01a05def-1c0d-76d1-abc6-07c63a443582/emulator-runs/retest/android/NUT-090-a-last-move.png</x:v>
      </x:c>
      <x:c r="K369" s="72" t="str">
        <x:v>Cancel preserves data. Moving newer B then older A from Breakfast to Snacks keeps exact UUID/date/source/100g/calories/macros and408kcal day totals; A inserts before B. Breakfast Add returns with correct preset. Cold launch preserves all records with pending0/no sync error. Native duplicate Dinner/Snacks fragments persist (DEF-091).</x:v>
      </x:c>
      <x:c r="L369" s="72" t="str">
        <x:v>DEF-091</x:v>
      </x:c>
      <x:c r="M369" s="72" t="str">
        <x:v>Ordinary custom-food logic passes; full story fails visual result. Barcode/catalogue and no-portion snapshot regressions for source-only DEF-093 are untested on-device; no source fix credited as native pass.</x:v>
      </x:c>
    </x:row>
    <x:row r="370" ht="118.80000305175781" hidden="0" customHeight="1">
      <x:c r="A370" s="72" t="str">
        <x:v>RUN-0366</x:v>
      </x:c>
      <x:c r="B370" s="72" t="str">
        <x:v>NUT-009</x:v>
      </x:c>
      <x:c r="C370" s="72" t="str">
        <x:v>Retest</x:v>
      </x:c>
      <x:c r="D370" s="72" t="str">
        <x:v>iOS</x:v>
      </x:c>
      <x:c r="E370" s="72" t="str">
        <x:v>iPhone 17 Pro</x:v>
      </x:c>
      <x:c r="F370" s="72" t="str">
        <x:v>iOS 26.5</x:v>
      </x:c>
      <x:c r="G370" s="72" t="str">
        <x:v>9e9dcf1+dirty; com.spacemancodes.buff 1.0.0 (15)</x:v>
      </x:c>
      <x:c r="H370" s="73" t="n">
        <x:v>46269.560637476854</x:v>
      </x:c>
      <x:c r="I370" s="72" t="str">
        <x:v>Failed</x:v>
      </x:c>
      <x:c r="J370" s="72" t="str">
        <x:v>/Users/mason/.codex/visualizations/2026/09/01/01a05def-1c0d-76d1-abc6-07c63a443582/emulator-runs/retest/ios/batch-012-case-manifest.json
/Users/mason/.codex/visualizations/2026/09/01/01a05def-1c0d-76d1-abc6-07c63a443582/emulator-runs/retest/ios/NUT-009-three-entries-fixed-groups.png
/Users/mason/.codex/visualizations/2026/09/01/01a05def-1c0d-76d1-abc6-07c63a443582/emulator-runs/retest/ios/NUT-090-cold-persisted-aug30-groups.png</x:v>
      </x:c>
      <x:c r="K370" s="72" t="str">
        <x:v>On iOS build 15, Breakfast, Lunch, Dinner and Snacks remained in fixed order. All four empty-group Add actions opened the correct Aug 30 meal preset. Populated groups hid their per-group Add, while the global Add food action remained available. Two Breakfast rows appeared oldest-first. Moving newer B and then older A to Snacks preserved creation order, restored Breakfast Add, and kept the correct empty/populated affordances. These grouping and preset cases passed. Visual rendering failed: scrolled Breakfast text and Add controls collided with the iOS clock/status icons; the same overlap remained after a cold launch (DEF-094).</x:v>
      </x:c>
      <x:c r="L370" s="72" t="str">
        <x:v>DEF-094</x:v>
      </x:c>
      <x:c r="M370" s="72" t="str">
        <x:v>Cases 012-01 through 012-10 record the grouping and preset scope. The Failed result reflects the confirmed native status-area readability defect, not incorrect meal ordering or nutrition. Lunch and Snacks preset flows were cancelled without creating rows. All fixtures remain.</x:v>
      </x:c>
    </x:row>
    <x:row r="371" ht="118.80000305175781" hidden="0" customHeight="1">
      <x:c r="A371" s="72" t="str">
        <x:v>RUN-0367</x:v>
      </x:c>
      <x:c r="B371" s="72" t="str">
        <x:v>NUT-090</x:v>
      </x:c>
      <x:c r="C371" s="72" t="str">
        <x:v>Retest</x:v>
      </x:c>
      <x:c r="D371" s="72" t="str">
        <x:v>iOS</x:v>
      </x:c>
      <x:c r="E371" s="72" t="str">
        <x:v>iPhone 17 Pro</x:v>
      </x:c>
      <x:c r="F371" s="72" t="str">
        <x:v>iOS 26.5</x:v>
      </x:c>
      <x:c r="G371" s="72" t="str">
        <x:v>9e9dcf1+dirty; com.spacemancodes.buff 1.0.0 (15)</x:v>
      </x:c>
      <x:c r="H371" s="73" t="n">
        <x:v>46269.56123925926</x:v>
      </x:c>
      <x:c r="I371" s="72" t="str">
        <x:v>Blocked</x:v>
      </x:c>
      <x:c r="J371" s="72" t="str">
        <x:v>/Users/mason/.codex/visualizations/2026/09/01/01a05def-1c0d-76d1-abc6-07c63a443582/emulator-runs/retest/ios/batch-012-case-manifest.json
/Users/mason/.codex/visualizations/2026/09/01/01a05def-1c0d-76d1-abc6-07c63a443582/emulator-runs/retest/ios/NUT-009-090-batch012-observations.json
/Users/mason/.codex/visualizations/2026/09/01/01a05def-1c0d-76d1-abc6-07c63a443582/emulator-runs/retest/ios/NUT-090-after-both-moves-oldest-first.png</x:v>
      </x:c>
      <x:c r="K371" s="72" t="str">
        <x:v>The custom 100 g Portion-mode subset passed on iOS build 15. The editor offered all four meal types. Selecting Snacks then cancelling preserved the entire daily summary. Saving newer B from Breakfast to empty Snacks closed the editor and left A in Breakfast. Saving sole remaining A then emptied Breakfast, restored its Add action and inserted A before B in Snacks. All three UUIDs, names, portions and nutrition stayed unchanged on Aug 30: 419 kcal, P 35g, C 45g and F 11g. A cold launch retained the exact final rows and totals, with pending sync 0 and no error. Android received the same Aug 30 result, and iOS independently received Android's Aug 29 final groups and 408 kcal total without editing them.</x:v>
      </x:c>
      <x:c r="L371" s="72" t="str">
        <x:v>DEF-093</x:v>
      </x:c>
      <x:c r="M371" s="72" t="str">
        <x:v>Not a full story pass: barcode-backed/current-product and unportioned-macro metadata-only moves were not exercised natively. DEF-093's fix is not installed in build 15. This batch did not cover every source-to-destination combination or source type. Global status-area overlap is recorded separately in NUT-009 and ACC-082 under DEF-094. No settings, goals, old meals, body metrics or workouts changed.</x:v>
      </x:c>
    </x:row>
    <x:row r="372" ht="118.80000305175781" hidden="0" customHeight="1">
      <x:c r="A372" s="72" t="str">
        <x:v>RUN-0368</x:v>
      </x:c>
      <x:c r="B372" s="72" t="str">
        <x:v>ACC-082</x:v>
      </x:c>
      <x:c r="C372" s="72" t="str">
        <x:v>Retest</x:v>
      </x:c>
      <x:c r="D372" s="72" t="str">
        <x:v>iOS</x:v>
      </x:c>
      <x:c r="E372" s="72" t="str">
        <x:v>iPhone 17 Pro</x:v>
      </x:c>
      <x:c r="F372" s="72" t="str">
        <x:v>iOS 26.5</x:v>
      </x:c>
      <x:c r="G372" s="72" t="str">
        <x:v>9e9dcf1+dirty; com.spacemancodes.buff 1.0.0 (15)</x:v>
      </x:c>
      <x:c r="H372" s="73" t="n">
        <x:v>46269.560637476854</x:v>
      </x:c>
      <x:c r="I372" s="72" t="str">
        <x:v>Failed</x:v>
      </x:c>
      <x:c r="J372" s="72" t="str">
        <x:v>/Users/mason/.codex/visualizations/2026/09/01/01a05def-1c0d-76d1-abc6-07c63a443582/emulator-runs/retest/ios/batch-012-case-manifest.json
/Users/mason/.codex/visualizations/2026/09/01/01a05def-1c0d-76d1-abc6-07c63a443582/emulator-runs/retest/ios/NUT-090-after-newer-move.png
/Users/mason/.codex/visualizations/2026/09/01/01a05def-1c0d-76d1-abc6-07c63a443582/emulator-runs/retest/ios/NUT-090-cold-persisted-aug30-groups.png</x:v>
      </x:c>
      <x:c r="K372" s="72" t="str">
        <x:v>The Today list on iPhone 17 Pro / iOS 26.5 allowed scrolled content into the native status area. The Breakfast heading and Add action visibly collided with the clock/status icons; another scroll position put Meals and Add food in the same region. After a cold launch, the Breakfast heading occupied WebView y=16–36 and the native screenshot still showed the collision. Independent review confirmed this as DEF-094.</x:v>
      </x:c>
      <x:c r="L372" s="72" t="str">
        <x:v>DEF-094</x:v>
      </x:c>
      <x:c r="M372" s="72" t="str">
        <x:v>This run covers only scrolled status-safe-area rendering in installed build 15. It does not establish complete shell, pull-to-refresh, orientation, deep-link, plugin, permission or slow/error-load behavior. Native UI actions and read-only measurements were used; no CSS or page state was injected.</x:v>
      </x:c>
    </x:row>
    <x:row r="373" ht="198" hidden="0" customHeight="1">
      <x:c r="A373" s="72" t="str">
        <x:v>RUN-0369</x:v>
      </x:c>
      <x:c r="B373" s="72" t="str">
        <x:v>ACC-082</x:v>
      </x:c>
      <x:c r="C373" s="72" t="str">
        <x:v>Retest</x:v>
      </x:c>
      <x:c r="D373" s="72" t="str">
        <x:v>iOS</x:v>
      </x:c>
      <x:c r="E373" s="72" t="str">
        <x:v>iPhone 17 Pro</x:v>
      </x:c>
      <x:c r="F373" s="72" t="str">
        <x:v>iOS26.5</x:v>
      </x:c>
      <x:c r="G373" s="72" t="str">
        <x:v>1.0.0 (16)</x:v>
      </x:c>
      <x:c r="H373" s="73" t="n">
        <x:v>46269.59027777778</x:v>
      </x:c>
      <x:c r="I373" s="72" t="str">
        <x:v>Blocked</x:v>
      </x:c>
      <x:c r="J373" s="72" t="str">
        <x:v>/Users/mason/.codex/visualizations/2026/09/01/01a05def-1c0d-76d1-abc6-07c63a443582/emulator-runs/retest/ios/DEF-094-b16-postfix-observations.json
/Users/mason/.codex/visualizations/2026/09/01/01a05def-1c0d-76d1-abc6-07c63a443582/emulator-runs/retest/ios/DEF-094-b16-system-scrolled.png
/Users/mason/.codex/visualizations/2026/09/01/01a05def-1c0d-76d1-abc6-07c63a443582/emulator-runs/retest/ios/DEF-094-b16-dark-scrolled.png
/Users/mason/.codex/visualizations/2026/09/01/01a05def-1c0d-76d1-abc6-07c63a443582/emulator-runs/retest/ios/DEF-094-b16-light-meal-edit.png
/Users/mason/.codex/visualizations/2026/09/01/01a05def-1c0d-76d1-abc6-07c63a443582/emulator-runs/retest/ios/DEF-094-b16-dark-weekly-scrolled.png</x:v>
      </x:c>
      <x:c r="K373" s="72" t="str">
        <x:v>iOS build 16 passed the reproduced top-chrome regression. At the original Aug 30 Breakfast y=16–36 and Meals y=15–43 collision positions, native clock/status icons remained readable with content hidden by a 62 px fixed #app::before backing (z-index 30, pointer-events none). Explicit Light used RGB 245/246/246; Dark used RGB 21/22/22 with readable white native status text. System, light meal detail/edit open and cancel, and dark Weekly scroll also passed. No meal fields changed; the daily summary remained identical. System appearance was restored and Reduce Motion remained off. Auth/onboarding and zero-inset desktop environments were not exercised.</x:v>
      </x:c>
      <x:c r="L373" s="72" t="str">
        <x:v>DEF-094</x:v>
      </x:c>
      <x:c r="M373" s="72" t="str">
        <x:v>Original defect passes and is closed; broad native shell, refresh, integration and standalone/overlay cases are not all retested.</x:v>
      </x:c>
    </x:row>
    <x:row r="374" ht="198" hidden="0" customHeight="1">
      <x:c r="A374" s="72" t="str">
        <x:v>RUN-0370</x:v>
      </x:c>
      <x:c r="B374" s="72" t="str">
        <x:v>NUT-009</x:v>
      </x:c>
      <x:c r="C374" s="72" t="str">
        <x:v>Retest</x:v>
      </x:c>
      <x:c r="D374" s="72" t="str">
        <x:v>iOS</x:v>
      </x:c>
      <x:c r="E374" s="72" t="str">
        <x:v>iPhone 17 Pro</x:v>
      </x:c>
      <x:c r="F374" s="72" t="str">
        <x:v>iOS26.5</x:v>
      </x:c>
      <x:c r="G374" s="72" t="str">
        <x:v>1.0.0 (16)</x:v>
      </x:c>
      <x:c r="H374" s="73" t="n">
        <x:v>46269.59027777778</x:v>
      </x:c>
      <x:c r="I374" s="72" t="str">
        <x:v>Blocked</x:v>
      </x:c>
      <x:c r="J374" s="72" t="str">
        <x:v>/Users/mason/.codex/visualizations/2026/09/01/01a05def-1c0d-76d1-abc6-07c63a443582/emulator-runs/retest/ios/DEF-094-b16-postfix-observations.json
/Users/mason/.codex/visualizations/2026/09/01/01a05def-1c0d-76d1-abc6-07c63a443582/emulator-runs/retest/ios/DEF-094-b16-system-scrolled.png
/Users/mason/.codex/visualizations/2026/09/01/01a05def-1c0d-76d1-abc6-07c63a443582/emulator-runs/retest/ios/DEF-094-b16-dark-scrolled.png
/Users/mason/.codex/visualizations/2026/09/01/01a05def-1c0d-76d1-abc6-07c63a443582/emulator-runs/retest/ios/DEF-094-b16-light-meal-edit.png
/Users/mason/.codex/visualizations/2026/09/01/01a05def-1c0d-76d1-abc6-07c63a443582/emulator-runs/retest/ios/DEF-094-b16-dark-weekly-scrolled.png</x:v>
      </x:c>
      <x:c r="K374" s="72" t="str">
        <x:v>iOS build 16 passed the reproduced top-chrome regression. At the original Aug 30 Breakfast y=16–36 and Meals y=15–43 collision positions, native clock/status icons remained readable with content hidden by a 62 px fixed #app::before backing (z-index 30, pointer-events none). Explicit Light used RGB 245/246/246; Dark used RGB 21/22/22 with readable white native status text. System, light meal detail/edit open and cancel, and dark Weekly scroll also passed. No meal fields changed; the daily summary remained identical. System appearance was restored and Reduce Motion remained off. Auth/onboarding and zero-inset desktop environments were not exercised.</x:v>
      </x:c>
      <x:c r="L374" s="72" t="str">
        <x:v>DEF-094</x:v>
      </x:c>
      <x:c r="M374" s="72" t="str">
        <x:v>Focused scrolled-legibility pass with unchanged419-kcal meal summary. Does not repeat every fresh-build Add preset/group action.</x:v>
      </x:c>
    </x:row>
    <x:row r="375" ht="118.80000305175781" hidden="0" customHeight="1">
      <x:c r="A375" s="72" t="str">
        <x:v>RUN-0371</x:v>
      </x:c>
      <x:c r="B375" s="72" t="str">
        <x:v>ACC-082</x:v>
      </x:c>
      <x:c r="C375" s="72" t="str">
        <x:v>Retest</x:v>
      </x:c>
      <x:c r="D375" s="72" t="str">
        <x:v>Android</x:v>
      </x:c>
      <x:c r="E375" s="72" t="str">
        <x:v>Medium_Phone / QA user10</x:v>
      </x:c>
      <x:c r="F375" s="72" t="str">
        <x:v>Android17</x:v>
      </x:c>
      <x:c r="G375" s="72" t="str">
        <x:v>1.0.0 (16)</x:v>
      </x:c>
      <x:c r="H375" s="73" t="n">
        <x:v>46269.59027777778</x:v>
      </x:c>
      <x:c r="I375" s="72" t="str">
        <x:v>Failed</x:v>
      </x:c>
      <x:c r="J375" s="72" t="str">
        <x:v>/Users/mason/.codex/visualizations/2026/09/01/01a05def-1c0d-76d1-abc6-07c63a443582/emulator-runs/retest/android/build16-first-launch.png
/Users/mason/.codex/visualizations/2026/09/01/01a05def-1c0d-76d1-abc6-07c63a443582/emulator-runs/retest/android/DEF-092-b16-edit-input.png
/Users/mason/.codex/visualizations/2026/09/01/01a05def-1c0d-76d1-abc6-07c63a443582/inventory/android-build16-install-provenance.json</x:v>
      </x:c>
      <x:c r="K375" s="72" t="str">
        <x:v>Fresh build16 launch retains the same Android visual corruption: the date loses its left edge beneath an offset pale strip and a duplicate calorie-ring fragment appears above Meals. DOM contains one coherent Today tree and exact500 meal kcal/247 burned/2347 target/1847 remaining. Add workout, native time pickers and Reminders render cleanly; the workout edit dialog is readable while duplicate fragments remain in its blurred Today background. This is still an unresolved native-pixel failure, not demonstrated nutrition-data corruption.</x:v>
      </x:c>
      <x:c r="L375" s="72" t="str">
        <x:v>DEF-091</x:v>
      </x:c>
      <x:c r="M375" s="72" t="str">
        <x:v>Fresh-bundle visual regression; no blanket shell or data-preservation pass.</x:v>
      </x:c>
    </x:row>
    <x:row r="376" ht="277.20001220703125" hidden="0" customHeight="1">
      <x:c r="A376" s="72" t="str">
        <x:v>RUN-0372</x:v>
      </x:c>
      <x:c r="B376" s="72" t="str">
        <x:v>HLT-040</x:v>
      </x:c>
      <x:c r="C376" s="72" t="str">
        <x:v>Retest</x:v>
      </x:c>
      <x:c r="D376" s="72" t="str">
        <x:v>Android</x:v>
      </x:c>
      <x:c r="E376" s="72" t="str">
        <x:v>Medium_Phone / QA user10</x:v>
      </x:c>
      <x:c r="F376" s="72" t="str">
        <x:v>Android17</x:v>
      </x:c>
      <x:c r="G376" s="72" t="str">
        <x:v>1.0.0 (16)</x:v>
      </x:c>
      <x:c r="H376" s="73" t="n">
        <x:v>46269.59027777778</x:v>
      </x:c>
      <x:c r="I376" s="72" t="str">
        <x:v>Blocked</x:v>
      </x:c>
      <x:c r="J376" s="72" t="str">
        <x:v>/Users/mason/.codex/visualizations/2026/09/01/01a05def-1c0d-76d1-abc6-07c63a443582/emulator-runs/retest/android/DEF-092-b16-add-input.json
/Users/mason/.codex/visualizations/2026/09/01/01a05def-1c0d-76d1-abc6-07c63a443582/emulator-runs/retest/android/DEF-092-b16-add-input.png
/Users/mason/.codex/visualizations/2026/09/01/01a05def-1c0d-76d1-abc6-07c63a443582/emulator-runs/retest/android/DEF-092-b16-add-native-picker.png
/Users/mason/.codex/visualizations/2026/09/01/01a05def-1c0d-76d1-abc6-07c63a443582/emulator-runs/retest/android/DEF-092-b16-add-empty-time.json
/Users/mason/.codex/visualizations/2026/09/01/01a05def-1c0d-76d1-abc6-07c63a443582/emulator-runs/retest/android/DEF-092-b16-add-required-errors-settled.json
/Users/mason/.codex/visualizations/2026/09/01/01a05def-1c0d-76d1-abc6-07c63a443582/emulator-runs/retest/android/DEF-092-b16-add-required-errors.png
/Users/mason/.codex/visualizations/2026/09/01/01a05def-1c0d-76d1-abc6-07c63a443582/emulator-runs/retest/android/DEF-092-b16-after-cancel.json</x:v>
      </x:c>
      <x:c r="K376" s="72" t="str">
        <x:v>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x:v>
      </x:c>
      <x:c r="L376" s="72" t="str">
        <x:v>DEF-092</x:v>
      </x:c>
      <x:c r="M376" s="72" t="str">
        <x:v>Focused post-fix layout/picker/required-error regression only; no fresh valid create/update or complete story matrix. Prior build15 functional evidence remains historical. DEF-091 is separate native background corruption.</x:v>
      </x:c>
    </x:row>
    <x:row r="377" ht="132" hidden="0" customHeight="1">
      <x:c r="A377" s="72" t="str">
        <x:v>RUN-0373</x:v>
      </x:c>
      <x:c r="B377" s="72" t="str">
        <x:v>HLT-042</x:v>
      </x:c>
      <x:c r="C377" s="72" t="str">
        <x:v>Retest</x:v>
      </x:c>
      <x:c r="D377" s="72" t="str">
        <x:v>Android</x:v>
      </x:c>
      <x:c r="E377" s="72" t="str">
        <x:v>Medium_Phone / QA user10</x:v>
      </x:c>
      <x:c r="F377" s="72" t="str">
        <x:v>Android17</x:v>
      </x:c>
      <x:c r="G377" s="72" t="str">
        <x:v>1.0.0 (16)</x:v>
      </x:c>
      <x:c r="H377" s="73" t="n">
        <x:v>46269.59027777778</x:v>
      </x:c>
      <x:c r="I377" s="72" t="str">
        <x:v>Failed</x:v>
      </x:c>
      <x:c r="J377" s="72" t="str">
        <x:v>/Users/mason/.codex/visualizations/2026/09/01/01a05def-1c0d-76d1-abc6-07c63a443582/emulator-runs/retest/android/DEF-092-b16-edit-input.json
/Users/mason/.codex/visualizations/2026/09/01/01a05def-1c0d-76d1-abc6-07c63a443582/emulator-runs/retest/android/DEF-092-b16-edit-input.png
/Users/mason/.codex/visualizations/2026/09/01/01a05def-1c0d-76d1-abc6-07c63a443582/emulator-runs/retest/android/DEF-092-b16-after-cancel.json</x:v>
      </x:c>
      <x:c r="K377" s="72" t="str">
        <x:v>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x:v>
      </x:c>
      <x:c r="L377" s="72" t="str">
        <x:v>DEF-091</x:v>
      </x:c>
      <x:c r="M377" s="72" t="str">
        <x:v>Time input and picker pass. Overall visual failure remains DEF-091 in Today background. No valid update was repeated on build16.</x:v>
      </x:c>
    </x:row>
    <x:row r="378" ht="198" hidden="0" customHeight="1">
      <x:c r="A378" s="72" t="str">
        <x:v>RUN-0374</x:v>
      </x:c>
      <x:c r="B378" s="72" t="str">
        <x:v>HLT-046</x:v>
      </x:c>
      <x:c r="C378" s="72" t="str">
        <x:v>Retest</x:v>
      </x:c>
      <x:c r="D378" s="72" t="str">
        <x:v>Android</x:v>
      </x:c>
      <x:c r="E378" s="72" t="str">
        <x:v>Medium_Phone / QA user10</x:v>
      </x:c>
      <x:c r="F378" s="72" t="str">
        <x:v>Android17</x:v>
      </x:c>
      <x:c r="G378" s="72" t="str">
        <x:v>1.0.0 (16)</x:v>
      </x:c>
      <x:c r="H378" s="73" t="n">
        <x:v>46269.59027777778</x:v>
      </x:c>
      <x:c r="I378" s="72" t="str">
        <x:v>Blocked</x:v>
      </x:c>
      <x:c r="J378" s="72" t="str">
        <x:v>/Users/mason/.codex/visualizations/2026/09/01/01a05def-1c0d-76d1-abc6-07c63a443582/emulator-runs/retest/android/DEF-092-b16-add-native-picker.png
/Users/mason/.codex/visualizations/2026/09/01/01a05def-1c0d-76d1-abc6-07c63a443582/emulator-runs/retest/android/DEF-092-b16-add-empty-time.json
/Users/mason/.codex/visualizations/2026/09/01/01a05def-1c0d-76d1-abc6-07c63a443582/emulator-runs/retest/android/DEF-092-b16-add-required-errors-settled.json
/Users/mason/.codex/visualizations/2026/09/01/01a05def-1c0d-76d1-abc6-07c63a443582/emulator-runs/retest/android/DEF-092-b16-add-required-errors.png
/Users/mason/.codex/visualizations/2026/09/01/01a05def-1c0d-76d1-abc6-07c63a443582/emulator-runs/retest/android/DEF-092-b16-after-cancel.json</x:v>
      </x:c>
      <x:c r="K378" s="72" t="str">
        <x:v>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x:v>
      </x:c>
      <x:c r="L378" s="72" t="str">
        <x:v>DEF-092</x:v>
      </x:c>
      <x:c r="M378" s="72" t="str">
        <x:v>Add required-field errors are visible and layout is correct. Other bounds, malformed values, Edit errors and all correction/save branches are not rerun here.</x:v>
      </x:c>
    </x:row>
    <x:row r="379" ht="158.39999389648438" hidden="0" customHeight="1">
      <x:c r="A379" s="72" t="str">
        <x:v>RUN-0375</x:v>
      </x:c>
      <x:c r="B379" s="72" t="str">
        <x:v>ACC-038</x:v>
      </x:c>
      <x:c r="C379" s="72" t="str">
        <x:v>Retest</x:v>
      </x:c>
      <x:c r="D379" s="72" t="str">
        <x:v>Android</x:v>
      </x:c>
      <x:c r="E379" s="72" t="str">
        <x:v>Medium_Phone / QA user10</x:v>
      </x:c>
      <x:c r="F379" s="72" t="str">
        <x:v>Android17</x:v>
      </x:c>
      <x:c r="G379" s="72" t="str">
        <x:v>1.0.0 (16)</x:v>
      </x:c>
      <x:c r="H379" s="73" t="n">
        <x:v>46269.59027777778</x:v>
      </x:c>
      <x:c r="I379" s="72" t="str">
        <x:v>Blocked</x:v>
      </x:c>
      <x:c r="J379" s="72" t="str">
        <x:v>/Users/mason/.codex/visualizations/2026/09/01/01a05def-1c0d-76d1-abc6-07c63a443582/emulator-runs/retest/android/DEF-092-b16-reminders.json
/Users/mason/.codex/visualizations/2026/09/01/01a05def-1c0d-76d1-abc6-07c63a443582/emulator-runs/retest/android/DEF-092-b16-reminders.png
/Users/mason/.codex/visualizations/2026/09/01/01a05def-1c0d-76d1-abc6-07c63a443582/emulator-runs/retest/android/DEF-092-b16-reminder-picker.png
/Users/mason/.codex/visualizations/2026/09/01/01a05def-1c0d-76d1-abc6-07c63a443582/emulator-runs/retest/android/DEF-092-b16-reminders-after-cancel.json</x:v>
      </x:c>
      <x:c r="K379" s="72" t="str">
        <x:v>Android build16 shared time controls pass the focused regression: Add populated and native-cleared empty input are165.714×48px border-box, appearance none, matching Calories and the parent width. Blank submission keeps Add open with title/calories/time required feedback and the same48px height. Native Add picker opens; Edit prefilled12:52/124kcal also fits165.714×48, opens its native picker, and cancel preserves values. All three reminder controls are120×48; breakfast picker opens at08:00 and cancel preserves08:00/12:00/18:00 with all switches off. No valid workout or reminder save occurred. Today still has exact original workout UUIDs/values and247 burned,500 meal kcal,2347 target,1847 remaining; sync pending0.</x:v>
      </x:c>
      <x:c r="L379" s="72" t="str"/>
      <x:c r="M379" s="72" t="str">
        <x:v>Layout and picker-cancel regression only; no toggles/time preferences changed and reminder delivery was not tested.</x:v>
      </x:c>
    </x:row>
    <x:row r="380" ht="237.60000610351562" hidden="0" customHeight="1">
      <x:c r="A380" s="72" t="str">
        <x:v>RUN-0376</x:v>
      </x:c>
      <x:c r="B380" s="72" t="str">
        <x:v>HLT-040</x:v>
      </x:c>
      <x:c r="C380" s="72" t="str">
        <x:v>Retest</x:v>
      </x:c>
      <x:c r="D380" s="72" t="str">
        <x:v>iOS</x:v>
      </x:c>
      <x:c r="E380" s="72" t="str">
        <x:v>iPhone 17 Pro</x:v>
      </x:c>
      <x:c r="F380" s="72" t="str">
        <x:v>iOS 26.5</x:v>
      </x:c>
      <x:c r="G380" s="72" t="str">
        <x:v>1.0.0 (16)</x:v>
      </x:c>
      <x:c r="H380" s="73" t="n">
        <x:v>46269.59097222222</x:v>
      </x:c>
      <x:c r="I380" s="72" t="str">
        <x:v>Blocked</x:v>
      </x:c>
      <x:c r="J380" s="72" t="str">
        <x:v>/Users/mason/.codex/visualizations/2026/09/01/01a05def-1c0d-76d1-abc6-07c63a443582/emulator-runs/retest/ios/DEF-092-b16-postfix-observations.json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x:v>
      </x:c>
      <x:c r="K380" s="72" t="str">
        <x:v>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L380" s="72" t="str">
        <x:v>DEF-092</x:v>
      </x:c>
      <x:c r="M380" s="72" t="str">
        <x:v>Focused layout/picker/reachable-error regression passes and closes DEF-092; the full fresh-build story matrix is not complete. No valid-event save, reminder setting change or delivery test occurred. iOS empty-time geometry is explicitly unexercised.</x:v>
      </x:c>
    </x:row>
    <x:row r="381" ht="237.60000610351562" hidden="0" customHeight="1">
      <x:c r="A381" s="72" t="str">
        <x:v>RUN-0377</x:v>
      </x:c>
      <x:c r="B381" s="72" t="str">
        <x:v>HLT-042</x:v>
      </x:c>
      <x:c r="C381" s="72" t="str">
        <x:v>Retest</x:v>
      </x:c>
      <x:c r="D381" s="72" t="str">
        <x:v>iOS</x:v>
      </x:c>
      <x:c r="E381" s="72" t="str">
        <x:v>iPhone 17 Pro</x:v>
      </x:c>
      <x:c r="F381" s="72" t="str">
        <x:v>iOS 26.5</x:v>
      </x:c>
      <x:c r="G381" s="72" t="str">
        <x:v>1.0.0 (16)</x:v>
      </x:c>
      <x:c r="H381" s="73" t="n">
        <x:v>46269.59097222222</x:v>
      </x:c>
      <x:c r="I381" s="72" t="str">
        <x:v>Blocked</x:v>
      </x:c>
      <x:c r="J381" s="72" t="str">
        <x:v>/Users/mason/.codex/visualizations/2026/09/01/01a05def-1c0d-76d1-abc6-07c63a443582/emulator-runs/retest/ios/DEF-092-b16-postfix-observations.json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x:v>
      </x:c>
      <x:c r="K381" s="72" t="str">
        <x:v>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L381" s="72" t="str">
        <x:v>DEF-092</x:v>
      </x:c>
      <x:c r="M381" s="72" t="str">
        <x:v>Focused layout/picker/reachable-error regression passes and closes DEF-092; the full fresh-build story matrix is not complete. No valid-event save, reminder setting change or delivery test occurred. iOS empty-time geometry is explicitly unexercised.</x:v>
      </x:c>
    </x:row>
    <x:row r="382" ht="237.60000610351562" hidden="0" customHeight="1">
      <x:c r="A382" s="72" t="str">
        <x:v>RUN-0378</x:v>
      </x:c>
      <x:c r="B382" s="72" t="str">
        <x:v>HLT-046</x:v>
      </x:c>
      <x:c r="C382" s="72" t="str">
        <x:v>Retest</x:v>
      </x:c>
      <x:c r="D382" s="72" t="str">
        <x:v>iOS</x:v>
      </x:c>
      <x:c r="E382" s="72" t="str">
        <x:v>iPhone 17 Pro</x:v>
      </x:c>
      <x:c r="F382" s="72" t="str">
        <x:v>iOS 26.5</x:v>
      </x:c>
      <x:c r="G382" s="72" t="str">
        <x:v>1.0.0 (16)</x:v>
      </x:c>
      <x:c r="H382" s="73" t="n">
        <x:v>46269.59097222222</x:v>
      </x:c>
      <x:c r="I382" s="72" t="str">
        <x:v>Blocked</x:v>
      </x:c>
      <x:c r="J382" s="72" t="str">
        <x:v>/Users/mason/.codex/visualizations/2026/09/01/01a05def-1c0d-76d1-abc6-07c63a443582/emulator-runs/retest/ios/DEF-092-b16-postfix-observations.json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x:v>
      </x:c>
      <x:c r="K382" s="72" t="str">
        <x:v>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L382" s="72" t="str">
        <x:v>DEF-092</x:v>
      </x:c>
      <x:c r="M382" s="72" t="str">
        <x:v>Focused layout/picker/reachable-error regression passes and closes DEF-092; the full fresh-build story matrix is not complete. No valid-event save, reminder setting change or delivery test occurred. iOS empty-time geometry is explicitly unexercised.</x:v>
      </x:c>
    </x:row>
    <x:row r="383" ht="237.60000610351562" hidden="0" customHeight="1">
      <x:c r="A383" s="72" t="str">
        <x:v>RUN-0379</x:v>
      </x:c>
      <x:c r="B383" s="72" t="str">
        <x:v>ACC-038</x:v>
      </x:c>
      <x:c r="C383" s="72" t="str">
        <x:v>Retest</x:v>
      </x:c>
      <x:c r="D383" s="72" t="str">
        <x:v>iOS</x:v>
      </x:c>
      <x:c r="E383" s="72" t="str">
        <x:v>iPhone 17 Pro</x:v>
      </x:c>
      <x:c r="F383" s="72" t="str">
        <x:v>iOS 26.5</x:v>
      </x:c>
      <x:c r="G383" s="72" t="str">
        <x:v>1.0.0 (16)</x:v>
      </x:c>
      <x:c r="H383" s="73" t="n">
        <x:v>46269.59097222222</x:v>
      </x:c>
      <x:c r="I383" s="72" t="str">
        <x:v>Blocked</x:v>
      </x:c>
      <x:c r="J383" s="72" t="str">
        <x:v>/Users/mason/.codex/visualizations/2026/09/01/01a05def-1c0d-76d1-abc6-07c63a443582/emulator-runs/retest/ios/DEF-092-b16-postfix-observations.json
/Users/mason/.codex/visualizations/2026/09/01/01a05def-1c0d-76d1-abc6-07c63a443582/emulator-runs/retest/ios/DEF-092-b16-validation-supplement.json
/Users/mason/.codex/visualizations/2026/09/01/01a05def-1c0d-76d1-abc6-07c63a443582/emulator-runs/retest/ios/DEF-092-b16-add-aligned.png
/Users/mason/.codex/visualizations/2026/09/01/01a05def-1c0d-76d1-abc6-07c63a443582/emulator-runs/retest/ios/DEF-092-b16-edit-aligned.png
/Users/mason/.codex/visualizations/2026/09/01/01a05def-1c0d-76d1-abc6-07c63a443582/emulator-runs/retest/ios/DEF-092-b16-add-required-errors-aligned.png
/Users/mason/.codex/visualizations/2026/09/01/01a05def-1c0d-76d1-abc6-07c63a443582/emulator-runs/retest/ios/DEF-092-b16-reminders-times.png</x:v>
      </x:c>
      <x:c r="K383" s="72" t="str">
        <x:v>iOS build 16 resolves the original time-control overflow: Add and Edit time/calories are both 161 × 48 px border-box, with no right-edge clipping. Native pickers still open and dismiss without changing values. Add blank title/calories returns both inline required errors while controls remain aligned. Today summary stays unchanged after Back: original 500-kcal meal and 247 burned. All three reminder times fit 120 × 48 px; breakfast picker opens at 08:00 and is dismissed unchanged. Times remain 08:00/12:00/18:00 and toggles off. Native Reset/keyboard clearing retained a valid time; empty-time geometry was not reached or claimed. No valid workout save was repeated.</x:v>
      </x:c>
      <x:c r="L383" s="72" t="str"/>
      <x:c r="M383" s="72" t="str">
        <x:v>Focused layout/picker/reachable-error regression passes and closes DEF-092; the full fresh-build story matrix is not complete. No valid-event save, reminder setting change or delivery test occurred. iOS empty-time geometry is explicitly unexercised.</x:v>
      </x:c>
    </x:row>
    <x:row r="384" ht="79.19999694824219" hidden="0" customHeight="1">
      <x:c r="A384" s="72" t="str">
        <x:v>RUN-0380</x:v>
      </x:c>
      <x:c r="B384" s="72" t="str">
        <x:v>NUT-050</x:v>
      </x:c>
      <x:c r="C384" s="72" t="str">
        <x:v>Retest</x:v>
      </x:c>
      <x:c r="D384" s="72" t="str">
        <x:v>Android</x:v>
      </x:c>
      <x:c r="E384" s="72" t="str">
        <x:v>Medium_Phone, QA user 10</x:v>
      </x:c>
      <x:c r="F384" s="72" t="str">
        <x:v>Android 17 / API 37</x:v>
      </x:c>
      <x:c r="G384" s="72" t="str">
        <x:v>1.0.0 (16)</x:v>
      </x:c>
      <x:c r="H384" s="73" t="n">
        <x:v>46269.60972222222</x:v>
      </x:c>
      <x:c r="I384" s="72" t="str">
        <x:v>Blocked</x:v>
      </x:c>
      <x:c r="J384" s="72" t="str">
        <x:v>/Users/mason/.codex/visualizations/2026/09/01/01a05def-1c0d-76d1-abc6-07c63a443582/inventory/android-recipe-b16-evidence.json
/Users/mason/.codex/visualizations/2026/09/01/01a05def-1c0d-76d1-abc6-07c63a443582/emulator-runs/retest/android/NUT-050-b16-explicit-snacks.png</x:v>
      </x:c>
      <x:c r="K384" s="72" t="str">
        <x:v>Build 16 opens recipe A with yield 2 and Dinner at local hour 15. Explicit Snacks overrides that default. All four meal buttons select exactly one option. Back from a rejected draft and opening recipe B restores its yield 1 without a validation message. The shared recipe prefills yield 4 with explicit Breakfast.</x:v>
      </x:c>
      <x:c r="L384" s="72" t="str"/>
      <x:c r="M384" s="72" t="str">
        <x:v>These branches pass. The early-morning and late-evening defaults/hour boundaries remain unexercised. Native validity clearing does not prove the prior server-error clearing case DEF-034. Batch checkpoint time; raw evidence retains individual capture timestamps.</x:v>
      </x:c>
    </x:row>
    <x:row r="385" ht="92.4000015258789" hidden="0" customHeight="1">
      <x:c r="A385" s="72" t="str">
        <x:v>RUN-0381</x:v>
      </x:c>
      <x:c r="B385" s="72" t="str">
        <x:v>NUT-052</x:v>
      </x:c>
      <x:c r="C385" s="72" t="str">
        <x:v>Retest</x:v>
      </x:c>
      <x:c r="D385" s="72" t="str">
        <x:v>Android</x:v>
      </x:c>
      <x:c r="E385" s="72" t="str">
        <x:v>Medium_Phone, QA user 10</x:v>
      </x:c>
      <x:c r="F385" s="72" t="str">
        <x:v>Android 17 / API 37</x:v>
      </x:c>
      <x:c r="G385" s="72" t="str">
        <x:v>1.0.0 (16)</x:v>
      </x:c>
      <x:c r="H385" s="73" t="n">
        <x:v>46269.60972222222</x:v>
      </x:c>
      <x:c r="I385" s="72" t="str">
        <x:v>Failed</x:v>
      </x:c>
      <x:c r="J385" s="72" t="str">
        <x:v>/Users/mason/.codex/visualizations/2026/09/01/01a05def-1c0d-76d1-abc6-07c63a443582/inventory/android-recipe-b16-evidence.json
/Users/mason/.codex/visualizations/2026/09/01/01a05def-1c0d-76d1-abc6-07c63a443582/emulator-runs/retest/android/NUT-052-b16-zero-submit-feedback.png</x:v>
      </x:c>
      <x:c r="K385" s="72" t="str">
        <x:v>Actual Log recipe submissions reject blank, 0, 100.1 and off-step 0.15. No /meals/recipe request was issued and Aug 27 stayed empty before valid logs. Required/range/step validity works. The 0.15 correction bubble is partly hidden behind the reopened keyboard.</x:v>
      </x:c>
      <x:c r="L385" s="72" t="str">
        <x:v>DEF-096</x:v>
      </x:c>
      <x:c r="M385" s="72" t="str">
        <x:v>Blank substitution remains fixed (DEF-035). Stale/deleted recipe, date errors, server-error reset, and valid 0.1/100 boundary saves remain unexercised. The early zero-rejected files predate a successful submit click and are not used as submission evidence. Batch checkpoint time; raw evidence retains individual capture timestamps.</x:v>
      </x:c>
    </x:row>
    <x:row r="386" ht="105.5999984741211" hidden="0" customHeight="1">
      <x:c r="A386" s="72" t="str">
        <x:v>RUN-0382</x:v>
      </x:c>
      <x:c r="B386" s="72" t="str">
        <x:v>NUT-051</x:v>
      </x:c>
      <x:c r="C386" s="72" t="str">
        <x:v>Retest</x:v>
      </x:c>
      <x:c r="D386" s="72" t="str">
        <x:v>Android</x:v>
      </x:c>
      <x:c r="E386" s="72" t="str">
        <x:v>Medium_Phone, QA user 10</x:v>
      </x:c>
      <x:c r="F386" s="72" t="str">
        <x:v>Android 17 / API 37</x:v>
      </x:c>
      <x:c r="G386" s="72" t="str">
        <x:v>1.0.0 (16)</x:v>
      </x:c>
      <x:c r="H386" s="73" t="n">
        <x:v>46269.60972222222</x:v>
      </x:c>
      <x:c r="I386" s="72" t="str">
        <x:v>Passed</x:v>
      </x:c>
      <x:c r="J386" s="72" t="str">
        <x:v>/Users/mason/.codex/visualizations/2026/09/01/01a05def-1c0d-76d1-abc6-07c63a443582/inventory/android-recipe-b16-evidence.json
/Users/mason/.codex/visualizations/2026/09/01/01a05def-1c0d-76d1-abc6-07c63a443582/emulator-runs/retest/android/NUT-051-b16-serving1-detail.png</x:v>
      </x:c>
      <x:c r="K386" s="72" t="str">
        <x:v>Shared recipe 01a06cd1-5e14-72a8-b7c9-61ecd4227edb, yield 4, batch 281/P17/C33/F9 logs 1 Breakfast=70/P4.25/C8.25/F2.25, 2 Lunch=141/P8.5/C16.5/F4.5, 4 Dinner=281/P17/C33/F9 on Aug 27. Total 492/P29.75/C57.75/F15.75 persists after a user-10-only cold launch. Each entry has source_type recipe. List, each detail, and all three macro pages show 1 serving / 2 servings / 4 servings. Batch subtitle remains 281 kcal per 4 servings. Response flash is Recipe logged. Sync pending is zero.</x:v>
      </x:c>
      <x:c r="L386" s="72" t="str">
        <x:v>DEF-033</x:v>
      </x:c>
      <x:c r="M386" s="72" t="str">
        <x:v>Focused math, labels, selected-date, response feedback and persistence pass. This does not override the separately recorded native drawing failure. Android recipe_id is not directly exposed by the inspected UI payload. No Android database copy/export was performed. Transient native toast display was not captured. Batch checkpoint time; raw evidence retains individual capture timestamps.</x:v>
      </x:c>
    </x:row>
    <x:row r="387" ht="79.19999694824219" hidden="0" customHeight="1">
      <x:c r="A387" s="72" t="str">
        <x:v>RUN-0383</x:v>
      </x:c>
      <x:c r="B387" s="72" t="str">
        <x:v>NUT-051</x:v>
      </x:c>
      <x:c r="C387" s="72" t="str">
        <x:v>Retest</x:v>
      </x:c>
      <x:c r="D387" s="72" t="str">
        <x:v>Android</x:v>
      </x:c>
      <x:c r="E387" s="72" t="str">
        <x:v>Medium_Phone, QA user 10</x:v>
      </x:c>
      <x:c r="F387" s="72" t="str">
        <x:v>Android 17 / API 37</x:v>
      </x:c>
      <x:c r="G387" s="72" t="str">
        <x:v>1.0.0 (16)</x:v>
      </x:c>
      <x:c r="H387" s="73" t="n">
        <x:v>46269.60972222222</x:v>
      </x:c>
      <x:c r="I387" s="72" t="str">
        <x:v>Failed</x:v>
      </x:c>
      <x:c r="J387" s="72" t="str">
        <x:v>/Users/mason/.codex/visualizations/2026/09/01/01a05def-1c0d-76d1-abc6-07c63a443582/inventory/android-recipe-b16-evidence.json
/Users/mason/.codex/visualizations/2026/09/01/01a05def-1c0d-76d1-abc6-07c63a443582/emulator-runs/retest/android/NUT-051-b16-serving4-today.png</x:v>
      </x:c>
      <x:c r="K387" s="72" t="str">
        <x:v>The three recipe records and totals are correct, but the native Today framebuffer still shows cropped dates and duplicated/overlaid meal, ring and workout fragments, including after cold launch. DOM rows and persisted UI values remain singular and correct.</x:v>
      </x:c>
      <x:c r="L387" s="72" t="str">
        <x:v>DEF-091</x:v>
      </x:c>
      <x:c r="M387" s="72" t="str">
        <x:v>Whole-story Android result remains Failed because of DEF-091. The serving-label fix can close independently. Batch checkpoint time; raw evidence retains individual capture timestamps.</x:v>
      </x:c>
    </x:row>
    <x:row r="388" ht="158.39999389648438" hidden="0" customHeight="1">
      <x:c r="A388" s="72" t="str">
        <x:v>RUN-0384</x:v>
      </x:c>
      <x:c r="B388" s="72" t="str">
        <x:v>NUT-051</x:v>
      </x:c>
      <x:c r="C388" s="72" t="str">
        <x:v>Retest</x:v>
      </x:c>
      <x:c r="D388" s="72" t="str">
        <x:v>iOS</x:v>
      </x:c>
      <x:c r="E388" s="72" t="str">
        <x:v>iPhone 17 Pro</x:v>
      </x:c>
      <x:c r="F388" s="72" t="str">
        <x:v>iOS 26.5</x:v>
      </x:c>
      <x:c r="G388" s="72" t="str">
        <x:v>1.0.0 (16)</x:v>
      </x:c>
      <x:c r="H388" s="73" t="n">
        <x:v>46269.61311265046</x:v>
      </x:c>
      <x:c r="I388" s="72" t="str">
        <x:v>Passed</x:v>
      </x:c>
      <x:c r="J388" s="72" t="str">
        <x:v>/Users/mason/.codex/visualizations/2026/09/01/01a05def-1c0d-76d1-abc6-07c63a443582/emulator-runs/retest/ios/batch-013-case-manifest.json
/Users/mason/.codex/visualizations/2026/09/01/01a05def-1c0d-76d1-abc6-07c63a443582/emulator-runs/retest/ios/batch-013-observations.json
/Users/mason/.codex/visualizations/2026/09/01/01a05def-1c0d-76d1-abc6-07c63a443582/emulator-runs/retest/ios/DEF-033-b16-today-all-serving-labels.png
/Users/mason/.codex/visualizations/2026/09/01/01a05def-1c0d-76d1-abc6-07c63a443582/emulator-runs/retest/ios/NUT-051-b16-cold-launch-total492.png</x:v>
      </x:c>
      <x:c r="K388" s="72" t="str">
        <x:v>A saved yield-4 recipe totalled 281 kcal / P 17g / C 33g / F 9g. On the initially empty Aug 28, 1 Breakfast serving saved 70 / P 4.25 / C 8.25 / F 2.25; 2 Lunch servings saved 141 / P 8.5 / C 16.5 / F 4.5; 4 Dinner servings saved 281 / P 17 / C 33 / F 9. The fixed batch subtitle remained 281 kcal per 4 servings as the requested quantity changed. Blank servings was natively rejected without a meal. All dated redirects returned Recipe logged. Today, all three details and all three macro breakdowns showed correct singular/plural serving labels. A scoped read-only query confirmed all three persisted UUIDs link to the same recipe with recipe source and Aug 28 date. Cold launch preserved exact rows and total 492 kcal / P 29.75g / C 57.75g / F 15.75g; sync pending 0, no error.</x:v>
      </x:c>
      <x:c r="L388" s="72" t="str">
        <x:v>DEF-033</x:v>
      </x:c>
      <x:c r="M388" s="72" t="str">
        <x:v>Focused 1/2/4 scaling contract passed using distinct meal groups on Aug 28. No all-source, numeric-boundary, stale-ID or general recipe validation pass is inferred. Recipe logged was captured in all three response flash properties; a native toast was observed after the first save, but complete transient toast screenshots were not obtained for every save. DEF-033's original bare-number label failure is absent across Today, detail and all three macro views.</x:v>
      </x:c>
    </x:row>
    <x:row r="389" ht="118.80000305175781" hidden="0" customHeight="1">
      <x:c r="A389" s="72" t="str">
        <x:v>RUN-0385</x:v>
      </x:c>
      <x:c r="B389" s="72" t="str">
        <x:v>NUT-050</x:v>
      </x:c>
      <x:c r="C389" s="72" t="str">
        <x:v>Retest</x:v>
      </x:c>
      <x:c r="D389" s="72" t="str">
        <x:v>iOS</x:v>
      </x:c>
      <x:c r="E389" s="72" t="str">
        <x:v>iPhone 17 Pro</x:v>
      </x:c>
      <x:c r="F389" s="72" t="str">
        <x:v>iOS 26.5</x:v>
      </x:c>
      <x:c r="G389" s="72" t="str">
        <x:v>1.0.0 (16)</x:v>
      </x:c>
      <x:c r="H389" s="73" t="n">
        <x:v>46269.61311265046</x:v>
      </x:c>
      <x:c r="I389" s="72" t="str">
        <x:v>Blocked</x:v>
      </x:c>
      <x:c r="J389" s="72" t="str">
        <x:v>/Users/mason/.codex/visualizations/2026/09/01/01a05def-1c0d-76d1-abc6-07c63a443582/emulator-runs/retest/ios/batch-013-case-manifest.json
/Users/mason/.codex/visualizations/2026/09/01/01a05def-1c0d-76d1-abc6-07c63a443582/emulator-runs/retest/ios/NUT-050-b16-yield4-dinner-default.png
/Users/mason/.codex/visualizations/2026/09/01/01a05def-1c0d-76d1-abc6-07c63a443582/emulator-runs/retest/ios/NUT-050-b16-reopen-clean-yield4.png</x:v>
      </x:c>
      <x:c r="K389" s="72" t="str">
        <x:v>At local 15:28, opening the saved recipe without a meal query selected Dinner and prefilled yield 4; all four meal choices were visible. Explicit Lunch and Dinner Add flows retained their intended meal and Aug 28 date. Breakfast was manually selectable. Following native blank validation, Back returned to Recipes; reopening the same recipe restored yield 4 with no validation message.</x:v>
      </x:c>
      <x:c r="L389" s="72" t="str"/>
      <x:c r="M389" s="72" t="str">
        <x:v>Observed default/preset/Back subset passed. Remaining: local-hour boundary cases, explicit Snacks, and opening a different recipe after a server-rendered error. This is not a full pass for all defaults or stale-error branches.</x:v>
      </x:c>
    </x:row>
    <x:row r="390" ht="118.80000305175781" hidden="0" customHeight="1">
      <x:c r="A390" s="72" t="str">
        <x:v>RUN-0386</x:v>
      </x:c>
      <x:c r="B390" s="72" t="str">
        <x:v>NUT-052</x:v>
      </x:c>
      <x:c r="C390" s="72" t="str">
        <x:v>Retest</x:v>
      </x:c>
      <x:c r="D390" s="72" t="str">
        <x:v>iOS</x:v>
      </x:c>
      <x:c r="E390" s="72" t="str">
        <x:v>iPhone 17 Pro</x:v>
      </x:c>
      <x:c r="F390" s="72" t="str">
        <x:v>iOS 26.5</x:v>
      </x:c>
      <x:c r="G390" s="72" t="str">
        <x:v>1.0.0 (16)</x:v>
      </x:c>
      <x:c r="H390" s="73" t="n">
        <x:v>46269.61311265046</x:v>
      </x:c>
      <x:c r="I390" s="72" t="str">
        <x:v>Blocked</x:v>
      </x:c>
      <x:c r="J390" s="72" t="str">
        <x:v>/Users/mason/.codex/visualizations/2026/09/01/01a05def-1c0d-76d1-abc6-07c63a443582/emulator-runs/retest/ios/batch-013-case-manifest.json
/Users/mason/.codex/visualizations/2026/09/01/01a05def-1c0d-76d1-abc6-07c63a443582/emulator-runs/retest/ios/NUT-052-b16-blank-servings-rejected.png
/Users/mason/.codex/visualizations/2026/09/01/01a05def-1c0d-76d1-abc6-07c63a443582/emulator-runs/retest/ios/NUT-050-b16-reopen-clean-yield4.png</x:v>
      </x:c>
      <x:c r="K390" s="72" t="str">
        <x:v>Clearing servings and tapping Log recipe showed native Fill out this field and retained the form. Back and same-recipe reopen reset the field to saved yield 4 without a validation message. The first valid submission created exactly one 70 kcal Breakfast meal, with no extra yield-sized meal from the blank attempt.</x:v>
      </x:c>
      <x:c r="L390" s="72" t="str"/>
      <x:c r="M390" s="72" t="str">
        <x:v>Required blank rejection and same-recipe reset passed on build 16. Fresh-build zero, 100.1, 0.1/100 acceptance, invalid meal/date, stale/deleted recipe, owned server errors and processing-state timing remain untested in this batch. No request-count assertion was made while the inspector was detached.</x:v>
      </x:c>
    </x:row>
    <x:row r="391" ht="145.1999969482422" hidden="0" customHeight="1">
      <x:c r="A391" s="72" t="str">
        <x:v>RUN-0387</x:v>
      </x:c>
      <x:c r="B391" s="72" t="str">
        <x:v>NUT-048</x:v>
      </x:c>
      <x:c r="C391" s="72" t="str">
        <x:v>Retest</x:v>
      </x:c>
      <x:c r="D391" s="72" t="str">
        <x:v>iOS</x:v>
      </x:c>
      <x:c r="E391" s="72" t="str">
        <x:v>iPhone 17 Pro</x:v>
      </x:c>
      <x:c r="F391" s="72" t="str">
        <x:v>iOS 26.5</x:v>
      </x:c>
      <x:c r="G391" s="72" t="str">
        <x:v>1.0.0 (16)</x:v>
      </x:c>
      <x:c r="H391" s="73" t="n">
        <x:v>46269.61311265046</x:v>
      </x:c>
      <x:c r="I391" s="72" t="str">
        <x:v>Failed</x:v>
      </x:c>
      <x:c r="J391" s="72" t="str">
        <x:v>/Users/mason/.codex/visualizations/2026/09/01/01a05def-1c0d-76d1-abc6-07c63a443582/emulator-runs/retest/ios/batch-013-case-manifest.json
/Users/mason/.codex/visualizations/2026/09/01/01a05def-1c0d-76d1-abc6-07c63a443582/emulator-runs/retest/ios/NUT-051-b16-unsaved-draft-termination-observation.json
/Users/mason/.codex/visualizations/2026/09/01/01a05def-1c0d-76d1-abc6-07c63a443582/emulator-runs/retest/ios/NUT-051-b16-recreated-281-before-save.png
/Users/mason/Library/Logs/DiagnosticReports/NativePHP-simulator-2026-09-04-152257.ips</x:v>
      </x:c>
      <x:c r="K391" s="72" t="str">
        <x:v>The initial yield-4 draft correctly displayed two ingredients totalling 281 kcal / P 17g / C 33g / F 9g. A read-only inspector snapshot succeeded at 14:22:00.723Z. The exception was logged at 14:22:00.728Z, with crash-report capture at 14:22:00.8684Z: build-16 SIGABRT in JavaScriptCore's remote-inspector-xpc path. No Save recipe tap occurred; the unsaved draft was lost. An ordinary launch recovered the app. Recreating the single intended recipe through native-only input while unsaved succeeded; the saved recipe preserved yield 4, both 100 g ingredient snapshots and exact totals, and synced with pending 0.</x:v>
      </x:c>
      <x:c r="L391" s="72" t="str">
        <x:v>DEF-095</x:v>
      </x:c>
      <x:c r="M391" s="72" t="str">
        <x:v>DEF-095 is a confirmed debug-inspector-path crash, not an established RecipeController/PHP arithmetic failure. Successful native-only creation does not close that debug defect. Yield 1 and creation-yield required/min/max validation were not exercised in this batch. The initial termination observation retains its contemporaneous unknown-cause wording; the later crash report establishes the diagnostic path.</x:v>
      </x:c>
    </x:row>
    <x:row r="392" ht="118.80000305175781" hidden="0" customHeight="1">
      <x:c r="A392" s="72" t="str">
        <x:v>RUN-0388</x:v>
      </x:c>
      <x:c r="B392" s="72" t="str">
        <x:v>NUT-044</x:v>
      </x:c>
      <x:c r="C392" s="72" t="str">
        <x:v>Retest</x:v>
      </x:c>
      <x:c r="D392" s="72" t="str">
        <x:v>Android</x:v>
      </x:c>
      <x:c r="E392" s="72" t="str">
        <x:v>Medium_Phone API 37, emulator-5554, QA user 10</x:v>
      </x:c>
      <x:c r="F392" s="72" t="str">
        <x:v>Android 17 / API 37</x:v>
      </x:c>
      <x:c r="G392" s="72" t="str">
        <x:v>1.0.0b16</x:v>
      </x:c>
      <x:c r="H392" s="73" t="n">
        <x:v>46269.62966435185</x:v>
      </x:c>
      <x:c r="I392" s="72" t="str">
        <x:v>Blocked</x:v>
      </x:c>
      <x:c r="J392" s="72" t="str">
        <x:v>/Users/mason/.codex/visualizations/2026/09/01/01a05def-1c0d-76d1-abc6-07c63a443582/inventory/android-recipe-editor-b16-evidence.json
/Users/mason/.codex/visualizations/2026/09/01/01a05def-1c0d-76d1-abc6-07c63a443582/emulator-runs/retest/android/NUT-044-b16-reopened-clean.png
/Users/mason/.codex/visualizations/2026/09/01/01a05def-1c0d-76d1-abc6-07c63a443582/emulator-runs/retest/android/NUT-044-b16-edit-reopened-preserved.json</x:v>
      </x:c>
      <x:c r="K392" s="72" t="str">
        <x:v>New editor starts with Save disabled. Cancel discarded name QA cancelled draft, yield 3, one unsaved zero-calorie item, query q, unadded custom name, blank Carbs/local macro alert and server required-name error. Reopen restored blank names/search, yield 1, no items/errors, 100 g and P/C/F 0. Edit A changed name and removed its cloned item only in draft. Cancel/reopen restored original name, yield 2 and QA oats 100g/165 kcal/P10/C20/F5. Cancelling malformed custom fields in Edit then New also reset cleanly. Coverage incomplete: Delayed/in-flight search responses and search-error reset not exercised.</x:v>
      </x:c>
      <x:c r="L392" s="72" t="str">
        <x:v>DEF-007</x:v>
      </x:c>
      <x:c r="M392" s="72" t="str">
        <x:v>All observed cases in this scoped run passed. Blocked means the full story matrix is incomplete, not that a new failure was reproduced. All disposable draft changes were cancelled; saved recipes and Aug27 logged meals stayed unchanged.</x:v>
      </x:c>
    </x:row>
    <x:row r="393" ht="158.39999389648438" hidden="0" customHeight="1">
      <x:c r="A393" s="72" t="str">
        <x:v>RUN-0389</x:v>
      </x:c>
      <x:c r="B393" s="72" t="str">
        <x:v>NUT-047</x:v>
      </x:c>
      <x:c r="C393" s="72" t="str">
        <x:v>Retest</x:v>
      </x:c>
      <x:c r="D393" s="72" t="str">
        <x:v>Android</x:v>
      </x:c>
      <x:c r="E393" s="72" t="str">
        <x:v>Medium_Phone API 37, emulator-5554, QA user 10</x:v>
      </x:c>
      <x:c r="F393" s="72" t="str">
        <x:v>Android 17 / API 37</x:v>
      </x:c>
      <x:c r="G393" s="72" t="str">
        <x:v>1.0.0b16</x:v>
      </x:c>
      <x:c r="H393" s="73" t="n">
        <x:v>46269.62966435185</x:v>
      </x:c>
      <x:c r="I393" s="72" t="str">
        <x:v>Blocked</x:v>
      </x:c>
      <x:c r="J393" s="72" t="str">
        <x:v>/Users/mason/.codex/visualizations/2026/09/01/01a05def-1c0d-76d1-abc6-07c63a443582/inventory/android-recipe-editor-b16-evidence.json
/Users/mason/.codex/visualizations/2026/09/01/01a05def-1c0d-76d1-abc6-07c63a443582/emulator-runs/retest/android/NUT-047-b16-blank-protein.png
/Users/mason/.codex/visualizations/2026/09/01/01a05def-1c0d-76d1-abc6-07c63a443582/emulator-runs/retest/android/NUT-047-b16-edit-malformed.png
/Users/mason/.codex/visualizations/2026/09/01/01a05def-1c0d-76d1-abc6-07c63a443582/emulator-runs/retest/android/NUT-047-b16-edit-malformed-validity.json</x:v>
      </x:c>
      <x:c r="K393" s="72" t="str">
        <x:v>Empty/whitespace name disables Add. Quantity 0 and 10000.1, blank Protein/Carbs/Fat, negative Protein/Carbs, over-1000 Protein/Fat and name length 121 are rejected before append. Alerts are readable and mini-form is retained. True numeric 0/0/0 adds a 100g zero-calorie item and resets fields. Decimal P1.25/C0.5/F2.25 at quantity0.1g adds 27kcal (macros are whole ingredient totals), resets, and removal returns zero totals and disabled Save. In Edit A, typed -- is visibly retained while input.value is empty with badInput=true. Add rejects it without changing the one existing ingredient or 165kcal totals. Coverage incomplete: Nested server item errors, all field/boundary permutations, nonfinite values not natively enterable, unit variants and full create/edit matrix remain unverified.</x:v>
      </x:c>
      <x:c r="L393" s="72" t="str">
        <x:v>DEF-023</x:v>
      </x:c>
      <x:c r="M393" s="72" t="str">
        <x:v>All observed cases in this scoped run passed. Blocked means the full story matrix is incomplete, not that a new failure was reproduced. All disposable draft changes were cancelled; saved recipes and Aug27 logged meals stayed unchanged.</x:v>
      </x:c>
    </x:row>
    <x:row r="394" ht="79.19999694824219" hidden="0" customHeight="1">
      <x:c r="A394" s="72" t="str">
        <x:v>RUN-0390</x:v>
      </x:c>
      <x:c r="B394" s="72" t="str">
        <x:v>NUT-048</x:v>
      </x:c>
      <x:c r="C394" s="72" t="str">
        <x:v>Retest</x:v>
      </x:c>
      <x:c r="D394" s="72" t="str">
        <x:v>Android</x:v>
      </x:c>
      <x:c r="E394" s="72" t="str">
        <x:v>Medium_Phone API 37, emulator-5554, QA user 10</x:v>
      </x:c>
      <x:c r="F394" s="72" t="str">
        <x:v>Android 17 / API 37</x:v>
      </x:c>
      <x:c r="G394" s="72" t="str">
        <x:v>1.0.0b16</x:v>
      </x:c>
      <x:c r="H394" s="73" t="n">
        <x:v>46269.62966435185</x:v>
      </x:c>
      <x:c r="I394" s="72" t="str">
        <x:v>Blocked</x:v>
      </x:c>
      <x:c r="J394" s="72" t="str">
        <x:v>/Users/mason/.codex/visualizations/2026/09/01/01a05def-1c0d-76d1-abc6-07c63a443582/inventory/android-recipe-editor-b16-evidence.json
/Users/mason/.codex/visualizations/2026/09/01/01a05def-1c0d-76d1-abc6-07c63a443582/emulator-runs/retest/android/NUT-048-b16-blank-name-rejected.json</x:v>
      </x:c>
      <x:c r="K394" s="72" t="str">
        <x:v>With one valid unsaved 100g/0kcal ingredient, blank-name Save returns The name field is required and retains the item. No new saved recipe appeared. Live decimal totals are 27kcal/P1.25/C0.5/F2.25. Coverage incomplete: Required/min/max yield and fresh yield-1 persistence not tested in this batch; use prior build16 yield4/1-2-4 log evidence separately.</x:v>
      </x:c>
      <x:c r="L394" s="72" t="str"/>
      <x:c r="M394" s="72" t="str">
        <x:v>All observed cases in this scoped run passed. Blocked means the full story matrix is incomplete, not that a new failure was reproduced. All disposable draft changes were cancelled; saved recipes and Aug27 logged meals stayed unchanged.</x:v>
      </x:c>
    </x:row>
    <x:row r="395" ht="158.39999389648438" hidden="0" customHeight="1">
      <x:c r="A395" s="72" t="str">
        <x:v>RUN-0391</x:v>
      </x:c>
      <x:c r="B395" s="72" t="str">
        <x:v>NUT-044</x:v>
      </x:c>
      <x:c r="C395" s="72" t="str">
        <x:v>Retest</x:v>
      </x:c>
      <x:c r="D395" s="72" t="str">
        <x:v>iOS</x:v>
      </x:c>
      <x:c r="E395" s="72" t="str">
        <x:v>iPhone 17 Pro</x:v>
      </x:c>
      <x:c r="F395" s="72" t="str">
        <x:v>iOS 26.5</x:v>
      </x:c>
      <x:c r="G395" s="72" t="str">
        <x:v>1.0.0 (16)</x:v>
      </x:c>
      <x:c r="H395" s="73" t="n">
        <x:v>46269.63118979167</x:v>
      </x:c>
      <x:c r="I395" s="72" t="str">
        <x:v>Blocked</x:v>
      </x:c>
      <x:c r="J395" s="72" t="str">
        <x:v>/Users/mason/.codex/visualizations/2026/09/01/01a05def-1c0d-76d1-abc6-07c63a443582/emulator-runs/retest/ios/batch-014-case-manifest.json
/Users/mason/.codex/visualizations/2026/09/01/01a05def-1c0d-76d1-abc6-07c63a443582/emulator-runs/retest/ios/NUT-044-b16-before-cancel-auxiliary-error.png
/Users/mason/.codex/visualizations/2026/09/01/01a05def-1c0d-76d1-abc6-07c63a443582/emulator-runs/retest/ios/NUT-044-b16-reopen-clean-bottom.png
/Users/mason/.codex/visualizations/2026/09/01/01a05def-1c0d-76d1-abc6-07c63a443582/emulator-runs/retest/ios/NUT-044-b16-edit-reopen-auxiliary-clean.png</x:v>
      </x:c>
      <x:c r="K395" s="72" t="str">
        <x:v>New empty editor disabled Save. A named yield-2 draft contained two unsaved ingredients, one-character search A, unadded custom ingredient and a visible amount error. Cancel returned to the original three-recipe library; reopening reset recipe name/items, yield 1, blank search/custom name, amount 100 g, macros 0/0/0, zero totals and disabled Add/Save, with no prior local error. In saved Recipe A, an unsaved renamed/removed-item edit with search and malformed custom Fat was also cancelled. Reopening restored the original name, yield 2, QA oats 100 g and 165 kcal/P 10g/C 20g/F 5g, with clean auxiliary fields.</x:v>
      </x:c>
      <x:c r="L395" s="72" t="str">
        <x:v>DEF-007</x:v>
      </x:c>
      <x:c r="M395" s="72" t="str">
        <x:v>Original DEF-007 stale auxiliary-field failure passed on iOS. Overall story remains partial for delayed/pending search responses, debounce invalidation, populated search results, search-network errors and server recipe-form error reset. No Save or Update was submitted. Final inspector read was unavailable; native library remained visible and Buff PID 86048 was running.</x:v>
      </x:c>
    </x:row>
    <x:row r="396" ht="198" hidden="0" customHeight="1">
      <x:c r="A396" s="72" t="str">
        <x:v>RUN-0392</x:v>
      </x:c>
      <x:c r="B396" s="72" t="str">
        <x:v>NUT-047</x:v>
      </x:c>
      <x:c r="C396" s="72" t="str">
        <x:v>Retest</x:v>
      </x:c>
      <x:c r="D396" s="72" t="str">
        <x:v>iOS</x:v>
      </x:c>
      <x:c r="E396" s="72" t="str">
        <x:v>iPhone 17 Pro</x:v>
      </x:c>
      <x:c r="F396" s="72" t="str">
        <x:v>iOS 26.5</x:v>
      </x:c>
      <x:c r="G396" s="72" t="str">
        <x:v>1.0.0 (16)</x:v>
      </x:c>
      <x:c r="H396" s="73" t="n">
        <x:v>46269.63118979167</x:v>
      </x:c>
      <x:c r="I396" s="72" t="str">
        <x:v>Blocked</x:v>
      </x:c>
      <x:c r="J396" s="72" t="str">
        <x:v>/Users/mason/.codex/visualizations/2026/09/01/01a05def-1c0d-76d1-abc6-07c63a443582/emulator-runs/retest/ios/batch-014-case-manifest.json
/Users/mason/.codex/visualizations/2026/09/01/01a05def-1c0d-76d1-abc6-07c63a443582/emulator-runs/retest/ios/NUT-047-b16-protein-malformed-error.png
/Users/mason/.codex/visualizations/2026/09/01/01a05def-1c0d-76d1-abc6-07c63a443582/emulator-runs/retest/ios/NUT-047-b16-fat-blank-error.png
/Users/mason/.codex/visualizations/2026/09/01/01a05def-1c0d-76d1-abc6-07c63a443582/emulator-runs/retest/ios/NUT-047-b16-edit-malformed-fat-rejected.png
/Users/mason/.codex/visualizations/2026/09/01/01a05def-1c0d-76d1-abc6-07c63a443582/emulator-runs/retest/ios/NUT-047-b16-decimal-maximum-accepted-reset.png</x:v>
      </x:c>
      <x:c r="K396" s="72" t="str">
        <x:v>Whitespace name kept Add disabled; 121-character name and quantity 0, -1, 10000.1 and blank showed readable local guidance with no item. Each macro independently rejected blank, -1 and 1001 while retaining the mini-form. Native -- entry was blocked in Protein/Carbs creation and Fat edit; iOS showed an empty placeholder, no item and no reset. Correcting to quantity 0.1 g with actual zero macros appended a zero-calorie draft item and reset the mini-form/error. Quantity 10000 g with P 0.1/C 0.2/F 0.3 appended 4 kcal, reset correctly, and removing then re-adding it subtracted/restored exact totals. Both create and edit drafts were cancelled without saving.</x:v>
      </x:c>
      <x:c r="L396" s="72" t="str">
        <x:v>DEF-023</x:v>
      </x:c>
      <x:c r="M396" s="72" t="str">
        <x:v>Observed local DEF-023 regression cases passed, including blank values not becoming zero. Keep aggregate iOS retest Blocked: nested server item-error rendering was not forced through native UI; true nonfinite values, malformed quantity, quantity 0.01, exact 1000-macro and 120-character-name acceptance, and the full matrix in edit mode remain untested. Inspector was detached while drafts existed, so no DOM badInput/model claims or synthetic state injection.</x:v>
      </x:c>
    </x:row>
    <x:row r="397" ht="158.39999389648438" hidden="0" customHeight="1">
      <x:c r="A397" s="72" t="str">
        <x:v>RUN-0393</x:v>
      </x:c>
      <x:c r="B397" s="72" t="str">
        <x:v>NUT-048</x:v>
      </x:c>
      <x:c r="C397" s="72" t="str">
        <x:v>Retest</x:v>
      </x:c>
      <x:c r="D397" s="72" t="str">
        <x:v>iOS</x:v>
      </x:c>
      <x:c r="E397" s="72" t="str">
        <x:v>iPhone 17 Pro</x:v>
      </x:c>
      <x:c r="F397" s="72" t="str">
        <x:v>iOS 26.5</x:v>
      </x:c>
      <x:c r="G397" s="72" t="str">
        <x:v>1.0.0 (16)</x:v>
      </x:c>
      <x:c r="H397" s="73" t="n">
        <x:v>46269.63118979167</x:v>
      </x:c>
      <x:c r="I397" s="72" t="str">
        <x:v>Blocked</x:v>
      </x:c>
      <x:c r="J397" s="72" t="str">
        <x:v>/Users/mason/.codex/visualizations/2026/09/01/01a05def-1c0d-76d1-abc6-07c63a443582/emulator-runs/retest/ios/batch-014-case-manifest.json
/Users/mason/.codex/visualizations/2026/09/01/01a05def-1c0d-76d1-abc6-07c63a443582/emulator-runs/retest/ios/NUT-047-b16-decimal-maximum-accepted-reset.png
/Users/mason/.codex/visualizations/2026/09/01/01a05def-1c0d-76d1-abc6-07c63a443582/emulator-runs/retest/ios/NUT-047-b16-remove-decimal-recalculates.png
/Users/mason/.codex/visualizations/2026/09/01/01a05def-1c0d-76d1-abc6-07c63a443582/emulator-runs/retest/ios/NUT-047-b16-readd-decimal-restores.png</x:v>
      </x:c>
      <x:c r="K397" s="72" t="str">
        <x:v>Unsaved zero-macro ingredient contributed 0 kcal. Adding a second ingredient with P 0.1g/C 0.2g/F 0.3g displayed 4 kcal and exact decimal macro totals. Removing it returned totals to zero; re-adding it restored 4/P 0.1/C 0.2/F 0.3. Cancel discarded both items. Existing Recipe A edit reopened with its original 165/P 10/C 20/F 5 totals.</x:v>
      </x:c>
      <x:c r="L397" s="72" t="str"/>
      <x:c r="M397" s="72" t="str">
        <x:v>Live totals and unsaved recalculation subset only. Recipe-yield required/min/max, valid boundary saves and stored payload persistence were not exercised in this batch. No new recipe was saved. This run does not close or replace batch 013's separate DEF-095 inspector-crash evidence.</x:v>
      </x:c>
    </x:row>
    <x:row r="398" ht="198" hidden="0" customHeight="1">
      <x:c r="A398" s="72" t="str">
        <x:v>RUN-0394</x:v>
      </x:c>
      <x:c r="B398" s="72" t="str">
        <x:v>NUT-048</x:v>
      </x:c>
      <x:c r="C398" s="72" t="str">
        <x:v>Retest</x:v>
      </x:c>
      <x:c r="D398" s="72" t="str">
        <x:v>Android</x:v>
      </x:c>
      <x:c r="E398" s="72" t="str">
        <x:v>Medium_Phone API 37, emulator-5554, QA user 10</x:v>
      </x:c>
      <x:c r="F398" s="72" t="str">
        <x:v>Android 17 / API 37</x:v>
      </x:c>
      <x:c r="G398" s="72" t="str">
        <x:v>1.0.0b16</x:v>
      </x:c>
      <x:c r="H398" s="73" t="n">
        <x:v>46269.64673611111</x:v>
      </x:c>
      <x:c r="I398" s="72" t="str">
        <x:v>Passed</x:v>
      </x:c>
      <x:c r="J398" s="72" t="str">
        <x:v>/Users/mason/.codex/visualizations/2026/09/01/01a05def-1c0d-76d1-abc6-07c63a443582/inventory/android-recipe-yields-b16-evidence.json
/Users/mason/.codex/visualizations/2026/09/01/01a05def-1c0d-76d1-abc6-07c63a443582/emulator-runs/retest/android/NUT-048-b16-sum-two-totals.png
/Users/mason/.codex/visualizations/2026/09/01/01a05def-1c0d-76d1-abc6-07c63a443582/emulator-runs/retest/android/NUT-048-b16-yield-blank.png
/Users/mason/.codex/visualizations/2026/09/01/01a05def-1c0d-76d1-abc6-07c63a443582/emulator-runs/retest/android/NUT-048-b16-yield-overmax.json
/Users/mason/.codex/visualizations/2026/09/01/01a05def-1c0d-76d1-abc6-07c63a443582/emulator-runs/retest/android/NUT-049-b16-yields-after-cold.json</x:v>
      </x:c>
      <x:c r="K398" s="72" t="str">
        <x:v>Required name and yield rejected blank values while retaining the valid ingredient. Name length 121 rejected. Native yield 0/0.01 rejected with readable minimum 0.1 guidance; yield 100.1 returned visible server maximum 100 error. Corrected yields 1,0.1,100 each saved exactly one 100 g custom snapshot165 kcal/P10/C20/F5. All three complete recipe objects and the three originals compared equal across QA-only cold launch, pending 0. Fresh unsaved two-item UI check showed 165/P10/C20/F5 +4/P1/C0/F0 =169/P11/C20/F5; removing the first item returned 4/P1/C0/F0. Cancel preserved all saved recipe objects.</x:v>
      </x:c>
      <x:c r="L398" s="72" t="str"/>
      <x:c r="M398" s="72" t="str">
        <x:v>Passed the stated creation-yield/live-totals/snapshot scope. Native input and screenshots plus read-only response inspection; no component-state injection or Android database access. Only three authorized QA recipes were created. DEF-095 is an iOS diagnostic-path issue, not an Android failure.</x:v>
      </x:c>
    </x:row>
    <x:row r="399" ht="237.60000610351562" hidden="0" customHeight="1">
      <x:c r="A399" s="72" t="str">
        <x:v>RUN-0395</x:v>
      </x:c>
      <x:c r="B399" s="72" t="str">
        <x:v>NUT-049</x:v>
      </x:c>
      <x:c r="C399" s="72" t="str">
        <x:v>Retest</x:v>
      </x:c>
      <x:c r="D399" s="72" t="str">
        <x:v>Android</x:v>
      </x:c>
      <x:c r="E399" s="72" t="str">
        <x:v>Medium_Phone API 37, emulator-5554, QA user 10</x:v>
      </x:c>
      <x:c r="F399" s="72" t="str">
        <x:v>Android 17 / API 37</x:v>
      </x:c>
      <x:c r="G399" s="72" t="str">
        <x:v>1.0.0b16</x:v>
      </x:c>
      <x:c r="H399" s="73" t="n">
        <x:v>46269.64673611111</x:v>
      </x:c>
      <x:c r="I399" s="72" t="str">
        <x:v>Passed</x:v>
      </x:c>
      <x:c r="J399" s="72" t="str">
        <x:v>/Users/mason/.codex/visualizations/2026/09/01/01a05def-1c0d-76d1-abc6-07c63a443582/inventory/android-recipe-yields-b16-evidence.json
/Users/mason/.codex/visualizations/2026/09/01/01a05def-1c0d-76d1-abc6-07c63a443582/emulator-runs/retest/android/NUT-049-b16-yield1-saved.png
/Users/mason/.codex/visualizations/2026/09/01/01a05def-1c0d-76d1-abc6-07c63a443582/emulator-runs/retest/android/NUT-049-b16-yield0.1-saved.png
/Users/mason/.codex/visualizations/2026/09/01/01a05def-1c0d-76d1-abc6-07c63a443582/emulator-runs/retest/android/NUT-049-b16-yield100-saved.png
/Users/mason/.codex/visualizations/2026/09/01/01a05def-1c0d-76d1-abc6-07c63a443582/emulator-runs/retest/android/NUT-049-b16-after-save-new-defaults.json
/Users/mason/.codex/visualizations/2026/09/01/01a05def-1c0d-76d1-abc6-07c63a443582/emulator-runs/retest/android/NUT-049-b16-yields-after-cold.png</x:v>
      </x:c>
      <x:c r="K399" s="72" t="str">
        <x:v>Exactly three named QA recipes at yields 1,0.1,100 saved successfully. Each returned to the same Aug27 Recipes mode, appeared once with 165 kcal and one ingredient, and displayed its exact named success toast. New editor after Save reset blank names/search, yield 1, quantity 100 g, zero macros, no items/errors and disabled Add/Save. Complete saved snapshots and UUIDs survived QA-user-only process restart with pending 0. No meals were logged and no saved recipe was updated/deleted.</x:v>
      </x:c>
      <x:c r="L399" s="72" t="str">
        <x:v>DEF-023</x:v>
      </x:c>
      <x:c r="M399" s="72" t="str">
        <x:v>Passed the stated valid-save/date/toast/reset/list/persistence workflow. The separate invalid nested-ingredient server feedback path has not been exercised and DEF-023 remains In Progress; this valid-save pass does not close it.</x:v>
      </x:c>
    </x:row>
    <x:row r="400" ht="277.20001220703125" hidden="0" customHeight="1">
      <x:c r="A400" s="72" t="str">
        <x:v>RUN-0396</x:v>
      </x:c>
      <x:c r="B400" s="72" t="str">
        <x:v>NUT-048</x:v>
      </x:c>
      <x:c r="C400" s="72" t="str">
        <x:v>Retest</x:v>
      </x:c>
      <x:c r="D400" s="72" t="str">
        <x:v>iOS</x:v>
      </x:c>
      <x:c r="E400" s="72" t="str">
        <x:v>iPhone 17 Pro</x:v>
      </x:c>
      <x:c r="F400" s="72" t="str">
        <x:v>iOS 26.5</x:v>
      </x:c>
      <x:c r="G400" s="72" t="str">
        <x:v>1.0.0 (16)</x:v>
      </x:c>
      <x:c r="H400" s="73" t="n">
        <x:v>46269.64361775463</x:v>
      </x:c>
      <x:c r="I400" s="72" t="str">
        <x:v>Passed</x:v>
      </x:c>
      <x:c r="J400" s="72" t="str">
        <x:v>/Users/mason/.codex/visualizations/2026/09/01/01a05def-1c0d-76d1-abc6-07c63a443582/emulator-runs/retest/ios/batch-015-case-manifest.json
/Users/mason/.codex/visualizations/2026/09/01/01a05def-1c0d-76d1-abc6-07c63a443582/emulator-runs/retest/ios/batch-015-observations.json
/Users/mason/.codex/visualizations/2026/09/01/01a05def-1c0d-76d1-abc6-07c63a443582/emulator-runs/retest/ios/NUT-048-b16-blank-yield-required.png
/Users/mason/.codex/visualizations/2026/09/01/01a05def-1c0d-76d1-abc6-07c63a443582/emulator-runs/retest/ios/NUT-048-b16-maximum-yield-server-error.png
/Users/mason/.codex/visualizations/2026/09/01/01a05def-1c0d-76d1-abc6-07c63a443582/emulator-runs/retest/ios/NUT-049-b16-three-yields-cold-library.png
/Users/mason/.codex/visualizations/2026/09/01/01a05def-1c0d-76d1-abc6-07c63a443582/emulator-runs/retest/ios/batch-013-case-manifest.json
/Users/mason/.codex/visualizations/2026/09/01/01a05def-1c0d-76d1-abc6-07c63a443582/emulator-runs/retest/ios/batch-014-case-manifest.json</x:v>
      </x:c>
      <x:c r="K400" s="72" t="str">
        <x:v>One known custom ingredient at 100 g produced exact live totals 165 kcal / P 10g / C 20g / F 5g. Blank name and blank yield showed readable inline required errors. Yield 0 and 0.01 were natively rejected with minimum-0.1 guidance; 100.1 returned the readable maximum-100 error. All rejected attempts retained the same ingredient. Corrected yield 1, inclusive minimum 0.1 and inclusive maximum 100 each saved exactly one authorized QA recipe with the full known ingredient snapshot. Cold launch retained all three exact UUIDs, yields and snapshots; original recipe snapshots remained equal and Aug 28 meals stayed 492 kcal / P 29.75g / C 57.75g / F 15.75g, pending 0.</x:v>
      </x:c>
      <x:c r="L400" s="72" t="str">
        <x:v>DEF-095</x:v>
      </x:c>
      <x:c r="M400" s="72" t="str">
        <x:v>Passed the stated creation-yield/totals/snapshot scope. Current one-item boundaries and cold persistence combine with batch013's two-item saved yield4 and batch014's live add/remove decimal totals. Native-only input was used while drafts existed. DEF-095 remains Open: this success does not retest or close the separate debug-inspector crash. Product-backed recalculation and network-failure behavior are not inferred.</x:v>
      </x:c>
    </x:row>
    <x:row r="401" ht="277.20001220703125" hidden="0" customHeight="1">
      <x:c r="A401" s="72" t="str">
        <x:v>RUN-0397</x:v>
      </x:c>
      <x:c r="B401" s="72" t="str">
        <x:v>NUT-049</x:v>
      </x:c>
      <x:c r="C401" s="72" t="str">
        <x:v>Retest</x:v>
      </x:c>
      <x:c r="D401" s="72" t="str">
        <x:v>iOS</x:v>
      </x:c>
      <x:c r="E401" s="72" t="str">
        <x:v>iPhone 17 Pro</x:v>
      </x:c>
      <x:c r="F401" s="72" t="str">
        <x:v>iOS 26.5</x:v>
      </x:c>
      <x:c r="G401" s="72" t="str">
        <x:v>1.0.0 (16)</x:v>
      </x:c>
      <x:c r="H401" s="73" t="n">
        <x:v>46269.64361775463</x:v>
      </x:c>
      <x:c r="I401" s="72" t="str">
        <x:v>Passed</x:v>
      </x:c>
      <x:c r="J401" s="72" t="str">
        <x:v>/Users/mason/.codex/visualizations/2026/09/01/01a05def-1c0d-76d1-abc6-07c63a443582/emulator-runs/retest/ios/batch-015-case-manifest.json
/Users/mason/.codex/visualizations/2026/09/01/01a05def-1c0d-76d1-abc6-07c63a443582/emulator-runs/retest/ios/batch-015-observations.json
/Users/mason/.codex/visualizations/2026/09/01/01a05def-1c0d-76d1-abc6-07c63a443582/emulator-runs/retest/ios/NUT-049-b16-blank-name-required.png
/Users/mason/.codex/visualizations/2026/09/01/01a05def-1c0d-76d1-abc6-07c63a443582/emulator-runs/retest/ios/NUT-049-b16-save-reset-clean-editor.png
/Users/mason/.codex/visualizations/2026/09/01/01a05def-1c0d-76d1-abc6-07c63a443582/emulator-runs/retest/ios/NUT-049-b16-yield100-save-feedback.mov
/Users/mason/.codex/visualizations/2026/09/01/01a05def-1c0d-76d1-abc6-07c63a443582/emulator-runs/retest/ios/NUT-049-b16-yield100-toast-video-frame.png
/Users/mason/.codex/visualizations/2026/09/01/01a05def-1c0d-76d1-abc6-07c63a443582/emulator-runs/retest/ios/batch-015-toast-video-review.json</x:v>
      </x:c>
      <x:c r="K401" s="72" t="str">
        <x:v>Exactly three named iOS recipes were saved with yields 1, 0.1 and 100 after invalid attempts were rejected. Each returned to Recipes for the selected historical Aug 28 date, appeared with 165 kcal and one ingredient, and returned its exact '&lt;name&gt; saved.' flash message. Native Saving recipe… state was observed. Opening a new editor after Save reset values and prior name/yield errors. The three UUIDs and complete snapshots survived native cold close/relaunch. No meals were logged, and all original three recipes were preserved. The recorded native yield 100 save sequence visibly showed 'QA iOS yield 100 2026-09-04 saved.' over the saved list at 9.969s.</x:v>
      </x:c>
      <x:c r="L401" s="72" t="str">
        <x:v>DEF-023</x:v>
      </x:c>
      <x:c r="M401" s="72" t="str">
        <x:v>Passed the stated valid-save/date/toast/reset/list/persistence scope. The native yield100 toast is confirmed by the reviewed recording; all three named flash properties are retained in the observations. DEF-023 stays In Progress for the separate nested server item-error path; this valid-save pass does not close it. No saved recipe updates/deletions or additional meal writes.</x:v>
      </x:c>
    </x:row>
    <x:row r="402" ht="237.60000610351562" hidden="0" customHeight="1">
      <x:c r="A402" s="72" t="str">
        <x:v>RUN-0398</x:v>
      </x:c>
      <x:c r="B402" s="72" t="str">
        <x:v>NUT-056</x:v>
      </x:c>
      <x:c r="C402" s="72" t="str">
        <x:v>Retest</x:v>
      </x:c>
      <x:c r="D402" s="72" t="str">
        <x:v>Android</x:v>
      </x:c>
      <x:c r="E402" s="72" t="str">
        <x:v>Medium_Phone API 37, emulator-5554, QA user 10</x:v>
      </x:c>
      <x:c r="F402" s="72" t="str">
        <x:v>Android 17 / API 37</x:v>
      </x:c>
      <x:c r="G402" s="72" t="str">
        <x:v>1.0.0b16</x:v>
      </x:c>
      <x:c r="H402" s="73" t="n">
        <x:v>46269.65694444445</x:v>
      </x:c>
      <x:c r="I402" s="72" t="str">
        <x:v>Blocked</x:v>
      </x:c>
      <x:c r="J402" s="72" t="str">
        <x:v>/Users/mason/.codex/visualizations/2026/09/01/01a05def-1c0d-76d1-abc6-07c63a443582/inventory/android-recipe-edit-b16-evidence.json
/Users/mason/.codex/visualizations/2026/09/01/01a05def-1c0d-76d1-abc6-07c63a443582/emulator-runs/retest/android/NUT-056-b16-blank-name-error.png
/Users/mason/.codex/visualizations/2026/09/01/01a05def-1c0d-76d1-abc6-07c63a443582/emulator-runs/retest/android/NUT-056-b16-yield-max-error.png
/Users/mason/.codex/visualizations/2026/09/01/01a05def-1c0d-76d1-abc6-07c63a443582/emulator-runs/retest/android/NUT-056-b16-update-two-toast.png
/Users/mason/.codex/visualizations/2026/09/01/01a05def-1c0d-76d1-abc6-07c63a443582/emulator-runs/retest/android/NUT-056-b16-recipe-after-cold.json
/Users/mason/.codex/visualizations/2026/09/01/01a05def-1c0d-76d1-abc6-07c63a443582/emulator-runs/retest/android/NUT-056-b16-meal-after-cold.json</x:v>
      </x:c>
      <x:c r="K402" s="72" t="str">
        <x:v>Edit copied the saved name, yield and ingredient. Blank name and yield 100.1 were rejected with readable errors and retained draft data. Correcting the name and yield to 2, then adding a 4 kcal custom ingredient, updated the same UUID to 169 kcal / P11 / C20 / F5 with two exact items. The native Recipe updated. toast was visible and the Aug25 Recipes URL remained. Reopen matched those values. Removing only the added item and updating restored the original 165/P10/C20/F5 snapshot at yield2. Removing the remaining item in a later draft disabled Update; Cancel preserved the saved recipe. A QA-only cold launch preserved the complete updated recipe and original Aug25 baseline meal/day summary.</x:v>
      </x:c>
      <x:c r="L402" s="72" t="str">
        <x:v>DEF-037</x:v>
      </x:c>
      <x:c r="M402" s="72" t="str">
        <x:v>The original missing Edit-action regression passes. Aggregate story remains Blocked only for untested product-backed recalculation, nested server item-error feedback, offline update and system Back paths. One disposable QA breakfast meal added; exactly two updates to one QA recipe; no deletes, reset or Android database access.</x:v>
      </x:c>
    </x:row>
    <x:row r="403" ht="198" hidden="0" customHeight="1">
      <x:c r="A403" s="72" t="str">
        <x:v>RUN-0399</x:v>
      </x:c>
      <x:c r="B403" s="72" t="str">
        <x:v>NUT-043</x:v>
      </x:c>
      <x:c r="C403" s="72" t="str">
        <x:v>Retest</x:v>
      </x:c>
      <x:c r="D403" s="72" t="str">
        <x:v>Android</x:v>
      </x:c>
      <x:c r="E403" s="72" t="str">
        <x:v>Medium_Phone API 37, emulator-5554, QA user 10</x:v>
      </x:c>
      <x:c r="F403" s="72" t="str">
        <x:v>Android 17 / API 37</x:v>
      </x:c>
      <x:c r="G403" s="72" t="str">
        <x:v>1.0.0b16</x:v>
      </x:c>
      <x:c r="H403" s="73" t="n">
        <x:v>46269.65694444445</x:v>
      </x:c>
      <x:c r="I403" s="72" t="str">
        <x:v>Blocked</x:v>
      </x:c>
      <x:c r="J403" s="72" t="str">
        <x:v>/Users/mason/.codex/visualizations/2026/09/01/01a05def-1c0d-76d1-abc6-07c63a443582/inventory/android-recipe-edit-b16-evidence.json
/Users/mason/.codex/visualizations/2026/09/01/01a05def-1c0d-76d1-abc6-07c63a443582/emulator-runs/retest/android/NUT-056-b16-update-two-settled.png
/Users/mason/.codex/visualizations/2026/09/01/01a05def-1c0d-76d1-abc6-07c63a443582/emulator-runs/retest/android/NUT-043-b16-one-after-cold.png
/Users/mason/.codex/visualizations/2026/09/01/01a05def-1c0d-76d1-abc6-07c63a443582/emulator-runs/retest/android/NUT-056-b16-updated-two.json
/Users/mason/.codex/visualizations/2026/09/01/01a05def-1c0d-76d1-abc6-07c63a443582/emulator-runs/retest/android/NUT-056-b16-recipe-after-cold.json</x:v>
      </x:c>
      <x:c r="K403" s="72" t="str">
        <x:v>Recipes mode retained tabs, named rows, total calories, log actions, contextual Edit/Delete controls and New recipe. The dedicated QA recipe read 1 ingredient before edit, 2 ingredients after adding and saving the second item, and 1 ingredient after removing it and saving. Final singular label and recipe values persisted after cold launch; the existing two-item recipes displayed the plural correctly.</x:v>
      </x:c>
      <x:c r="L403" s="72" t="str">
        <x:v>DEF-087</x:v>
      </x:c>
      <x:c r="M403" s="72" t="str">
        <x:v>DEF-087's singular/plural regression passes. Fresh empty-library behavior was not repeated in this batch, so the complete list/empty-state story remains Blocked. All saved fixtures were preserved.</x:v>
      </x:c>
    </x:row>
    <x:row r="404" ht="158.39999389648438" hidden="0" customHeight="1">
      <x:c r="A404" s="72" t="str">
        <x:v>RUN-0400</x:v>
      </x:c>
      <x:c r="B404" s="72" t="str">
        <x:v>NUT-056</x:v>
      </x:c>
      <x:c r="C404" s="72" t="str">
        <x:v>Retest</x:v>
      </x:c>
      <x:c r="D404" s="72" t="str">
        <x:v>iOS</x:v>
      </x:c>
      <x:c r="E404" s="72" t="str">
        <x:v>iPhone 17 Pro</x:v>
      </x:c>
      <x:c r="F404" s="72" t="str">
        <x:v>iOS 26.5</x:v>
      </x:c>
      <x:c r="G404" s="72" t="str">
        <x:v>1.0.0 (16)</x:v>
      </x:c>
      <x:c r="H404" s="73" t="n">
        <x:v>46269.65554399305</x:v>
      </x:c>
      <x:c r="I404" s="72" t="str">
        <x:v>Failed</x:v>
      </x:c>
      <x:c r="J404" s="72" t="str">
        <x:v>/Users/mason/.codex/visualizations/2026/09/01/01a05def-1c0d-76d1-abc6-07c63a443582/emulator-runs/retest/ios/batch-016-case-manifest.json
/Users/mason/.codex/visualizations/2026/09/01/01a05def-1c0d-76d1-abc6-07c63a443582/emulator-runs/retest/ios/batch-016-observations.json
/Users/mason/.codex/visualizations/2026/09/01/01a05def-1c0d-76d1-abc6-07c63a443582/emulator-runs/retest/ios/NUT-056-b16-post-cold-inspector-home.png
/Users/mason/Library/Logs/DiagnosticReports/NativePHP-simulator-2026-09-04-164406.ips</x:v>
      </x:c>
      <x:c r="K404" s="72" t="str">
        <x:v>Build16 recurrence on saved Today Aug26: read-only WIR completed at 15:43:58.958 UTC; PID33475 crashed at 15:43:59.0016 UTC, approximately44ms later. No unsaved draft existed and no saved data was lost. The crash report records EXC_BAD_ACCESS/KERN_PROTECTION_FAILURE (exception signal SIGILL; termination indicator Bus error:10), on com.apple.JavaScriptCore.remote-inspector-xpc. Frames include CFGetTypeID, recursive __writeObject15, _CFXPCCreateXPCMessageWithCFObject, RemoteInspectorXPCConnection::sendMessage and RemoteInspector::pushListingsNow. This is a different exception signature from the first SIGABRT, grouped by the same inspector-listing/XPC subsystem; the precise upstream cause remains unknown. Native-only relaunch and remaining edits/Cancel passed; no further WIR was used.</x:v>
      </x:c>
      <x:c r="L404" s="72" t="str">
        <x:v>DEF-095</x:v>
      </x:c>
      <x:c r="M404" s="72" t="str">
        <x:v>Diagnostic-path failure recorded independently of the saved recipe feature. Subsequent scoped functional completion is logged separately and does not close DEF-095. No PHP/recipe root cause is established.</x:v>
      </x:c>
    </x:row>
    <x:row r="405" ht="158.39999389648438" hidden="0" customHeight="1">
      <x:c r="A405" s="72" t="str">
        <x:v>RUN-0401</x:v>
      </x:c>
      <x:c r="B405" s="72" t="str">
        <x:v>NUT-056</x:v>
      </x:c>
      <x:c r="C405" s="72" t="str">
        <x:v>Retest</x:v>
      </x:c>
      <x:c r="D405" s="72" t="str">
        <x:v>iOS</x:v>
      </x:c>
      <x:c r="E405" s="72" t="str">
        <x:v>iPhone 17 Pro</x:v>
      </x:c>
      <x:c r="F405" s="72" t="str">
        <x:v>iOS 26.5</x:v>
      </x:c>
      <x:c r="G405" s="72" t="str">
        <x:v>1.0.0 (16)</x:v>
      </x:c>
      <x:c r="H405" s="73" t="n">
        <x:v>46269.660205162036</x:v>
      </x:c>
      <x:c r="I405" s="72" t="str">
        <x:v>Blocked</x:v>
      </x:c>
      <x:c r="J405" s="72" t="str">
        <x:v>/Users/mason/.codex/visualizations/2026/09/01/01a05def-1c0d-76d1-abc6-07c63a443582/emulator-runs/retest/ios/batch-016-case-manifest.json
/Users/mason/.codex/visualizations/2026/09/01/01a05def-1c0d-76d1-abc6-07c63a443582/emulator-runs/retest/ios/batch-016-observations.json
/Users/mason/.codex/visualizations/2026/09/01/01a05def-1c0d-76d1-abc6-07c63a443582/emulator-runs/retest/ios/NUT-056-b16-update169-toast.png
/Users/mason/.codex/visualizations/2026/09/01/01a05def-1c0d-76d1-abc6-07c63a443582/emulator-runs/retest/ios/NUT-056-b16-cancel-restored-prefill.png</x:v>
      </x:c>
      <x:c r="K405" s="72" t="str">
        <x:v>Edit prefilled the reserved recipe's name, yield 1 and exact 100 g / 165 kcal ingredient. Blank name and yield 100.1 were rejected with readable server errors and no saved change. Corrected name QA iOS edit 2026-09-04, yield 2 and a 4 kcal protein ingredient saved the same UUID with 169 kcal / P 11g / C 20g / F 5g. Recipe updated. was visibly captured; date stayed Aug 26 and the refreshed list showed two ingredients. The full updated object survived native cold launch. A second update removed only the added ingredient and restored 165 / 10 / 20 / 5, keeping name/yield/UUID. A name/yield/item-removal draft was cancelled; reopening restored saved values. The single baseline meal retained its original full snapshot and all other scoped recipes remained exact. Final sync pending 0.</x:v>
      </x:c>
      <x:c r="L405" s="72" t="str">
        <x:v>DEF-037, DEF-095</x:v>
      </x:c>
      <x:c r="M405" s="72" t="str">
        <x:v>Original DEF-037 edit-capability regression passed. Aggregate remains partial for product-backed recalculation, invalid nested ingredient server feedback, offline update and Back/network branches. Independent DEF-095 inspector-path crash recurred on saved Today after cold launch with no unsaved draft or data loss; all remaining checks avoided WIR. The first updated two-item state passed exact cold persistence; final one-item state passed reopened UI and DB equality after Cancel, without a second cold launch.</x:v>
      </x:c>
    </x:row>
    <x:row r="406" ht="158.39999389648438" hidden="0" customHeight="1">
      <x:c r="A406" s="72" t="str">
        <x:v>RUN-0402</x:v>
      </x:c>
      <x:c r="B406" s="72" t="str">
        <x:v>NUT-043</x:v>
      </x:c>
      <x:c r="C406" s="72" t="str">
        <x:v>Retest</x:v>
      </x:c>
      <x:c r="D406" s="72" t="str">
        <x:v>iOS</x:v>
      </x:c>
      <x:c r="E406" s="72" t="str">
        <x:v>iPhone 17 Pro</x:v>
      </x:c>
      <x:c r="F406" s="72" t="str">
        <x:v>iOS 26.5</x:v>
      </x:c>
      <x:c r="G406" s="72" t="str">
        <x:v>1.0.0 (16)</x:v>
      </x:c>
      <x:c r="H406" s="73" t="n">
        <x:v>46269.660205162036</x:v>
      </x:c>
      <x:c r="I406" s="72" t="str">
        <x:v>Blocked</x:v>
      </x:c>
      <x:c r="J406" s="72" t="str">
        <x:v>/Users/mason/.codex/visualizations/2026/09/01/01a05def-1c0d-76d1-abc6-07c63a443582/emulator-runs/retest/ios/batch-016-case-manifest.json
/Users/mason/.codex/visualizations/2026/09/01/01a05def-1c0d-76d1-abc6-07c63a443582/emulator-runs/retest/ios/NUT-043-b16-pre-edit-one-ingredient.png
/Users/mason/.codex/visualizations/2026/09/01/01a05def-1c0d-76d1-abc6-07c63a443582/emulator-runs/retest/ios/NUT-043-b16-cold-two-ingredients.png
/Users/mason/.codex/visualizations/2026/09/01/01a05def-1c0d-76d1-abc6-07c63a443582/emulator-runs/retest/ios/NUT-056-b16-update165-toast.png</x:v>
      </x:c>
      <x:c r="K406" s="72" t="str">
        <x:v>Native saved-list metadata correctly changed 165 kcal · 1 ingredient → 169 kcal · 2 ingredients → 165 kcal · 1 ingredient as the same recipe was updated. The two-item label persisted after native relaunch. All foods / Recipes tabs, New recipe, recipe log rows and Edit/Delete controls remained present; edited recipe retained its created-order position.</x:v>
      </x:c>
      <x:c r="L406" s="72" t="str">
        <x:v>DEF-087</x:v>
      </x:c>
      <x:c r="M406" s="72" t="str">
        <x:v>DEF-087 original singular-count defect passed for one and two saved items before/after Update. Fresh empty-library action/copy and zero-item list branch were not exercised on build 16; existing QA recipes were preserved. No broad empty/list-state pass is claimed.</x:v>
      </x:c>
    </x:row>
    <x:row r="407" ht="356.3999938964844" hidden="0" customHeight="1">
      <x:c r="A407" s="72" t="str">
        <x:v>RUN-0403</x:v>
      </x:c>
      <x:c r="B407" s="72" t="str">
        <x:v>NUT-040</x:v>
      </x:c>
      <x:c r="C407" s="72" t="str">
        <x:v>Retest</x:v>
      </x:c>
      <x:c r="D407" s="72" t="str">
        <x:v>Android</x:v>
      </x:c>
      <x:c r="E407" s="72" t="str">
        <x:v>Medium_Phone API37, emulator-5554, QA user10</x:v>
      </x:c>
      <x:c r="F407" s="72" t="str">
        <x:v>Android17/API37</x:v>
      </x:c>
      <x:c r="G407" s="72" t="str">
        <x:v>1.0.0b16</x:v>
      </x:c>
      <x:c r="H407" s="73" t="n">
        <x:v>46269.673263888886</x:v>
      </x:c>
      <x:c r="I407" s="72" t="str">
        <x:v>Failed</x:v>
      </x:c>
      <x:c r="J407" s="72" t="str">
        <x:v>/Users/mason/.codex/visualizations/2026/09/01/01a05def-1c0d-76d1-abc6-07c63a443582/inventory/android-custom-food-b16-evidence.json
/Users/mason/.codex/visualizations/2026/09/01/01a05def-1c0d-76d1-abc6-07c63a443582/emulator-runs/retest/android/NUT-040-b16-blank-name-visible.png
/Users/mason/.codex/visualizations/2026/09/01/01a05def-1c0d-76d1-abc6-07c63a443582/emulator-runs/retest/android/NUT-040-b16-long-name-returned-top.png
/Users/mason/.codex/visualizations/2026/09/01/01a05def-1c0d-76d1-abc6-07c63a443582/emulator-runs/retest/android/NUT-040-b16-portion-high-visible.png
/Users/mason/.codex/visualizations/2026/09/01/01a05def-1c0d-76d1-abc6-07c63a443582/emulator-runs/retest/android/NUT-040-b16-all-macro-errors-visible.png
/Users/mason/.codex/visualizations/2026/09/01/01a05def-1c0d-76d1-abc6-07c63a443582/emulator-runs/retest/android/NUT-040-b16-protein-error-cleared.png
/Users/mason/.codex/visualizations/2026/09/01/01a05def-1c0d-76d1-abc6-07c63a443582/emulator-runs/retest/android/NUT-040-b16-protein-error-cleared.json
/Users/mason/.codex/visualizations/2026/09/01/01a05def-1c0d-76d1-abc6-07c63a443582/emulator-runs/retest/android/NUT-040-b16-carbs-error-cleared.json
/Users/mason/.codex/visualizations/2026/09/01/01a05def-1c0d-76d1-abc6-07c63a443582/emulator-runs/retest/android/NUT-040-b16-all-macro-errors-cleared.json</x:v>
      </x:c>
      <x:c r="K407" s="72" t="str">
        <x:v>Blank/121-character names, quantity10001 and all three macros1001 were rejected with retained values and correct inline messages. Correcting Protein45 cleared only its error; Carbs50 left only Fat; Fat12 cleared all errors and restored488kcal preview. Quantity0 and Protein-1 showed native rangeUnderflow when inspected, without submission. One later corrected meal was saved. DEF022's missing macro-error regression passes on Android. However, every rejected server submission jumped above the form, requiring manual scroll to discover errors (new DEF097).</x:v>
      </x:c>
      <x:c r="L407" s="72" t="str">
        <x:v>DEF-022, DEF-097</x:v>
      </x:c>
      <x:c r="M407" s="72" t="str">
        <x:v>Failure is the newly confirmed validation-scroll issue, not a recurrence of absent macro-error markup. Native negative Carbs/Fat submission and a successful blank-macro-to-zero save remain untested; unsupported units are not selectable normally. DEF097 is now fixed in source only, not this installed build.</x:v>
      </x:c>
    </x:row>
    <x:row r="408" ht="277.20001220703125" hidden="0" customHeight="1">
      <x:c r="A408" s="72" t="str">
        <x:v>RUN-0404</x:v>
      </x:c>
      <x:c r="B408" s="72" t="str">
        <x:v>NUT-039</x:v>
      </x:c>
      <x:c r="C408" s="72" t="str">
        <x:v>Retest</x:v>
      </x:c>
      <x:c r="D408" s="72" t="str">
        <x:v>Android</x:v>
      </x:c>
      <x:c r="E408" s="72" t="str">
        <x:v>Medium_Phone API37, emulator-5554, QA user10</x:v>
      </x:c>
      <x:c r="F408" s="72" t="str">
        <x:v>Android17/API37</x:v>
      </x:c>
      <x:c r="G408" s="72" t="str">
        <x:v>1.0.0b16</x:v>
      </x:c>
      <x:c r="H408" s="73" t="n">
        <x:v>46269.673263888886</x:v>
      </x:c>
      <x:c r="I408" s="72" t="str">
        <x:v>Failed</x:v>
      </x:c>
      <x:c r="J408" s="72" t="str">
        <x:v>/Users/mason/.codex/visualizations/2026/09/01/01a05def-1c0d-76d1-abc6-07c63a443582/inventory/android-custom-food-b16-evidence.json
/Users/mason/.codex/visualizations/2026/09/01/01a05def-1c0d-76d1-abc6-07c63a443582/emulator-runs/retest/android/NUT-039-b16-custom488-ready.png
/Users/mason/.codex/visualizations/2026/09/01/01a05def-1c0d-76d1-abc6-07c63a443582/emulator-runs/retest/android/NUT-039-b16-custom488-save.png
/Users/mason/.codex/visualizations/2026/09/01/01a05def-1c0d-76d1-abc6-07c63a443582/emulator-runs/retest/android/NUT-039-b16-custom488-saved.json
/Users/mason/.codex/visualizations/2026/09/01/01a05def-1c0d-76d1-abc6-07c63a443582/emulator-runs/retest/android/NUT-039-b16-custom488-settled.png
/Users/mason/.codex/visualizations/2026/09/01/01a05def-1c0d-76d1-abc6-07c63a443582/emulator-runs/retest/android/NUT-039-b16-custom488-after-cold.png
/Users/mason/.codex/visualizations/2026/09/01/01a05def-1c0d-76d1-abc6-07c63a443582/emulator-runs/retest/android/NUT-039-b16-custom488-after-cold.json</x:v>
      </x:c>
      <x:c r="K408" s="72" t="str">
        <x:v>From an empty Aug23, entered a named350g custom food with P45/C50/F12 and Breakfast. The preview calculated488kcal; exactly one custom meal saved to dated Today with all values exact and pending0. The complete saved day summary survived QA-only cold launch. Page flash was Custom food added.; native toast visibility was not captured. Native Today showed persistent cropped date/duplicate calorie-ring fragments after save and cold launch, so the complete visual result fails for existing DEF091.</x:v>
      </x:c>
      <x:c r="L408" s="72" t="str">
        <x:v>DEF-091</x:v>
      </x:c>
      <x:c r="M408" s="72" t="str">
        <x:v>No duplicate food records or calculation error was found. One disposable meal was added; no records removed and no Android database access. Existing Sep4 food500/workouts247 remained visible. Success-toast native visibility is a remaining gap, not a proven missing-toast defect.</x:v>
      </x:c>
    </x:row>
    <x:row r="409" ht="158.39999389648438" hidden="0" customHeight="1">
      <x:c r="A409" s="72" t="str">
        <x:v>RUN-0405</x:v>
      </x:c>
      <x:c r="B409" s="72" t="str">
        <x:v>NUT-040</x:v>
      </x:c>
      <x:c r="C409" s="72" t="str">
        <x:v>Retest</x:v>
      </x:c>
      <x:c r="D409" s="72" t="str">
        <x:v>Android</x:v>
      </x:c>
      <x:c r="E409" s="72" t="str">
        <x:v>Medium_Phone emulator-5554 QA user10</x:v>
      </x:c>
      <x:c r="F409" s="72" t="str">
        <x:v>Android17/API37</x:v>
      </x:c>
      <x:c r="G409" s="72" t="str">
        <x:v>1.0.0b17</x:v>
      </x:c>
      <x:c r="H409" s="73" t="n">
        <x:v>46269.68916148148</x:v>
      </x:c>
      <x:c r="I409" s="72" t="str">
        <x:v>Blocked</x:v>
      </x:c>
      <x:c r="J409" s="72" t="str">
        <x:v>/Users/mason/.codex/visualizations/2026/09/01/01a05def-1c0d-76d1-abc6-07c63a443582/inventory/android-custom-scroll-b17-evidence.json
/Users/mason/.codex/visualizations/2026/09/01/01a05def-1c0d-76d1-abc6-07c63a443582/inventory/android-build17-install-provenance.json
/Users/mason/.codex/visualizations/2026/09/01/01a05def-1c0d-76d1-abc6-07c63a443582/emulator-runs/retest/android/DEF-097-b17-blank-after.png
/Users/mason/.codex/visualizations/2026/09/01/01a05def-1c0d-76d1-abc6-07c63a443582/emulator-runs/retest/android/DEF-097-b17-macros-after.png</x:v>
      </x:c>
      <x:c r="K409" s="72" t="str">
        <x:v>DEF097 regression passes: blank name,121-character name,quantity10001 and all macros1001 retain scroll exactly and show errors without manual scrolling. Each corrected macro clears only its error (3→2→1→0). Corrected100g/P10/C20/F5 saves once as165kcal Dinner Aug23 and returns to dated Today at scrollY0. Existing488kcal Breakfast unchanged; no rejected input saved. Whole NUT040 is not marked Passed because remaining complete-story boundary/unit coverage has not been rerun on build17.</x:v>
      </x:c>
      <x:c r="L409" s="72" t="str">
        <x:v>DEF-097</x:v>
      </x:c>
      <x:c r="M409" s="72" t="str">
        <x:v>Android-only DEF097 may close narrowly. Shared photo-review callback has automated coverage, not native execution in this batch. iOS remains paused, not covered by this run.</x:v>
      </x:c>
    </x:row>
    <x:row r="410" ht="237.60000610351562" hidden="0" customHeight="1">
      <x:c r="A410" s="72" t="str">
        <x:v>RUN-0406</x:v>
      </x:c>
      <x:c r="B410" s="72" t="str">
        <x:v>NUT-039</x:v>
      </x:c>
      <x:c r="C410" s="72" t="str">
        <x:v>Retest</x:v>
      </x:c>
      <x:c r="D410" s="72" t="str">
        <x:v>Android</x:v>
      </x:c>
      <x:c r="E410" s="72" t="str">
        <x:v>Medium_Phone emulator-5554 QA user10</x:v>
      </x:c>
      <x:c r="F410" s="72" t="str">
        <x:v>Android17/API37</x:v>
      </x:c>
      <x:c r="G410" s="72" t="str">
        <x:v>1.0.0b17</x:v>
      </x:c>
      <x:c r="H410" s="73" t="n">
        <x:v>46269.68917371528</x:v>
      </x:c>
      <x:c r="I410" s="72" t="str">
        <x:v>Failed</x:v>
      </x:c>
      <x:c r="J410" s="72" t="str">
        <x:v>/Users/mason/.codex/visualizations/2026/09/01/01a05def-1c0d-76d1-abc6-07c63a443582/inventory/android-custom-scroll-b17-evidence.json
/Users/mason/.codex/visualizations/2026/09/01/01a05def-1c0d-76d1-abc6-07c63a443582/inventory/android-build17-install-provenance.json
/Users/mason/.codex/visualizations/2026/09/01/01a05def-1c0d-76d1-abc6-07c63a443582/emulator-runs/retest/android/DEF-097-b17-saved.json
/Users/mason/.codex/visualizations/2026/09/01/01a05def-1c0d-76d1-abc6-07c63a443582/emulator-runs/retest/android/DEF-097-b17-saved.png
/Users/mason/.codex/visualizations/2026/09/01/01a05def-1c0d-76d1-abc6-07c63a443582/emulator-runs/retest/android/DEF-097-b17-preupdate-summary.json
/Users/mason/.codex/visualizations/2026/09/01/01a05def-1c0d-76d1-abc6-07c63a443582/emulator-runs/retest/android/DEF-097-b17-postupdate-summary.json</x:v>
      </x:c>
      <x:c r="K410" s="72" t="str">
        <x:v>Calculation and save pass: one165kcal custom Dinner (100g,P10,C20,F5) joins unchanged488kcal Breakfast on Aug23, totals653/P55/C70/F17, pending sync0. Date navigation resets scroll to0. Native Today still shows cropped date and duplicate calorie-ring fragments (DEF091). Complete pre-update Aug23 summary matched after update before the new save.</x:v>
      </x:c>
      <x:c r="L410" s="72" t="str">
        <x:v>DEF-091</x:v>
      </x:c>
      <x:c r="M410" s="72" t="str">
        <x:v>No post-save build17 cold launch performed. Existing build16 cold-persistence evidence is preserved. Native confirmation toast not captured; server flash is present. No full database equality claimed.</x:v>
      </x:c>
    </x:row>
    <x:row r="411" ht="158.39999389648438" hidden="0" customHeight="1">
      <x:c r="A411" s="72" t="str">
        <x:v>RUN-0407</x:v>
      </x:c>
      <x:c r="B411" s="72" t="str">
        <x:v>NUT-039</x:v>
      </x:c>
      <x:c r="C411" s="72" t="str">
        <x:v>Retest</x:v>
      </x:c>
      <x:c r="D411" s="72" t="str">
        <x:v>Android</x:v>
      </x:c>
      <x:c r="E411" s="72" t="str">
        <x:v>Medium_Phone emulator-5554 QA user10</x:v>
      </x:c>
      <x:c r="F411" s="72" t="str">
        <x:v>Android17/API37</x:v>
      </x:c>
      <x:c r="G411" s="72" t="str">
        <x:v>1.0.0b17</x:v>
      </x:c>
      <x:c r="H411" s="73" t="n">
        <x:v>46269.692856932874</x:v>
      </x:c>
      <x:c r="I411" s="72" t="str">
        <x:v>Failed</x:v>
      </x:c>
      <x:c r="J411" s="72" t="str">
        <x:v>/Users/mason/.codex/visualizations/2026/09/01/01a05def-1c0d-76d1-abc6-07c63a443582/emulator-runs/retest/android/NUT-039-b17-cold-before.json
/Users/mason/.codex/visualizations/2026/09/01/01a05def-1c0d-76d1-abc6-07c63a443582/emulator-runs/retest/android/NUT-039-b17-cold-aug23.json
/Users/mason/.codex/visualizations/2026/09/01/01a05def-1c0d-76d1-abc6-07c63a443582/emulator-runs/retest/android/NUT-039-b17-cold-aug23.png
/Users/mason/.codex/visualizations/2026/09/01/01a05def-1c0d-76d1-abc6-07c63a443582/inventory/android-build17-install-provenance.json</x:v>
      </x:c>
      <x:c r="K411" s="72" t="str">
        <x:v>RUN-0407: Complete 2026-08-23 summary independently deep-compared equal before and after build17 cold launch. Both meals retain exact IDs, portions and macros: Breakfast 488 kcal P45/C50/F12 and Dinner 165 kcal P10/C20/F5, total 653 kcal P55/C70/F17. Goal, empty workouts and streak also match. Native screenshot still shows a clipped upper-left date and duplicated calorie-ring fragments. Data persistence passes; native rendering fails under DEF-091.</x:v>
      </x:c>
      <x:c r="L411" s="72" t="str">
        <x:v>DEF-091</x:v>
      </x:c>
      <x:c r="M411" s="72" t="str">
        <x:v>Expected: the saved dated summary survives cold launch and renders one coherent Today view. Only the correct cold-before and cold-aug23 summary objects were compared; transient flash and sync timestamps excluded. Existing capture independently reviewed on 2026-09-05. No protected database export or byte-for-byte database equality claimed.</x:v>
      </x:c>
    </x:row>
    <x:row r="412" ht="158.39999389648438" hidden="0" customHeight="1">
      <x:c r="A412" s="72" t="str">
        <x:v>RUN-0408</x:v>
      </x:c>
      <x:c r="B412" s="72" t="str">
        <x:v>NUT-039</x:v>
      </x:c>
      <x:c r="C412" s="72" t="str">
        <x:v>Retest</x:v>
      </x:c>
      <x:c r="D412" s="72" t="str">
        <x:v>Android</x:v>
      </x:c>
      <x:c r="E412" s="72" t="str">
        <x:v>Medium_Phone emulator-5554 QA user10</x:v>
      </x:c>
      <x:c r="F412" s="72" t="str">
        <x:v>Android17/API37</x:v>
      </x:c>
      <x:c r="G412" s="72" t="str">
        <x:v>1.0.0b17</x:v>
      </x:c>
      <x:c r="H412" s="73" t="n">
        <x:v>46270.57336165509</x:v>
      </x:c>
      <x:c r="I412" s="72" t="str">
        <x:v>Failed</x:v>
      </x:c>
      <x:c r="J412" s="72" t="str">
        <x:v>/Users/mason/.codex/visualizations/2026/09/01/01a05def-1c0d-76d1-abc6-07c63a443582/inventory/def091-renderer-comparison-b17.json
/Users/mason/.codex/visualizations/2026/09/01/01a05def-1c0d-76d1-abc6-07c63a443582/emulator-runs/retest/android/DEF-091-lavapipe-aug23.png
/Users/mason/.codex/visualizations/2026/09/01/01a05def-1c0d-76d1-abc6-07c63a443582/emulator-runs/retest/android/DEF-091-swiftshader-aug23.png
/Users/mason/.codex/visualizations/2026/09/01/01a05def-1c0d-76d1-abc6-07c63a443582/emulator-runs/retest/android/DEF-091-lavapipe-return-aug23.png</x:v>
      </x:c>
      <x:c r="K412" s="72" t="str">
        <x:v>Lavapipe and SwiftShader render the correct653kcal Aug23 data with a clipped date and duplicate ring strips. Lavapipe fails again after an intervening clean host-GPU run. Full summaries, both meal IDs/macros, APK hash and provider remain identical. DEF091 reproduced before inspector attachment on first launches.</x:v>
      </x:c>
      <x:c r="L412" s="72" t="str">
        <x:v>DEF-091</x:v>
      </x:c>
      <x:c r="M412" s="72" t="str">
        <x:v>Expected: one coherent Today view after launch/date navigation. Renderer experiment groups three failing samples; detailed metadata and state paths are in the comparison report. This is not a fresh custom-food save test.</x:v>
      </x:c>
    </x:row>
    <x:row r="413" ht="264" hidden="0" customHeight="1">
      <x:c r="A413" s="72" t="str">
        <x:v>RUN-0409</x:v>
      </x:c>
      <x:c r="B413" s="72" t="str">
        <x:v>NUT-039</x:v>
      </x:c>
      <x:c r="C413" s="72" t="str">
        <x:v>Retest</x:v>
      </x:c>
      <x:c r="D413" s="72" t="str">
        <x:v>Android</x:v>
      </x:c>
      <x:c r="E413" s="72" t="str">
        <x:v>Medium_Phone emulator-5554 QA user10</x:v>
      </x:c>
      <x:c r="F413" s="72" t="str">
        <x:v>Android17/API37</x:v>
      </x:c>
      <x:c r="G413" s="72" t="str">
        <x:v>1.0.0b17</x:v>
      </x:c>
      <x:c r="H413" s="73" t="n">
        <x:v>46270.57666407408</x:v>
      </x:c>
      <x:c r="I413" s="72" t="str">
        <x:v>Blocked</x:v>
      </x:c>
      <x:c r="J413" s="72" t="str">
        <x:v>/Users/mason/.codex/visualizations/2026/09/01/01a05def-1c0d-76d1-abc6-07c63a443582/inventory/def091-renderer-comparison-b17.json
/Users/mason/.codex/visualizations/2026/09/01/01a05def-1c0d-76d1-abc6-07c63a443582/emulator-runs/retest/android/DEF-091-host-aug23.png
/Users/mason/.codex/visualizations/2026/09/01/01a05def-1c0d-76d1-abc6-07c63a443582/emulator-runs/retest/android/DEF-091-host-scrolled.png
/Users/mason/.codex/visualizations/2026/09/01/01a05def-1c0d-76d1-abc6-07c63a443582/emulator-runs/retest/android/DEF-091-host-meal-detail.png
/Users/mason/.codex/visualizations/2026/09/01/01a05def-1c0d-76d1-abc6-07c63a443582/emulator-runs/retest/android/DEF-091-host-final-aug23.png
/Users/mason/.codex/visualizations/2026/09/01/01a05def-1c0d-76d1-abc6-07c63a443582/emulator-runs/retest/android/DEF-091-host-final-summary.json
/Users/mason/.codex/visualizations/2026/09/01/01a05def-1c0d-76d1-abc6-07c63a443582/inventory/def091-host-final-metadata.json</x:v>
      </x:c>
      <x:c r="K413" s="72" t="str">
        <x:v>Host-GPU workaround passes native rendering checks: full date, single calorie ring, correctly ordered meal groups on scroll and a clean meal-detail overlay. A second cold emulator launch using saved hw.gpu.mode=host stays clean. Complete Aug23 summary and both meals remain exact, pending sync0. NUT039 remains Blocked for a fresh save/toast, remaining g/ml cases and complete iOS coverage.</x:v>
      </x:c>
      <x:c r="L413" s="72" t="str">
        <x:v>DEF-091</x:v>
      </x:c>
      <x:c r="M413" s="72" t="str">
        <x:v>Expected: correct saved data and coherent native rendering survive reboot. Local AVD changed only auto to host. DEF091 stays Open for the software-renderer failure; no app-code fix or universal story pass claimed.</x:v>
      </x:c>
    </x:row>
    <x:row r="414" ht="237.60000610351562" hidden="0" customHeight="1">
      <x:c r="A414" s="72" t="str">
        <x:v>RUN-0410</x:v>
      </x:c>
      <x:c r="B414" s="72" t="str">
        <x:v>NUT-039</x:v>
      </x:c>
      <x:c r="C414" s="72" t="str">
        <x:v>Retest</x:v>
      </x:c>
      <x:c r="D414" s="72" t="str">
        <x:v>iOS</x:v>
      </x:c>
      <x:c r="E414" s="72" t="str">
        <x:v>iPhone 17 Pro QA B5DFD1FE-B554-4A7D-996B-BF8F952B2C33</x:v>
      </x:c>
      <x:c r="F414" s="72" t="str">
        <x:v>iOS 26.5</x:v>
      </x:c>
      <x:c r="G414" s="72" t="str">
        <x:v>1.0.0b16</x:v>
      </x:c>
      <x:c r="H414" s="73" t="n">
        <x:v>46270.587869537034</x:v>
      </x:c>
      <x:c r="I414" s="72" t="str">
        <x:v>Failed</x:v>
      </x:c>
      <x:c r="J414" s="72" t="str">
        <x:v>/Users/mason/.codex/visualizations/2026/09/01/01a05def-1c0d-76d1-abc6-07c63a443582/emulator-runs/retest/ios/NUT-039-b16-aug22-before.png
/Users/mason/.codex/visualizations/2026/09/01/01a05def-1c0d-76d1-abc6-07c63a443582/emulator-runs/retest/ios/NUT-039-b16-grams-ready.png
/Users/mason/.codex/visualizations/2026/09/01/01a05def-1c0d-76d1-abc6-07c63a443582/emulator-runs/retest/ios/NUT-039-b16-grams-save.mov
/Users/mason/.codex/visualizations/2026/09/01/01a05def-1c0d-76d1-abc6-07c63a443582/emulator-runs/retest/ios/NUT-039-b16-grams-saved.png
/Users/mason/.codex/visualizations/2026/09/01/01a05def-1c0d-76d1-abc6-07c63a443582/emulator-runs/retest/ios/NUT-039-b16-grams-toast-settled.png
/Users/mason/.codex/visualizations/2026/09/01/01a05def-1c0d-76d1-abc6-07c63a443582/inventory/ios-pro-build16-install-provenance.json</x:v>
      </x:c>
      <x:c r="K414" s="72" t="str">
        <x:v>Starting from empty 22 August, entered QA grams 0905, 350g, P45/C50/F12 and Breakfast. Preview was 488 kcal. One tap showed Adding meal, then returned to the correct dated Today with one Breakfast row and totals488/P45/C50/F12,1612 remaining of2100. The success toast appeared but the native banner clipped its lower portion after settling (11.0s frame). DEF098 recorded.</x:v>
      </x:c>
      <x:c r="L414" s="72" t="str">
        <x:v>DEF-098</x:v>
      </x:c>
      <x:c r="M414" s="72" t="str">
        <x:v>Expected: 4/4/9 arithmetic, selected date/type/unit, one saved row, updated totals and fully readable confirmation. Calculation/save passed; toast visibility failed. No cold relaunch or ID-level persistence claim.</x:v>
      </x:c>
    </x:row>
    <x:row r="415" ht="198" hidden="0" customHeight="1">
      <x:c r="A415" s="72" t="str">
        <x:v>RUN-0411</x:v>
      </x:c>
      <x:c r="B415" s="72" t="str">
        <x:v>NUT-039</x:v>
      </x:c>
      <x:c r="C415" s="72" t="str">
        <x:v>Retest</x:v>
      </x:c>
      <x:c r="D415" s="72" t="str">
        <x:v>iOS</x:v>
      </x:c>
      <x:c r="E415" s="72" t="str">
        <x:v>iPhone 17 Pro QA B5DFD1FE-B554-4A7D-996B-BF8F952B2C33</x:v>
      </x:c>
      <x:c r="F415" s="72" t="str">
        <x:v>iOS 26.5</x:v>
      </x:c>
      <x:c r="G415" s="72" t="str">
        <x:v>1.0.0b16</x:v>
      </x:c>
      <x:c r="H415" s="73" t="n">
        <x:v>46270.61788711805</x:v>
      </x:c>
      <x:c r="I415" s="72" t="str">
        <x:v>Blocked</x:v>
      </x:c>
      <x:c r="J415" s="72" t="str">
        <x:v>/Users/mason/.codex/visualizations/2026/09/01/01a05def-1c0d-76d1-abc6-07c63a443582/emulator-runs/retest/ios/NUT-039-b16-ml-ready.png
/Users/mason/.codex/visualizations/2026/09/01/01a05def-1c0d-76d1-abc6-07c63a443582/emulator-runs/retest/ios/NUT-039-b16-ml-save.mov
/Users/mason/.codex/visualizations/2026/09/01/01a05def-1c0d-76d1-abc6-07c63a443582/emulator-runs/retest/ios/NUT-039-b16-ml-saved.png
/Users/mason/.codex/visualizations/2026/09/01/01a05def-1c0d-76d1-abc6-07c63a443582/emulator-runs/retest/ios/NUT-039-b16-ml-toast-settled.png
/Users/mason/.codex/visualizations/2026/09/01/01a05def-1c0d-76d1-abc6-07c63a443582/inventory/ios-pro-build16-install-provenance.json</x:v>
      </x:c>
      <x:c r="K415" s="72" t="str">
        <x:v>Resumed the intact unsaved QA ml 0905 draft. Set200ml,P20/C60/F10,Lunch. Preview410kcal; one tap showed Adding meal then returned to22August. Video shows one200ml Lunch row at410 alongside the original350g Breakfast row at488, totals898/P65/C110/F22,1202 remaining of2100. Custom food added. is fully visible at34.5s and36.5s while the banner is absent. Banner appears later. No draft remains.</x:v>
      </x:c>
      <x:c r="L415" s="72" t="str">
        <x:v>DEF-098</x:v>
      </x:c>
      <x:c r="M415" s="72" t="str">
        <x:v>Expected: g/ml and 4/4/9 values persist in the selected date/type with readable confirmation. This ml save passes its observed subchecks. Story remains Blocked for the open timing-dependent DEF098, cold persistence and complete post-fix platform coverage. Native-only testing; no remote inspector.</x:v>
      </x:c>
    </x:row>
    <x:row r="416" ht="462" hidden="0" customHeight="1">
      <x:c r="A416" s="72" t="str">
        <x:v>RUN-0412</x:v>
      </x:c>
      <x:c r="B416" s="72" t="str">
        <x:v>NUT-039</x:v>
      </x:c>
      <x:c r="C416" s="72" t="str">
        <x:v>Retest</x:v>
      </x:c>
      <x:c r="D416" s="72" t="str">
        <x:v>iOS</x:v>
      </x:c>
      <x:c r="E416" s="72" t="str">
        <x:v>iPhone17Pro QA B5DFD1FE-B554-4A7D-996B-BF8F952B2C33</x:v>
      </x:c>
      <x:c r="F416" s="72" t="str">
        <x:v>iOS26.5</x:v>
      </x:c>
      <x:c r="G416" s="72" t="str">
        <x:v>1.0.0b18</x:v>
      </x:c>
      <x:c r="H416" s="73" t="n">
        <x:v>46271.387114386576</x:v>
      </x:c>
      <x:c r="I416" s="72" t="str">
        <x:v>Failed</x:v>
      </x:c>
      <x:c r="J416" s="72" t="str">
        <x:v>/Users/mason/.codex/visualizations/2026/09/01/01a05def-1c0d-76d1-abc6-07c63a443582/emulator-runs/retest/ios/DEF-098-b18-aug21-before.png
/Users/mason/.codex/visualizations/2026/09/01/01a05def-1c0d-76d1-abc6-07c63a443582/emulator-runs/retest/ios/DEF-098-b18-grams-ready.png
/Users/mason/.codex/visualizations/2026/09/01/01a05def-1c0d-76d1-abc6-07c63a443582/emulator-runs/retest/ios/DEF-098-b18-grams-save.mov
/Users/mason/.codex/visualizations/2026/09/01/01a05def-1c0d-76d1-abc6-07c63a443582/emulator-runs/retest/ios/DEF-098-b18-grams-frame8.png
/Users/mason/.codex/visualizations/2026/09/01/01a05def-1c0d-76d1-abc6-07c63a443582/emulator-runs/retest/ios/DEF-098-b18-ml-ready.png
/Users/mason/.codex/visualizations/2026/09/01/01a05def-1c0d-76d1-abc6-07c63a443582/emulator-runs/retest/ios/DEF-098-b18-ml-save.mov
/Users/mason/.codex/visualizations/2026/09/01/01a05def-1c0d-76d1-abc6-07c63a443582/emulator-runs/retest/ios/DEF-098-b18-ml-exact15.png
/Users/mason/.codex/visualizations/2026/09/01/01a05def-1c0d-76d1-abc6-07c63a443582/emulator-runs/retest/ios/DEF-098-b18-ml-saved.png
/Users/mason/.codex/visualizations/2026/09/01/01a05def-1c0d-76d1-abc6-07c63a443582/emulator-runs/retest/ios/NUT-039-b18-preserved-aug22.png
/Users/mason/.codex/visualizations/2026/09/01/01a05def-1c0d-76d1-abc6-07c63a443582/inventory/ios-build18-before.json
/Users/mason/.codex/visualizations/2026/09/01/01a05def-1c0d-76d1-abc6-07c63a443582/inventory/ios-build18-after.json
/Users/mason/.codex/visualizations/2026/09/01/01a05def-1c0d-76d1-abc6-07c63a443582/inventory/def098-native-hook-after.log
/Users/mason/.codex/visualizations/2026/09/01/01a05def-1c0d-76d1-abc6-07c63a443582/inventory/def098-opaque-hook-after.log</x:v>
      </x:c>
      <x:c r="K416" s="72" t="str">
        <x:v>Build18 position-only fix moved the native toast below the top safe area, away from the banner. Both new21Aug saves passed: QA toast g0906 Breakfast350g488kcal and QA toast ml0906 Lunch200ml410kcal, combined898/P65/C110/F22. However the date heading remains visible through the translucent toast and interferes with its text, including the video sample returned at14.243s. This failed readability retest prompted an opaque background correction. No draft remains. Build18 install preserved all checked QA records and Aug22 totals898 exactly.</x:v>
      </x:c>
      <x:c r="L416" s="72" t="str">
        <x:v>DEF-098</x:v>
      </x:c>
      <x:c r="M416" s="72" t="str">
        <x:v>Expected: correct g/ml saves and a completely readable success confirmation. Two save cases grouped in this one build18 regression run. Old frame names show requested times, not guaranteed actual times. The exact15 sample uses zero requested tolerance and reports actual frame14.243s (variable frame rate). Native still screenshots show correct totals. No iOS remote inspection.</x:v>
      </x:c>
    </x:row>
    <x:row r="417" ht="528" hidden="0" customHeight="1">
      <x:c r="A417" s="72" t="str">
        <x:v>RUN-0413</x:v>
      </x:c>
      <x:c r="B417" s="72" t="str">
        <x:v>NUT-039</x:v>
      </x:c>
      <x:c r="C417" s="72" t="str">
        <x:v>Retest</x:v>
      </x:c>
      <x:c r="D417" s="72" t="str">
        <x:v>iOS</x:v>
      </x:c>
      <x:c r="E417" s="72" t="str">
        <x:v>iPhone 17 Pro QA B5DFD1FE-B554-4A7D-996B-BF8F952B2C33</x:v>
      </x:c>
      <x:c r="F417" s="72" t="str">
        <x:v>iOS 26.5</x:v>
      </x:c>
      <x:c r="G417" s="72" t="str">
        <x:v>1.0.0b19</x:v>
      </x:c>
      <x:c r="H417" s="73" t="n">
        <x:v>46271.397388715275</x:v>
      </x:c>
      <x:c r="I417" s="72" t="str">
        <x:v>Passed</x:v>
      </x:c>
      <x:c r="J417" s="72" t="str">
        <x:v>/Users/mason/.codex/visualizations/2026/09/01/01a05def-1c0d-76d1-abc6-07c63a443582/emulator-runs/retest/ios/DEF-098-b19-aug20-before.png
/Users/mason/.codex/visualizations/2026/09/01/01a05def-1c0d-76d1-abc6-07c63a443582/emulator-runs/retest/ios/DEF-098-b19-grams-ready.png
/Users/mason/.codex/visualizations/2026/09/01/01a05def-1c0d-76d1-abc6-07c63a443582/emulator-runs/retest/ios/DEF-098-b19-grams-save.mov
/Users/mason/.codex/visualizations/2026/09/01/01a05def-1c0d-76d1-abc6-07c63a443582/emulator-runs/retest/ios/DEF-098-b19-grams-toast-settled.png
/Users/mason/.codex/visualizations/2026/09/01/01a05def-1c0d-76d1-abc6-07c63a443582/emulator-runs/retest/ios/DEF-098-b19-grams-saved.png
/Users/mason/.codex/visualizations/2026/09/01/01a05def-1c0d-76d1-abc6-07c63a443582/emulator-runs/retest/ios/DEF-098-b19-ml-ready.png
/Users/mason/.codex/visualizations/2026/09/01/01a05def-1c0d-76d1-abc6-07c63a443582/emulator-runs/retest/ios/DEF-098-b19-ml-save.mov
/Users/mason/.codex/visualizations/2026/09/01/01a05def-1c0d-76d1-abc6-07c63a443582/emulator-runs/retest/ios/DEF-098-b19-ml-toast-settled.png
/Users/mason/.codex/visualizations/2026/09/01/01a05def-1c0d-76d1-abc6-07c63a443582/emulator-runs/retest/ios/DEF-098-b19-ml-saved.png
/Users/mason/.codex/visualizations/2026/09/01/01a05def-1c0d-76d1-abc6-07c63a443582/emulator-runs/retest/ios/DEF-098-b19-cold-aug20.png
/Users/mason/.codex/visualizations/2026/09/01/01a05def-1c0d-76d1-abc6-07c63a443582/inventory/ios-build19-before.json
/Users/mason/.codex/visualizations/2026/09/01/01a05def-1c0d-76d1-abc6-07c63a443582/inventory/ios-build19-after.json
/Users/mason/.codex/visualizations/2026/09/01/01a05def-1c0d-76d1-abc6-07c63a443582/inventory/ios-toast-b19-cold-before.json
/Users/mason/.codex/visualizations/2026/09/01/01a05def-1c0d-76d1-abc6-07c63a443582/inventory/ios-toast-b19-cold-after.json
/Users/mason/.codex/visualizations/2026/09/01/01a05def-1c0d-76d1-abc6-07c63a443582/inventory/def098-opaque-hook-after.log</x:v>
      </x:c>
      <x:c r="K417" s="72" t="str">
        <x:v>Build 19 native retest passed both custom-food saves on 20 August: QA b19 grams, Breakfast 350 g, 488 kcal, P45/C50/F12; QA b19 ml, Lunch 200 ml, 410 kcal, P20/C60/F10. Each was submitted once and showed Adding meal, then one saved row. Both native confirmations were fully readable with a banner present: opaque background, no heading bleed, clear of the status bar and bottom banner. Combined total 898 kcal, P65/C110/F22, 1202 remaining. After a cold app relaunch, both UUIDs, dates, types, portions and values matched exactly; all checked stable record hashes/account binding were unchanged, with 23 meals and pending sync 0. Native Today showed both rows and matching totals.</x:v>
      </x:c>
      <x:c r="L417" s="72" t="str">
        <x:v>DEF-098</x:v>
      </x:c>
      <x:c r="M417" s="72" t="str">
        <x:v>Expected: correct g/ml arithmetic, dated meal groups, exactly one save per submission, readable confirmation with an ad present, and persistence after relaunch. Native video samples requested at 8 s and 11 s report actual frames 7.406667 s and 10.635 s. Both settled frames were visually reviewed. Only native UI/video and read-only iOS QA database evidence used. This closes the narrow iOS toast defect; initial iOS matrix entry, remaining Android cases and other story coverage remain incomplete.</x:v>
      </x:c>
    </x:row>
    <x:row r="418" ht="396" hidden="0" customHeight="1">
      <x:c r="A418" s="72" t="str">
        <x:v>RUN-0414</x:v>
      </x:c>
      <x:c r="B418" s="72" t="str">
        <x:v>NUT-040</x:v>
      </x:c>
      <x:c r="C418" s="72" t="str">
        <x:v>Retest</x:v>
      </x:c>
      <x:c r="D418" s="72" t="str">
        <x:v>iOS</x:v>
      </x:c>
      <x:c r="E418" s="72" t="str">
        <x:v>iPhone 17 Pro QA B5DFD1FE-B554-4A7D-996B-BF8F952B2C33</x:v>
      </x:c>
      <x:c r="F418" s="72" t="str">
        <x:v>iOS 26.5</x:v>
      </x:c>
      <x:c r="G418" s="72" t="str">
        <x:v>1.0.0b19</x:v>
      </x:c>
      <x:c r="H418" s="73" t="n">
        <x:v>46271.402649027776</x:v>
      </x:c>
      <x:c r="I418" s="72" t="str">
        <x:v>Blocked</x:v>
      </x:c>
      <x:c r="J418" s="72" t="str">
        <x:v>/Users/mason/.codex/visualizations/2026/09/01/01a05def-1c0d-76d1-abc6-07c63a443582/emulator-runs/retest/ios/NUT-040-b19-aug19-before.png
/Users/mason/.codex/visualizations/2026/09/01/01a05def-1c0d-76d1-abc6-07c63a443582/emulator-runs/retest/ios/NUT-040-b19-macros-ready.png
/Users/mason/.codex/visualizations/2026/09/01/01a05def-1c0d-76d1-abc6-07c63a443582/emulator-runs/retest/ios/NUT-040-b19-all-macro-errors-visible.png
/Users/mason/.codex/visualizations/2026/09/01/01a05def-1c0d-76d1-abc6-07c63a443582/emulator-runs/retest/ios/NUT-040-b19-protein-error-cleared.png
/Users/mason/.codex/visualizations/2026/09/01/01a05def-1c0d-76d1-abc6-07c63a443582/emulator-runs/retest/ios/NUT-040-b19-carbs-error-cleared.png
/Users/mason/.codex/visualizations/2026/09/01/01a05def-1c0d-76d1-abc6-07c63a443582/emulator-runs/retest/ios/NUT-040-b19-all-macro-errors-cleared.png
/Users/mason/.codex/visualizations/2026/09/01/01a05def-1c0d-76d1-abc6-07c63a443582/emulator-runs/retest/ios/NUT-040-b19-corrected-save.mov
/Users/mason/.codex/visualizations/2026/09/01/01a05def-1c0d-76d1-abc6-07c63a443582/emulator-runs/retest/ios/NUT-040-b19-corrected-saved.png
/Users/mason/.codex/visualizations/2026/09/01/01a05def-1c0d-76d1-abc6-07c63a443582/inventory/ios-validation-b19-rejected.json
/Users/mason/.codex/visualizations/2026/09/01/01a05def-1c0d-76d1-abc6-07c63a443582/inventory/ios-validation-b19-saved.json
/Users/mason/.codex/visualizations/2026/09/01/01a05def-1c0d-76d1-abc6-07c63a443582/inventory/ios-build19-after.json</x:v>
      </x:c>
      <x:c r="K418" s="72" t="str">
        <x:v>iOS build 19: submitted protein, carbs and fat at 1001 with a valid name and 350 g portion on 19 August. All three maximum-1000 messages appeared inline and the form stayed in view without manual scrolling. The rejected draft created no meal: selected day 0, matching name 0, total meals remained 23 and outbox 0. Correcting protein to 45 left only carbs/fat errors; correcting carbs to 50 left only fat; correcting fat to 12 cleared the final error. One corrected submission navigated normally to dated Today and saved QA b19 validation once as Lunch, 350 g, 488 kcal, P45/C50/F12; exact UUID 01a07616-2683-70bd-b2ed-0ad7db4dbd76, total meals 24, selected day 1 and pending sync 0. No draft remains.</x:v>
      </x:c>
      <x:c r="L418" s="72" t="str">
        <x:v>DEF-022, DEF-097</x:v>
      </x:c>
      <x:c r="M418" s="72" t="str">
        <x:v>Expected: all three macro errors visible, no invalid save, independent error clearing and a single corrected save with normal dated navigation. Those narrow checks pass and complete the missing iOS DEF-022 retest. NUT-040 remains Blocked for the remaining native name/portion/lower-bound/unit cases; this row does not claim a whole-story pass. Native screenshots plus read-only iOS QA DB checks; no remote inspector. Scroll preservation is visually verified, without an exact DOM scroll offset claim.</x:v>
      </x:c>
    </x:row>
    <x:row r="419" ht="343.20001220703125" hidden="0" customHeight="1">
      <x:c r="A419" s="72" t="str">
        <x:v>RUN-0415</x:v>
      </x:c>
      <x:c r="B419" s="72" t="str">
        <x:v>NUT-040</x:v>
      </x:c>
      <x:c r="C419" s="72" t="str">
        <x:v>Retest</x:v>
      </x:c>
      <x:c r="D419" s="72" t="str">
        <x:v>iOS</x:v>
      </x:c>
      <x:c r="E419" s="72" t="str">
        <x:v>iPhone 17 Pro QA B5DFD1FE-B554-4A7D-996B-BF8F952B2C33</x:v>
      </x:c>
      <x:c r="F419" s="72" t="str">
        <x:v>iOS 26.5</x:v>
      </x:c>
      <x:c r="G419" s="72" t="str">
        <x:v>1.0.0b19</x:v>
      </x:c>
      <x:c r="H419" s="73" t="n">
        <x:v>46271.41310434028</x:v>
      </x:c>
      <x:c r="I419" s="72" t="str">
        <x:v>Failed</x:v>
      </x:c>
      <x:c r="J419" s="72" t="str">
        <x:v>/Users/mason/.codex/visualizations/2026/09/01/01a05def-1c0d-76d1-abc6-07c63a443582/emulator-runs/retest/ios/NUT-040-b19-blank-name-ready.png
/Users/mason/.codex/visualizations/2026/09/01/01a05def-1c0d-76d1-abc6-07c63a443582/emulator-runs/retest/ios/NUT-040-b19-blank-name-error.png
/Users/mason/.codex/visualizations/2026/09/01/01a05def-1c0d-76d1-abc6-07c63a443582/emulator-runs/retest/ios/NUT-040-b19-long-name-error.png
/Users/mason/.codex/visualizations/2026/09/01/01a05def-1c0d-76d1-abc6-07c63a443582/emulator-runs/retest/ios/NUT-040-b19-portion-max-error.png
/Users/mason/.codex/visualizations/2026/09/01/01a05def-1c0d-76d1-abc6-07c63a443582/emulator-runs/retest/ios/NUT-040-b19-portion-min-native-error.png
/Users/mason/.codex/visualizations/2026/09/01/01a05def-1c0d-76d1-abc6-07c63a443582/inventory/ios-boundaries-b19-rejected.json
/Users/mason/.codex/visualizations/2026/09/01/01a05def-1c0d-76d1-abc6-07c63a443582/inventory/def099-before.log
/Users/mason/.codex/visualizations/2026/09/01/01a05def-1c0d-76d1-abc6-07c63a443582/inventory/def099-after.log
/Users/mason/.codex/visualizations/2026/09/01/01a05def-1c0d-76d1-abc6-07c63a443582/inventory/def099-types.log
/Users/mason/.codex/visualizations/2026/09/01/01a05def-1c0d-76d1-abc6-07c63a443582/inventory/ios-build19-after.json</x:v>
      </x:c>
      <x:c r="K419" s="72" t="str">
        <x:v>iOS build 19, 18 August: blank name, 121-character name input and portion 10001 each show the appropriate required/maximum inline error while preserving the rest of the draft and keeping the form in view. Portion 0 triggers the native minimum-0.1 popup. None of these attempts saved a meal: total 24, selected day 0, outbox 0. New DEF-099: editing name leaves the old required/maximum message; changing portion from 10001 to 0 retains the obsolete maximum-10000 message alongside the native minimum popup. The old message describes the previous value and remains until another valid-browser submission replaces the server errors.</x:v>
      </x:c>
      <x:c r="L419" s="72" t="str">
        <x:v>DEF-099</x:v>
      </x:c>
      <x:c r="M419" s="72" t="str">
        <x:v>Expected: invalid saves prevented and messages correspond to current field values. Rejection and native minimum popup pass; stale messages fail. Remaining negative/accepted-boundary/unit cases are not claimed. The input automation sent 121 characters; the server maximum-120 response independently proves an overlength value.</x:v>
      </x:c>
    </x:row>
    <x:row r="420" ht="950.4000244140625" hidden="0" customHeight="1">
      <x:c r="A420" s="72" t="str">
        <x:v>RUN-0416</x:v>
      </x:c>
      <x:c r="B420" s="72" t="str">
        <x:v>NUT-040</x:v>
      </x:c>
      <x:c r="C420" s="72" t="str">
        <x:v>Retest</x:v>
      </x:c>
      <x:c r="D420" s="72" t="str">
        <x:v>iOS</x:v>
      </x:c>
      <x:c r="E420" s="72" t="str">
        <x:v>iPhone 17 Pro QA B5DFD1FE-B554-4A7D-996B-BF8F952B2C33</x:v>
      </x:c>
      <x:c r="F420" s="72" t="str">
        <x:v>iOS 26.5</x:v>
      </x:c>
      <x:c r="G420" s="72" t="str">
        <x:v>1.0.0b20</x:v>
      </x:c>
      <x:c r="H420" s="73" t="n">
        <x:v>46271.42879046296</x:v>
      </x:c>
      <x:c r="I420" s="72" t="str">
        <x:v>Passed</x:v>
      </x:c>
      <x:c r="J420" s="72" t="str">
        <x:v>/Users/mason/.codex/visualizations/2026/09/01/01a05def-1c0d-76d1-abc6-07c63a443582/emulator-runs/retest/ios/DEF-099-b20-paired-errors-ready.png
/Users/mason/.codex/visualizations/2026/09/01/01a05def-1c0d-76d1-abc6-07c63a443582/emulator-runs/retest/ios/DEF-099-b20-paired-errors.png
/Users/mason/.codex/visualizations/2026/09/01/01a05def-1c0d-76d1-abc6-07c63a443582/emulator-runs/retest/ios/DEF-099-b20-name-error-cleared.png
/Users/mason/.codex/visualizations/2026/09/01/01a05def-1c0d-76d1-abc6-07c63a443582/emulator-runs/retest/ios/DEF-099-b20-long-name-error.png
/Users/mason/.codex/visualizations/2026/09/01/01a05def-1c0d-76d1-abc6-07c63a443582/emulator-runs/retest/ios/DEF-099-b20-portion-error-cleared.png
/Users/mason/.codex/visualizations/2026/09/01/01a05def-1c0d-76d1-abc6-07c63a443582/emulator-runs/retest/ios/DEF-099-b20-correct-minimum-popup.png
/Users/mason/.codex/visualizations/2026/09/01/01a05def-1c0d-76d1-abc6-07c63a443582/emulator-runs/retest/ios/NUT-040-b20-protein-min-popup.png
/Users/mason/.codex/visualizations/2026/09/01/01a05def-1c0d-76d1-abc6-07c63a443582/emulator-runs/retest/ios/NUT-040-b20-carbs-min-popup.png
/Users/mason/.codex/visualizations/2026/09/01/01a05def-1c0d-76d1-abc6-07c63a443582/emulator-runs/retest/ios/NUT-040-b20-fat-min-popup.png
/Users/mason/.codex/visualizations/2026/09/01/01a05def-1c0d-76d1-abc6-07c63a443582/emulator-runs/retest/ios/NUT-040-b20-minimum-ready.png
/Users/mason/.codex/visualizations/2026/09/01/01a05def-1c0d-76d1-abc6-07c63a443582/emulator-runs/retest/ios/NUT-040-b20-minimum-save.mov
/Users/mason/.codex/visualizations/2026/09/01/01a05def-1c0d-76d1-abc6-07c63a443582/emulator-runs/retest/ios/NUT-040-b20-minimum-toast.png
/Users/mason/.codex/visualizations/2026/09/01/01a05def-1c0d-76d1-abc6-07c63a443582/emulator-runs/retest/ios/NUT-040-b20-minimum-saved.png
/Users/mason/.codex/visualizations/2026/09/01/01a05def-1c0d-76d1-abc6-07c63a443582/emulator-runs/retest/ios/NUT-040-b20-maximum-ready.png
/Users/mason/.codex/visualizations/2026/09/01/01a05def-1c0d-76d1-abc6-07c63a443582/emulator-runs/retest/ios/NUT-040-b20-maximum-save.mov
/Users/mason/.codex/visualizations/2026/09/01/01a05def-1c0d-76d1-abc6-07c63a443582/emulator-runs/retest/ios/NUT-040-b20-maximum-toast.png
/Users/mason/.codex/visualizations/2026/09/01/01a05def-1c0d-76d1-abc6-07c63a443582/emulator-runs/retest/ios/NUT-040-b20-maximum-saved.png
/Users/mason/.codex/visualizations/2026/09/01/01a05def-1c0d-76d1-abc6-07c63a443582/emulator-runs/retest/ios/NUT-040-b20-boundary-meals.png
/Users/mason/.codex/visualizations/2026/09/01/01a05def-1c0d-76d1-abc6-07c63a443582/inventory/ios-build20-before.json
/Users/mason/.codex/visualizations/2026/09/01/01a05def-1c0d-76d1-abc6-07c63a443582/inventory/ios-build20-after.json
/Users/mason/.codex/visualizations/2026/09/01/01a05def-1c0d-76d1-abc6-07c63a443582/inventory/ios-boundaries-b20-rejected.json
/Users/mason/.codex/visualizations/2026/09/01/01a05def-1c0d-76d1-abc6-07c63a443582/inventory/ios-boundaries-b20-minimum.json
/Users/mason/.codex/visualizations/2026/09/01/01a05def-1c0d-76d1-abc6-07c63a443582/inventory/ios-boundaries-b20-saved.json
/Users/mason/.codex/visualizations/2026/09/01/01a05def-1c0d-76d1-abc6-07c63a443582/inventory/def099-before.log
/Users/mason/.codex/visualizations/2026/09/01/01a05def-1c0d-76d1-abc6-07c63a443582/inventory/def099-after.log
/Users/mason/.codex/visualizations/2026/09/01/01a05def-1c0d-76d1-abc6-07c63a443582/inventory/def099-types.log</x:v>
      </x:c>
      <x:c r="K420" s="72" t="str">
        <x:v>Build 20 passes the iOS stale-error regression: blank name plus portion 10001 display both errors; correcting name clears only its error, leaving the portion error. An overlength name is still rejected. Correcting name and changing portion to 0 clears both obsolete messages; submission shows only the correct native minimum-0.1 popup. Protein, carbs and fat at -1 each show a visible native minimum-zero popup. All rejected cases leave 24 meals, zero meals on 18 August and pending sync 0. Accepted minimum: QA b20 min, Breakfast 0.1 g with all macros cleared, saves once as 0 kcal/P0/C0/F0. Accepted maximum: QA b20 max, Lunch 10000 ml/P1000/C1000/F1000, saves once as 17000 kcal. Both dates/units/values/UUIDs verified in read-only QA storage; total 26 meals, selected day 2, pending 0. Native Today rows and totals match, with readable success confirmations. No draft remains.</x:v>
      </x:c>
      <x:c r="L420" s="72" t="str">
        <x:v>DEF-099</x:v>
      </x:c>
      <x:c r="M420" s="72" t="str">
        <x:v>Expected: reject invalid fields with current, visible feedback; clear only edited errors; preserve draft/position; accept quantity and macro endpoints with g/ml and blank macros transformed to zero. This completes the remaining iOS native boundary cases alongside the unchanged macro-maximum checks from RUN-0414. The unit picker exposes only g/ml, both exercised; invalid-unit rejection remains backend-covered. No fresh cold relaunch is claimed for these two new meals. Initial iOS and remaining Android matrix cells still prevent full story verification. Toast samples are actual native frames at 8.48 s and 8.443333 s.</x:v>
      </x:c>
    </x:row>
    <x:row r="421" ht="1320" hidden="0" customHeight="1">
      <x:c r="A421" s="72" t="str">
        <x:v>RUN-0417</x:v>
      </x:c>
      <x:c r="B421" s="72" t="str">
        <x:v>NUT-040</x:v>
      </x:c>
      <x:c r="C421" s="72" t="str">
        <x:v>Retest</x:v>
      </x:c>
      <x:c r="D421" s="72" t="str">
        <x:v>Android</x:v>
      </x:c>
      <x:c r="E421" s="72" t="str">
        <x:v>Medium Phone emulator-5554 — QA user 10 — host GPU</x:v>
      </x:c>
      <x:c r="F421" s="72" t="str">
        <x:v>Android 17 / API 37</x:v>
      </x:c>
      <x:c r="G421" s="72" t="str">
        <x:v>1.0.0b20</x:v>
      </x:c>
      <x:c r="H421" s="73" t="n">
        <x:v>46271.44813065972</x:v>
      </x:c>
      <x:c r="I421" s="72" t="str">
        <x:v>Passed</x:v>
      </x:c>
      <x:c r="J421" s="72" t="str">
        <x:v>/Users/mason/.codex/visualizations/2026/09/01/01a05def-1c0d-76d1-abc6-07c63a443582/emulator-runs/retest/android/NUT-040-b20-aug17-before.json
/Users/mason/.codex/visualizations/2026/09/01/01a05def-1c0d-76d1-abc6-07c63a443582/emulator-runs/retest/android/DEF-099-b20-paired-errors.json
/Users/mason/.codex/visualizations/2026/09/01/01a05def-1c0d-76d1-abc6-07c63a443582/emulator-runs/retest/android/DEF-099-b20-paired-errors.png
/Users/mason/.codex/visualizations/2026/09/01/01a05def-1c0d-76d1-abc6-07c63a443582/emulator-runs/retest/android/DEF-099-b20-name-cleared.json
/Users/mason/.codex/visualizations/2026/09/01/01a05def-1c0d-76d1-abc6-07c63a443582/emulator-runs/retest/android/DEF-099-b20-name-cleared.png
/Users/mason/.codex/visualizations/2026/09/01/01a05def-1c0d-76d1-abc6-07c63a443582/emulator-runs/retest/android/NUT-040-b20-long-name.json
/Users/mason/.codex/visualizations/2026/09/01/01a05def-1c0d-76d1-abc6-07c63a443582/emulator-runs/retest/android/NUT-040-b20-long-name.png
/Users/mason/.codex/visualizations/2026/09/01/01a05def-1c0d-76d1-abc6-07c63a443582/emulator-runs/retest/android/DEF-099-b20-portion-cleared.json
/Users/mason/.codex/visualizations/2026/09/01/01a05def-1c0d-76d1-abc6-07c63a443582/emulator-runs/retest/android/DEF-099-b20-portion-cleared.png
/Users/mason/.codex/visualizations/2026/09/01/01a05def-1c0d-76d1-abc6-07c63a443582/emulator-runs/retest/android/NUT-040-b20-portion-min.json
/Users/mason/.codex/visualizations/2026/09/01/01a05def-1c0d-76d1-abc6-07c63a443582/emulator-runs/retest/android/NUT-040-b20-portion-min.png
/Users/mason/.codex/visualizations/2026/09/01/01a05def-1c0d-76d1-abc6-07c63a443582/emulator-runs/retest/android/NUT-040-b20-protein-min.json
/Users/mason/.codex/visualizations/2026/09/01/01a05def-1c0d-76d1-abc6-07c63a443582/emulator-runs/retest/android/NUT-040-b20-protein-min.png
/Users/mason/.codex/visualizations/2026/09/01/01a05def-1c0d-76d1-abc6-07c63a443582/emulator-runs/retest/android/NUT-040-b20-carbs-min.json
/Users/mason/.codex/visualizations/2026/09/01/01a05def-1c0d-76d1-abc6-07c63a443582/emulator-runs/retest/android/NUT-040-b20-carbs-min.png
/Users/mason/.codex/visualizations/2026/09/01/01a05def-1c0d-76d1-abc6-07c63a443582/emulator-runs/retest/android/NUT-040-b20-fat-min.json
/Users/mason/.codex/visualizations/2026/09/01/01a05def-1c0d-76d1-abc6-07c63a443582/emulator-runs/retest/android/NUT-040-b20-fat-min.png
/Users/mason/.codex/visualizations/2026/09/01/01a05def-1c0d-76d1-abc6-07c63a443582/emulator-runs/retest/android/NUT-040-b20-minimum-ready.json
/Users/mason/.codex/visualizations/2026/09/01/01a05def-1c0d-76d1-abc6-07c63a443582/emulator-runs/retest/android/NUT-040-b20-minimum-ready.png
/Users/mason/.codex/visualizations/2026/09/01/01a05def-1c0d-76d1-abc6-07c63a443582/emulator-runs/retest/android/NUT-040-b20-minimum-save.mp4
/Users/mason/.codex/visualizations/2026/09/01/01a05def-1c0d-76d1-abc6-07c63a443582/emulator-runs/retest/android/NUT-040-b20-minimum-confirmation.png
/Users/mason/.codex/visualizations/2026/09/01/01a05def-1c0d-76d1-abc6-07c63a443582/emulator-runs/retest/android/NUT-040-b20-minimum-saved.json
/Users/mason/.codex/visualizations/2026/09/01/01a05def-1c0d-76d1-abc6-07c63a443582/emulator-runs/retest/android/NUT-040-b20-maximum-ready.json
/Users/mason/.codex/visualizations/2026/09/01/01a05def-1c0d-76d1-abc6-07c63a443582/emulator-runs/retest/android/NUT-040-b20-maximum-ready.png
/Users/mason/.codex/visualizations/2026/09/01/01a05def-1c0d-76d1-abc6-07c63a443582/emulator-runs/retest/android/NUT-040-b20-maximum-save.mp4
/Users/mason/.codex/visualizations/2026/09/01/01a05def-1c0d-76d1-abc6-07c63a443582/emulator-runs/retest/android/NUT-040-b20-maximum-confirmation.png
/Users/mason/.codex/visualizations/2026/09/01/01a05def-1c0d-76d1-abc6-07c63a443582/emulator-runs/retest/android/NUT-040-b20-maximum-saved.json
/Users/mason/.codex/visualizations/2026/09/01/01a05def-1c0d-76d1-abc6-07c63a443582/emulator-runs/retest/android/DEF-099-b20-preserved-aug23.png
/Users/mason/.codex/visualizations/2026/09/01/01a05def-1c0d-76d1-abc6-07c63a443582/inventory/android-build20-before.json
/Users/mason/.codex/visualizations/2026/09/01/01a05def-1c0d-76d1-abc6-07c63a443582/inventory/android-build20-install-provenance.json
/Users/mason/.codex/visualizations/2026/09/01/01a05def-1c0d-76d1-abc6-07c63a443582/inventory/android-build20-ui-before.json
/Users/mason/.codex/visualizations/2026/09/01/01a05def-1c0d-76d1-abc6-07c63a443582/inventory/android-build20-ui-after.json
/Users/mason/.codex/visualizations/2026/09/01/01a05def-1c0d-76d1-abc6-07c63a443582/inventory/def099-after.log
/Users/mason/.codex/visualizations/2026/09/01/01a05def-1c0d-76d1-abc6-07c63a443582/inventory/def099-types.log
/Users/mason/.codex/visualizations/2026/09/01/01a05def-1c0d-76d1-abc6-07c63a443582/inventory/android-custom-scroll-b17-evidence.json</x:v>
      </x:c>
      <x:c r="K421" s="72" t="str">
        <x:v>Android build 20 passes independent field feedback: blank name plus portion 10001 show both errors; entering a valid name clears only its error. Exactly 121 characters remain rejected. Correcting portion to 0 clears only the obsolete portion error, preserving the overlength-name error. After correcting name, submitting 0 shows the proper native minimum-0.1 popup with no stale server error. Each macro at -1 shows its own native minimum-zero popup. The initially empty 17 August day has only the two deliberately accepted saves: QA b20 Android min, Breakfast 0.1 g, blank macros persisted as P0/C0/F0 and 0 kcal; QA b20 Android max, Lunch 10000 ml, P1000/C1000/F1000 and 17000 kcal. Both saved once with distinct UUIDs, dated totals/rows match, scroll returns to 0 and pending sync is 0. Native confirmation videos were reviewed. No unsaved draft remains.</x:v>
      </x:c>
      <x:c r="L421" s="72" t="str">
        <x:v>DEF-099</x:v>
      </x:c>
      <x:c r="M421" s="72" t="str">
        <x:v>Expected: current independent validation feedback, rejected invalid values, accepted quantity/macro endpoints, g/ml picker, blank-macro zero conversion and one saved record per valid submission. Native keyboard input, trusted visible CDP clicks, native screenshots/video and read-only UI state used. Maximum draft was copied through the visible previous-custom-food card then renamed; unit picker changed ml to g and back. No direct photo-review native test or private Android database read. Unchanged macro max1001 cases passed on build17. Transient startup sync failure cleared after one Retry sync; no pending writes remain. Current render is clean with the saved host-GPU workaround; DEF091 remains Open. First minimum-toast screenshot captured Adding meal; use the video confirmation frame at 3.486744 s, and maximum at 2.952656 s. No cold relaunch for these new rows is claimed.</x:v>
      </x:c>
    </x:row>
    <x:row r="422" ht="594" hidden="0" customHeight="1">
      <x:c r="A422" s="72" t="str">
        <x:v>RUN-0418</x:v>
      </x:c>
      <x:c r="B422" s="72" t="str">
        <x:v>NUT-039</x:v>
      </x:c>
      <x:c r="C422" s="72" t="str">
        <x:v>Retest</x:v>
      </x:c>
      <x:c r="D422" s="72" t="str">
        <x:v>Android</x:v>
      </x:c>
      <x:c r="E422" s="72" t="str">
        <x:v>Medium Phone emulator-5554 — QA user10 — host GPU</x:v>
      </x:c>
      <x:c r="F422" s="72" t="str">
        <x:v>Android 17 / API37</x:v>
      </x:c>
      <x:c r="G422" s="72" t="str">
        <x:v>1.0.0b20</x:v>
      </x:c>
      <x:c r="H422" s="73" t="n">
        <x:v>46271.45593859954</x:v>
      </x:c>
      <x:c r="I422" s="72" t="str">
        <x:v>Passed</x:v>
      </x:c>
      <x:c r="J422" s="72" t="str">
        <x:v>/Users/mason/.codex/visualizations/2026/09/01/01a05def-1c0d-76d1-abc6-07c63a443582/emulator-runs/retest/android/NUT-039-b20-aug16-before.json
/Users/mason/.codex/visualizations/2026/09/01/01a05def-1c0d-76d1-abc6-07c63a443582/emulator-runs/retest/android/NUT-039-b20-grams-ready.json
/Users/mason/.codex/visualizations/2026/09/01/01a05def-1c0d-76d1-abc6-07c63a443582/emulator-runs/retest/android/NUT-039-b20-grams-ready.png
/Users/mason/.codex/visualizations/2026/09/01/01a05def-1c0d-76d1-abc6-07c63a443582/emulator-runs/retest/android/NUT-039-b20-grams-save.mp4
/Users/mason/.codex/visualizations/2026/09/01/01a05def-1c0d-76d1-abc6-07c63a443582/emulator-runs/retest/android/NUT-039-b20-grams-confirmation.png
/Users/mason/.codex/visualizations/2026/09/01/01a05def-1c0d-76d1-abc6-07c63a443582/emulator-runs/retest/android/NUT-039-b20-grams-saved.json
/Users/mason/.codex/visualizations/2026/09/01/01a05def-1c0d-76d1-abc6-07c63a443582/emulator-runs/retest/android/NUT-039-b20-ml-ready.json
/Users/mason/.codex/visualizations/2026/09/01/01a05def-1c0d-76d1-abc6-07c63a443582/emulator-runs/retest/android/NUT-039-b20-ml-ready.png
/Users/mason/.codex/visualizations/2026/09/01/01a05def-1c0d-76d1-abc6-07c63a443582/emulator-runs/retest/android/NUT-039-b20-ml-save.mp4
/Users/mason/.codex/visualizations/2026/09/01/01a05def-1c0d-76d1-abc6-07c63a443582/emulator-runs/retest/android/NUT-039-b20-ml-confirmation.png
/Users/mason/.codex/visualizations/2026/09/01/01a05def-1c0d-76d1-abc6-07c63a443582/emulator-runs/retest/android/NUT-039-b20-ml-saved.json
/Users/mason/.codex/visualizations/2026/09/01/01a05def-1c0d-76d1-abc6-07c63a443582/emulator-runs/retest/android/NUT-039-b20-cold-aug16.json
/Users/mason/.codex/visualizations/2026/09/01/01a05def-1c0d-76d1-abc6-07c63a443582/emulator-runs/retest/android/NUT-039-b20-cold-aug16.png
/Users/mason/.codex/visualizations/2026/09/01/01a05def-1c0d-76d1-abc6-07c63a443582/inventory/android-custom-b20-cold-comparison.json
/Users/mason/.codex/visualizations/2026/09/01/01a05def-1c0d-76d1-abc6-07c63a443582/inventory/android-build20-install-provenance.json</x:v>
      </x:c>
      <x:c r="K422" s="72" t="str">
        <x:v>Native Android build20 manual g/ml entry passes under the saved host-GPU configuration. On initially empty 16 August, all fields were typed with native keyboard input: QA b20 Android g, Breakfast350g/P45/C50/F12, preview488kcal; QA b20 Android ml, Lunch200ml/P20/C60/F10, preview410kcal. Each submitted once, saved a distinct UUID and returned to dated Today at scroll0. Both native success confirmations are readable. Combined898kcal/P65/C110/F22,1202remaining; native dated rows match. After force-stop/relaunch scoped to QA user10 and returning to16August, the entire summary matched exactly, including IDs/portions/macros/totals/goal/workouts/streak, pending0 and no sync error. Owner0 PID20945 remained running; new QA PID22855. Native rendering remains clean. No Android database was accessed.</x:v>
      </x:c>
      <x:c r="L422" s="72" t="str">
        <x:v>DEF-091</x:v>
      </x:c>
      <x:c r="M422" s="72" t="str">
        <x:v>Expected: typed g/ml inputs,4/4/9 preview,selected date/type,one save and readable native confirmation. Cold launch additionally proves exact UI-visible persistence. Native confirmation video samples actual3.384533s and2.984111s. The local host-GPU workaround is a condition of this pass; DEF091 remains Open and no general renderer fix is claimed. Current-save screenshots do not establish banner-present toast behavior. iOS initial matrix cell remains incomplete.</x:v>
      </x:c>
    </x:row>
    <x:row r="423" ht="554.4000244140625" hidden="0" customHeight="1">
      <x:c r="A423" s="72" t="str">
        <x:v>RUN-0419</x:v>
      </x:c>
      <x:c r="B423" s="72" t="str">
        <x:v>NUT-041</x:v>
      </x:c>
      <x:c r="C423" s="72" t="str">
        <x:v>Retest</x:v>
      </x:c>
      <x:c r="D423" s="72" t="str">
        <x:v>Android</x:v>
      </x:c>
      <x:c r="E423" s="72" t="str">
        <x:v>Medium Phone emulator-5554 — QA user10 — host GPU</x:v>
      </x:c>
      <x:c r="F423" s="72" t="str">
        <x:v>Android 17 / API37</x:v>
      </x:c>
      <x:c r="G423" s="72" t="str">
        <x:v>1.0.0b20</x:v>
      </x:c>
      <x:c r="H423" s="73" t="n">
        <x:v>46271.45593859954</x:v>
      </x:c>
      <x:c r="I423" s="72" t="str">
        <x:v>Passed</x:v>
      </x:c>
      <x:c r="J423" s="72" t="str">
        <x:v>/Users/mason/.codex/visualizations/2026/09/01/01a05def-1c0d-76d1-abc6-07c63a443582/emulator-runs/retest/android/NUT-041-b20-aug15-before.json
/Users/mason/.codex/visualizations/2026/09/01/01a05def-1c0d-76d1-abc6-07c63a443582/emulator-runs/retest/android/NUT-041-b20-recent-before.json
/Users/mason/.codex/visualizations/2026/09/01/01a05def-1c0d-76d1-abc6-07c63a443582/emulator-runs/retest/android/NUT-041-b20-errors.json
/Users/mason/.codex/visualizations/2026/09/01/01a05def-1c0d-76d1-abc6-07c63a443582/emulator-runs/retest/android/NUT-041-b20-errors.png
/Users/mason/.codex/visualizations/2026/09/01/01a05def-1c0d-76d1-abc6-07c63a443582/emulator-runs/retest/android/NUT-041-b20-prefilled.json
/Users/mason/.codex/visualizations/2026/09/01/01a05def-1c0d-76d1-abc6-07c63a443582/emulator-runs/retest/android/NUT-041-b20-prefilled.png
/Users/mason/.codex/visualizations/2026/09/01/01a05def-1c0d-76d1-abc6-07c63a443582/emulator-runs/retest/android/NUT-041-b20-duplicate-saved.json
/Users/mason/.codex/visualizations/2026/09/01/01a05def-1c0d-76d1-abc6-07c63a443582/emulator-runs/retest/android/NUT-041-b20-deduplicated.json
/Users/mason/.codex/visualizations/2026/09/01/01a05def-1c0d-76d1-abc6-07c63a443582/emulator-runs/retest/android/NUT-041-b20-deduplicated.png
/Users/mason/.codex/visualizations/2026/09/01/01a05def-1c0d-76d1-abc6-07c63a443582/emulator-runs/retest/android/NUT-041-b20-edited-ready.json
/Users/mason/.codex/visualizations/2026/09/01/01a05def-1c0d-76d1-abc6-07c63a443582/emulator-runs/retest/android/NUT-041-b20-edited-ready.png
/Users/mason/.codex/visualizations/2026/09/01/01a05def-1c0d-76d1-abc6-07c63a443582/emulator-runs/retest/android/NUT-041-b20-edited-saved.json
/Users/mason/.codex/visualizations/2026/09/01/01a05def-1c0d-76d1-abc6-07c63a443582/emulator-runs/retest/android/NUT-041-b20-edited-saved.png
/Users/mason/.codex/visualizations/2026/09/01/01a05def-1c0d-76d1-abc6-07c63a443582/emulator-runs/retest/android/NUT-041-b20-recent-after-edit.json</x:v>
      </x:c>
      <x:c r="K423" s="72" t="str">
        <x:v>Recent custom-food reuse passes on Android build20. Ten unique snapshots render. A blank-name, portion10001, protein1001 submission produces all three errors. Tapping the visible recent QA b20 Android ml card fills name/200ml/P20/C60/F10, clears all errors, and previews410kcal without saving. One deliberate identical copy saves to Breakfast15August with a new UUID. Reopening Custom still shows ten unique snapshots and exactly one matching ml card, now using the newer duplicate UUID. Selecting it, renaming QA b20 Android reuse and changing carbs60 to61 previews414kcal; one Lunch save creates a distinct record. Both dated rows persist together, original copied meal remains410/P20/C60/F10 and edited meal414/P20/C61/F10; total824/P40/C121/F20,pending0. Reopening shows both distinct snapshots among ten unique cards. Returned to Today15August with no draft.</x:v>
      </x:c>
      <x:c r="L423" s="72" t="str"/>
      <x:c r="M423" s="72" t="str">
        <x:v>Expected:ten recent unique snapshots,all values copied,old errors cleared,edited macro arithmetic and a new record without altering the original. Native keyboard input,trusted visible clicks and native screenshots plus UI props used. The form was manually scrolled into view after selecting the card. No separate saved-food entity is created. iOS initial/retest remain outstanding.</x:v>
      </x:c>
    </x:row>
    <x:row r="424" ht="673.2000122070312" hidden="0" customHeight="1">
      <x:c r="A424" s="72" t="str">
        <x:v>RUN-0420</x:v>
      </x:c>
      <x:c r="B424" s="72" t="str">
        <x:v>NUT-042</x:v>
      </x:c>
      <x:c r="C424" s="72" t="str">
        <x:v>Retest</x:v>
      </x:c>
      <x:c r="D424" s="72" t="str">
        <x:v>Android</x:v>
      </x:c>
      <x:c r="E424" s="72" t="str">
        <x:v>Medium Phone emulator-5554 — QA user10 — host GPU</x:v>
      </x:c>
      <x:c r="F424" s="72" t="str">
        <x:v>Android17/API37</x:v>
      </x:c>
      <x:c r="G424" s="72" t="str">
        <x:v>1.0.0b20</x:v>
      </x:c>
      <x:c r="H424" s="73" t="n">
        <x:v>46271.463976307874</x:v>
      </x:c>
      <x:c r="I424" s="72" t="str">
        <x:v>Passed</x:v>
      </x:c>
      <x:c r="J424" s="72" t="str">
        <x:v>/Users/mason/.codex/visualizations/2026/09/01/01a05def-1c0d-76d1-abc6-07c63a443582/emulator-runs/retest/android/NUT-042-b20-aug14-before.json
/Users/mason/.codex/visualizations/2026/09/01/01a05def-1c0d-76d1-abc6-07c63a443582/emulator-runs/retest/android/NUT-042-b20-network-offline.txt
/Users/mason/.codex/visualizations/2026/09/01/01a05def-1c0d-76d1-abc6-07c63a443582/emulator-runs/retest/android/NUT-042-b20-ready.json
/Users/mason/.codex/visualizations/2026/09/01/01a05def-1c0d-76d1-abc6-07c63a443582/emulator-runs/retest/android/NUT-042-b20-ready.png
/Users/mason/.codex/visualizations/2026/09/01/01a05def-1c0d-76d1-abc6-07c63a443582/emulator-runs/retest/android/NUT-042-b20-save.mp4
/Users/mason/.codex/visualizations/2026/09/01/01a05def-1c0d-76d1-abc6-07c63a443582/emulator-runs/retest/android/NUT-042-b20-confirmation.png
/Users/mason/.codex/visualizations/2026/09/01/01a05def-1c0d-76d1-abc6-07c63a443582/emulator-runs/retest/android/NUT-042-b20-saved-offline.json
/Users/mason/.codex/visualizations/2026/09/01/01a05def-1c0d-76d1-abc6-07c63a443582/emulator-runs/retest/android/NUT-042-b20-saved-offline.png
/Users/mason/.codex/visualizations/2026/09/01/01a05def-1c0d-76d1-abc6-07c63a443582/emulator-runs/retest/android/NUT-042-b20-offline-row.png
/Users/mason/.codex/visualizations/2026/09/01/01a05def-1c0d-76d1-abc6-07c63a443582/emulator-runs/retest/android/NUT-042-b20-cold-offline.json
/Users/mason/.codex/visualizations/2026/09/01/01a05def-1c0d-76d1-abc6-07c63a443582/emulator-runs/retest/android/NUT-042-b20-cold-offline.png
/Users/mason/.codex/visualizations/2026/09/01/01a05def-1c0d-76d1-abc6-07c63a443582/emulator-runs/retest/android/NUT-042-b20-network-cold-offline.txt
/Users/mason/.codex/visualizations/2026/09/01/01a05def-1c0d-76d1-abc6-07c63a443582/emulator-runs/retest/android/NUT-042-b20-reconnected.json
/Users/mason/.codex/visualizations/2026/09/01/01a05def-1c0d-76d1-abc6-07c63a443582/emulator-runs/retest/android/NUT-042-b20-reconnected.png
/Users/mason/.codex/visualizations/2026/09/01/01a05def-1c0d-76d1-abc6-07c63a443582/emulator-runs/retest/android/NUT-042-b20-reconnected-row.png
/Users/mason/.codex/visualizations/2026/09/01/01a05def-1c0d-76d1-abc6-07c63a443582/emulator-runs/retest/android/NUT-042-b20-network-restored.txt
/Users/mason/.codex/visualizations/2026/09/01/01a05def-1c0d-76d1-abc6-07c63a443582/inventory/android-offline-b20-comparison.json</x:v>
      </x:c>
      <x:c r="K424" s="72" t="str">
        <x:v>With airplane mode enabled,no active default network,and native No internet connection banner,typed QA b20 Android offline,100g/P1/C2/F3,Snacks on initially empty14August. Preview39kcal;one save returned to dated Today and showed native Custom food added. Local record UUID01a07663-ed89-7383-8437-1a0753c13800,39kcal/2061remaining,pending1. Native row visible. After QA-only force-stop/relaunch while still offline,returning to14August preserved the entire summary and pending1 exactly. Restoring airplane mode to disabled restored wifi/mobile and automatically synced at2026-09-06T11:06:03.174914Z,pending0,errornull. Complete summary still identical with one Snacks entry; native page and row match.</x:v>
      </x:c>
      <x:c r="L424" s="72" t="str"/>
      <x:c r="M424" s="72" t="str">
        <x:v>Expected immediate local save/confirmation,offline restart persistence,then successful queued sync. Native video confirmation actual1.985189s. QA PID22855→24710;Owner0PID20945 remained running. Global AVD network was temporarily offline and restored; no Owner0 data read and no Android private database access. iOS initial/retest remain outstanding.</x:v>
      </x:c>
    </x:row>
    <x:row r="425" ht="514.7999877929688" hidden="0" customHeight="1">
      <x:c r="A425" s="72" t="str">
        <x:v>RUN-0421</x:v>
      </x:c>
      <x:c r="B425" s="72" t="str">
        <x:v>NUT-041</x:v>
      </x:c>
      <x:c r="C425" s="72" t="str">
        <x:v>Initial</x:v>
      </x:c>
      <x:c r="D425" s="72" t="str">
        <x:v>iOS</x:v>
      </x:c>
      <x:c r="E425" s="72" t="str">
        <x:v>iPhone17 Pro — QA Pro — B5DFD1FE-B554-4A7D-996B-BF8F952B2C33</x:v>
      </x:c>
      <x:c r="F425" s="72" t="str">
        <x:v>iOS26.5</x:v>
      </x:c>
      <x:c r="G425" s="72" t="str">
        <x:v>1.0.0b20</x:v>
      </x:c>
      <x:c r="H425" s="73" t="n">
        <x:v>46271.47298628472</x:v>
      </x:c>
      <x:c r="I425" s="72" t="str">
        <x:v>Passed</x:v>
      </x:c>
      <x:c r="J425" s="72" t="str">
        <x:v>/Users/mason/.codex/visualizations/2026/09/01/01a05def-1c0d-76d1-abc6-07c63a443582/emulator-runs/retest/ios/NUT-041-b20-recent-top.png
/Users/mason/.codex/visualizations/2026/09/01/01a05def-1c0d-76d1-abc6-07c63a443582/emulator-runs/retest/ios/NUT-041-b20-errors.png
/Users/mason/.codex/visualizations/2026/09/01/01a05def-1c0d-76d1-abc6-07c63a443582/emulator-runs/retest/ios/NUT-041-b20-prefilled.png
/Users/mason/.codex/visualizations/2026/09/01/01a05def-1c0d-76d1-abc6-07c63a443582/emulator-runs/retest/ios/NUT-041-b20-duplicate-saved.png
/Users/mason/.codex/visualizations/2026/09/01/01a05def-1c0d-76d1-abc6-07c63a443582/emulator-runs/retest/ios/NUT-041-b20-deduplicated-top.png
/Users/mason/.codex/visualizations/2026/09/01/01a05def-1c0d-76d1-abc6-07c63a443582/emulator-runs/retest/ios/NUT-041-b20-deduplicated-bottom.png
/Users/mason/.codex/visualizations/2026/09/01/01a05def-1c0d-76d1-abc6-07c63a443582/emulator-runs/retest/ios/NUT-041-b20-edited-ready.png
/Users/mason/.codex/visualizations/2026/09/01/01a05def-1c0d-76d1-abc6-07c63a443582/emulator-runs/retest/ios/NUT-041-b20-edited-saved.png
/Users/mason/.codex/visualizations/2026/09/01/01a05def-1c0d-76d1-abc6-07c63a443582/emulator-runs/retest/ios/NUT-041-b20-saved-rows.png
/Users/mason/.codex/visualizations/2026/09/01/01a05def-1c0d-76d1-abc6-07c63a443582/emulator-runs/retest/ios/NUT-041-b20-recent-after-edit-top.png
/Users/mason/.codex/visualizations/2026/09/01/01a05def-1c0d-76d1-abc6-07c63a443582/emulator-runs/retest/ios/NUT-041-b20-recent-after-edit-bottom.png
/Users/mason/.codex/visualizations/2026/09/01/01a05def-1c0d-76d1-abc6-07c63a443582/inventory/ios-reuse-b20-before.json
/Users/mason/.codex/visualizations/2026/09/01/01a05def-1c0d-76d1-abc6-07c63a443582/inventory/ios-reuse-b20-duplicate.json
/Users/mason/.codex/visualizations/2026/09/01/01a05def-1c0d-76d1-abc6-07c63a443582/inventory/ios-reuse-b20-saved.json</x:v>
      </x:c>
      <x:c r="K425" s="72" t="str">
        <x:v>Fresh QA Pro launch synced all seven newer Android fixtures,including exact offline-meal UUID/values. On initially empty13August,blank name/portion10001/protein1001 produced three native-visible server errors. Tapping recent QA b20 Android ml copied name,200ml,P20/C60/F10,cleared all errors and previewed410kcal. One Breakfast duplicate saved UUID01a0766d-a216-72cc-859a-3339957006c9. Reopening showed ten unique custom cards and one matching ml snapshot. Selecting it,renaming QA b20 iOS reuse and editing carbs60→61 previewed414kcal;one Lunch save created UUID01a0766f-d50b-73c4-990d-197a3d06f511. Native Today totals824/P40/C121/F20,1276remaining;both410/414 rows visible. Read-only QA records confirm earlier410 meal and seven Android fixtures unchanged,mealcount35,outbox0. Reopening confirms edited414 and original410 among ten unique cards. Returned to datedToday,no draft.</x:v>
      </x:c>
      <x:c r="L425" s="72" t="str"/>
      <x:c r="M425" s="72" t="str">
        <x:v>Expected up-to-ten unique recent snapshots,all fields copied,all old errors cleared,edited macros yielding a new meal with original unchanged. Native CUA keyboard/trusted clicks and screenshots; no WebKit remote inspection. Form manually paged into view after selection. This is new Initial coverage; separate post-fix iOS retest remains outstanding.</x:v>
      </x:c>
    </x:row>
    <x:row r="426" ht="105.5999984741211" hidden="0" customHeight="1">
      <x:c r="A426" s="72" t="str">
        <x:v>RUN-0422</x:v>
      </x:c>
      <x:c r="B426" s="72" t="str">
        <x:v>NUT-042</x:v>
      </x:c>
      <x:c r="C426" s="72" t="str">
        <x:v>Initial</x:v>
      </x:c>
      <x:c r="D426" s="72" t="str">
        <x:v>iOS</x:v>
      </x:c>
      <x:c r="E426" s="72" t="str">
        <x:v>iPhone17 Pro — QA Pro</x:v>
      </x:c>
      <x:c r="F426" s="72" t="str">
        <x:v>iOS26.5</x:v>
      </x:c>
      <x:c r="G426" s="72" t="str">
        <x:v>1.0.0b20</x:v>
      </x:c>
      <x:c r="H426" s="73" t="n">
        <x:v>46271.4762696875</x:v>
      </x:c>
      <x:c r="I426" s="72" t="str">
        <x:v>Blocked</x:v>
      </x:c>
      <x:c r="J426" s="72" t="str">
        <x:v>/Users/mason/.codex/visualizations/2026/09/01/01a05def-1c0d-76d1-abc6-07c63a443582/inventory/ios-offline-b20-environment-observation.json
/Users/mason/.codex/visualizations/2026/09/01/01a05def-1c0d-76d1-abc6-07c63a443582/inventory/ios-offline-b20-simctl-help.txt
/Users/mason/.codex/visualizations/2026/09/01/01a05def-1c0d-76d1-abc6-07c63a443582/inventory/ios-offline-b20-simctl-ui-help.txt</x:v>
      </x:c>
      <x:c r="K426" s="72" t="str">
        <x:v>RUN-0422:iOS offline-save Initial Blocked at environment setup. This iOS26.5 simulator exposes no airplane/wifi/cellular controls or Network Link Conditioner in native Settings/Developer. simctl and Features menu likewise lack device-scoped network isolation. No host networking changed and no offline meal submitted. Requires a supported isolated network-loss setup; keep iOS Retest Not Run. Android RUN0420 remains Passed.</x:v>
      </x:c>
      <x:c r="L426" s="72" t="str"/>
      <x:c r="M426" s="72" t="str">
        <x:v>Expected actual airplane-mode/offline save,offline restart and reconnection. The network-loss precondition could not be established with exposed simulator controls. No fake status-bar/JS-offline override,host-network change,reset,or remote inspection used. This is an external testability limitation,not a product failure. Apple official documentation references retained in observation JSON.</x:v>
      </x:c>
    </x:row>
    <x:row r="427" ht="105.5999984741211" hidden="0" customHeight="1">
      <x:c r="A427" s="72" t="str">
        <x:v>RUN-0423</x:v>
      </x:c>
      <x:c r="B427" s="72" t="str">
        <x:v>NUT-052</x:v>
      </x:c>
      <x:c r="C427" s="72" t="str">
        <x:v>Retest</x:v>
      </x:c>
      <x:c r="D427" s="72" t="str">
        <x:v>Android</x:v>
      </x:c>
      <x:c r="E427" s="72" t="str">
        <x:v>MediumPhone emulator-5554 — QA user10 — hostGPU</x:v>
      </x:c>
      <x:c r="F427" s="72" t="str">
        <x:v>Android17/API37</x:v>
      </x:c>
      <x:c r="G427" s="72" t="str">
        <x:v>1.0.0b20</x:v>
      </x:c>
      <x:c r="H427" s="73" t="n">
        <x:v>46271.480745023146</x:v>
      </x:c>
      <x:c r="I427" s="72" t="str">
        <x:v>Failed</x:v>
      </x:c>
      <x:c r="J427" s="72" t="str">
        <x:v>/Users/mason/.codex/visualizations/2026/09/01/01a05def-1c0d-76d1-abc6-07c63a443582/emulator-runs/retest/android/DEF-096-b20-step-invalid.json
/Users/mason/.codex/visualizations/2026/09/01/01a05def-1c0d-76d1-abc6-07c63a443582/emulator-runs/retest/android/DEF-096-b20-step-invalid.png
/Users/mason/.codex/visualizations/2026/09/01/01a05def-1c0d-76d1-abc6-07c63a443582/inventory/android-build21-ui-before.json</x:v>
      </x:c>
      <x:c r="K427" s="72" t="str">
        <x:v>Opened QA recipe A revised2026-09-04 on14August,typed0.15servings,hidden keyboard then tappedLogrecipe. Native validation rejected with stepMismatch=true and complete validationMessage recommending0.1/0.2;no /meals/recipe resource request. Native screenshot shows reopened keyboard covering those corrective values. Back discarded invalid log draft;datedToday still has only the existing39kcal offline Snacks meal and pending0.</x:v>
      </x:c>
      <x:c r="L427" s="72" t="str">
        <x:v>DEF-096</x:v>
      </x:c>
      <x:c r="M427" s="72" t="str">
        <x:v>Fresh reproduction of existingDEF096,not a new defect. Source handler fix and regression test passed afterward;new nativebuild required before closing. No recipe or meal was saved in this reproduction.</x:v>
      </x:c>
    </x:row>
    <x:row r="428" ht="765.5999755859375" hidden="0" customHeight="1">
      <x:c r="A428" s="72" t="str">
        <x:v>RUN-0424</x:v>
      </x:c>
      <x:c r="B428" s="72" t="str">
        <x:v>NUT-052</x:v>
      </x:c>
      <x:c r="C428" s="72" t="str">
        <x:v>Retest</x:v>
      </x:c>
      <x:c r="D428" s="72" t="str">
        <x:v>Android</x:v>
      </x:c>
      <x:c r="E428" s="72" t="str">
        <x:v>Medium Phone emulator-5554 — QA user 10 — host GPU</x:v>
      </x:c>
      <x:c r="F428" s="72" t="str">
        <x:v>Android 17/API 37</x:v>
      </x:c>
      <x:c r="G428" s="72" t="str">
        <x:v>1.0.0b21</x:v>
      </x:c>
      <x:c r="H428" s="73" t="n">
        <x:v>46271.48893518518</x:v>
      </x:c>
      <x:c r="I428" s="72" t="str">
        <x:v>Blocked</x:v>
      </x:c>
      <x:c r="J428" s="72" t="str">
        <x:v>/Users/mason/.codex/visualizations/2026/09/01/01a05def-1c0d-76d1-abc6-07c63a443582/emulator-runs/retest/android/DEF-096-b21-blank.json
/Users/mason/.codex/visualizations/2026/09/01/01a05def-1c0d-76d1-abc6-07c63a443582/emulator-runs/retest/android/DEF-096-b21-blank.png
/Users/mason/.codex/visualizations/2026/09/01/01a05def-1c0d-76d1-abc6-07c63a443582/emulator-runs/retest/android/DEF-096-b21-confirmation.png
/Users/mason/.codex/visualizations/2026/09/01/01a05def-1c0d-76d1-abc6-07c63a443582/emulator-runs/retest/android/DEF-096-b21-corrected.json
/Users/mason/.codex/visualizations/2026/09/01/01a05def-1c0d-76d1-abc6-07c63a443582/emulator-runs/retest/android/DEF-096-b21-keyboard-step.json
/Users/mason/.codex/visualizations/2026/09/01/01a05def-1c0d-76d1-abc6-07c63a443582/emulator-runs/retest/android/DEF-096-b21-keyboard-step.png
/Users/mason/.codex/visualizations/2026/09/01/01a05def-1c0d-76d1-abc6-07c63a443582/emulator-runs/retest/android/DEF-096-b21-maximum.json
/Users/mason/.codex/visualizations/2026/09/01/01a05def-1c0d-76d1-abc6-07c63a443582/emulator-runs/retest/android/DEF-096-b21-maximum.png
/Users/mason/.codex/visualizations/2026/09/01/01a05def-1c0d-76d1-abc6-07c63a443582/emulator-runs/retest/android/DEF-096-b21-minimum.json
/Users/mason/.codex/visualizations/2026/09/01/01a05def-1c0d-76d1-abc6-07c63a443582/emulator-runs/retest/android/DEF-096-b21-minimum.png
/Users/mason/.codex/visualizations/2026/09/01/01a05def-1c0d-76d1-abc6-07c63a443582/emulator-runs/retest/android/DEF-096-b21-preserved-day.png
/Users/mason/.codex/visualizations/2026/09/01/01a05def-1c0d-76d1-abc6-07c63a443582/emulator-runs/retest/android/DEF-096-b21-save.mp4
/Users/mason/.codex/visualizations/2026/09/01/01a05def-1c0d-76d1-abc6-07c63a443582/emulator-runs/retest/android/DEF-096-b21-saved.json
/Users/mason/.codex/visualizations/2026/09/01/01a05def-1c0d-76d1-abc6-07c63a443582/emulator-runs/retest/android/DEF-096-b21-saved.png
/Users/mason/.codex/visualizations/2026/09/01/01a05def-1c0d-76d1-abc6-07c63a443582/emulator-runs/retest/android/DEF-096-b21-step.json
/Users/mason/.codex/visualizations/2026/09/01/01a05def-1c0d-76d1-abc6-07c63a443582/emulator-runs/retest/android/DEF-096-b21-step.png
/Users/mason/.codex/visualizations/2026/09/01/01a05def-1c0d-76d1-abc6-07c63a443582/inventory/android-build21-apk-verified.json
/Users/mason/.codex/visualizations/2026/09/01/01a05def-1c0d-76d1-abc6-07c63a443582/inventory/android-build21-install-provenance.json
/Users/mason/.codex/visualizations/2026/09/01/01a05def-1c0d-76d1-abc6-07c63a443582/inventory/android-build21-ui-before.json
/Users/mason/.codex/visualizations/2026/09/01/01a05def-1c0d-76d1-abc6-07c63a443582/inventory/android-build21-ui-after.json</x:v>
      </x:c>
      <x:c r="K428" s="72" t="str">
        <x:v>Build 21 rejects blank, 0, 100.1 and 0.15 with complete inline native validation text, no meal requests and no keyboard reopening. Editing clears the old error immediately. Submitting 0.25 through the open IME also leaves nearest values 0.2/0.3 fully visible above the keyboard. Corrected 0.2 saves one Lunch on 14 August: recipe A, 17 kcal, P1/C2/F0.5, ID 01a07688-5b7b-71a6-b2b1-45103dae1726. Existing Snacks 39 preserved; day 56 kcal/P2/C4/F3.5; native confirmation and dated row visible; pending 0.</x:v>
      </x:c>
      <x:c r="L428" s="72" t="str">
        <x:v>DEF-096</x:v>
      </x:c>
      <x:c r="M428" s="72" t="str">
        <x:v>Narrow DEF-096 retest passed. Aggregate NUT-052 remains Blocked: stale recipe/date/meal-type and server-error reset cases are incomplete. No remote iOS inspection or Android database access used.</x:v>
      </x:c>
    </x:row>
    <x:row r="429" ht="567.5999755859375" hidden="0" customHeight="1">
      <x:c r="A429" s="72" t="str">
        <x:v>RUN-0425</x:v>
      </x:c>
      <x:c r="B429" s="72" t="str">
        <x:v>NUT-052</x:v>
      </x:c>
      <x:c r="C429" s="72" t="str">
        <x:v>Retest</x:v>
      </x:c>
      <x:c r="D429" s="72" t="str">
        <x:v>iOS</x:v>
      </x:c>
      <x:c r="E429" s="72" t="str">
        <x:v>iPhone 17 Pro B5DFD1FE-B554-4A7D-996B-BF8F952B2C33</x:v>
      </x:c>
      <x:c r="F429" s="72" t="str">
        <x:v>iOS 26.5</x:v>
      </x:c>
      <x:c r="G429" s="72" t="str">
        <x:v>1.0.0b21</x:v>
      </x:c>
      <x:c r="H429" s="73" t="n">
        <x:v>46271.4940162037</x:v>
      </x:c>
      <x:c r="I429" s="72" t="str">
        <x:v>Blocked</x:v>
      </x:c>
      <x:c r="J429" s="72" t="str">
        <x:v>/Users/mason/.codex/visualizations/2026/09/01/01a05def-1c0d-76d1-abc6-07c63a443582/emulator-runs/retest/ios/DEF-096-b21-before.png
/Users/mason/.codex/visualizations/2026/09/01/01a05def-1c0d-76d1-abc6-07c63a443582/emulator-runs/retest/ios/DEF-096-b21-blank.png
/Users/mason/.codex/visualizations/2026/09/01/01a05def-1c0d-76d1-abc6-07c63a443582/emulator-runs/retest/ios/DEF-096-b21-confirmation-settled.png
/Users/mason/.codex/visualizations/2026/09/01/01a05def-1c0d-76d1-abc6-07c63a443582/emulator-runs/retest/ios/DEF-096-b21-confirmation.png
/Users/mason/.codex/visualizations/2026/09/01/01a05def-1c0d-76d1-abc6-07c63a443582/emulator-runs/retest/ios/DEF-096-b21-corrected.png
/Users/mason/.codex/visualizations/2026/09/01/01a05def-1c0d-76d1-abc6-07c63a443582/emulator-runs/retest/ios/DEF-096-b21-maximum.png
/Users/mason/.codex/visualizations/2026/09/01/01a05def-1c0d-76d1-abc6-07c63a443582/emulator-runs/retest/ios/DEF-096-b21-minimum.png
/Users/mason/.codex/visualizations/2026/09/01/01a05def-1c0d-76d1-abc6-07c63a443582/emulator-runs/retest/ios/DEF-096-b21-save.mov
/Users/mason/.codex/visualizations/2026/09/01/01a05def-1c0d-76d1-abc6-07c63a443582/emulator-runs/retest/ios/DEF-096-b21-saved.png
/Users/mason/.codex/visualizations/2026/09/01/01a05def-1c0d-76d1-abc6-07c63a443582/emulator-runs/retest/ios/DEF-096-b21-step.png
/Users/mason/.codex/visualizations/2026/09/01/01a05def-1c0d-76d1-abc6-07c63a443582/inventory/ios-build21-before.json
/Users/mason/.codex/visualizations/2026/09/01/01a05def-1c0d-76d1-abc6-07c63a443582/inventory/ios-build21-after.json
/Users/mason/.codex/visualizations/2026/09/01/01a05def-1c0d-76d1-abc6-07c63a443582/inventory/ios-recipe-guidance-b21-before.json
/Users/mason/.codex/visualizations/2026/09/01/01a05def-1c0d-76d1-abc6-07c63a443582/inventory/ios-recipe-guidance-b21-rejected.json
/Users/mason/.codex/visualizations/2026/09/01/01a05def-1c0d-76d1-abc6-07c63a443582/inventory/ios-recipe-guidance-b21-saved.json</x:v>
      </x:c>
      <x:c r="K429" s="72" t="str">
        <x:v>Build 21 rejects blank, 0, 100.1 and 0.15 with visible inline WebKit validation text and retained input; edits clear each prior error. WebKit step text is Enter a valid value (no nearest-values text supplied by this platform). Read-only QA database confirms zero meals on 12 August and unchanged total 36 after all rejected submissions. Corrected 0.2 saves exactly one Lunch: recipe A, 17 kcal/P1/C2/F0.5, ID 01a0768e-773d-7048-8716-cf74e07ab870; total meals 37, outbox 0. Native confirmation and dated row visible.</x:v>
      </x:c>
      <x:c r="L429" s="72" t="str">
        <x:v>DEF-096</x:v>
      </x:c>
      <x:c r="M429" s="72" t="str">
        <x:v>Narrow DEF-096 retest passed. Aggregate NUT-052 remains Blocked: stale recipe/date/meal-type and server-error reset cases are incomplete. No remote iOS inspection or Android database access used.</x:v>
      </x:c>
    </x:row>
    <x:row r="430" ht="158.39999389648438" hidden="0" customHeight="1">
      <x:c r="A430" s="72" t="str">
        <x:v>RUN-0426</x:v>
      </x:c>
      <x:c r="B430" s="72" t="str">
        <x:v>NUT-045</x:v>
      </x:c>
      <x:c r="C430" s="72" t="str">
        <x:v>Retest</x:v>
      </x:c>
      <x:c r="D430" s="72" t="str">
        <x:v>Android</x:v>
      </x:c>
      <x:c r="E430" s="72" t="str">
        <x:v>Medium Phone emulator-5554 — QA user10 — host GPU</x:v>
      </x:c>
      <x:c r="F430" s="72" t="str">
        <x:v>Android17/API37</x:v>
      </x:c>
      <x:c r="G430" s="72" t="str">
        <x:v>1.0.0b21</x:v>
      </x:c>
      <x:c r="H430" s="73" t="n">
        <x:v>46271.49722222222</x:v>
      </x:c>
      <x:c r="I430" s="72" t="str">
        <x:v>Failed</x:v>
      </x:c>
      <x:c r="J430" s="72" t="str">
        <x:v>/Users/mason/.codex/visualizations/2026/09/01/01a05def-1c0d-76d1-abc6-07c63a443582/emulator-runs/retest/android/NUT-045-b21-one-character.json
/Users/mason/.codex/visualizations/2026/09/01/01a05def-1c0d-76d1-abc6-07c63a443582/emulator-runs/retest/android/NUT-045-b21-rapid-query.json
/Users/mason/.codex/visualizations/2026/09/01/01a05def-1c0d-76d1-abc6-07c63a443582/emulator-runs/retest/android/NUT-045-b21-rapid-query.png
/Users/mason/.codex/visualizations/2026/09/01/01a05def-1c0d-76d1-abc6-07c63a443582/emulator-runs/retest/android/NUT-045-b21-two-character.json</x:v>
      </x:c>
      <x:c r="K430" s="72" t="str">
        <x:v>RUN-0426: Android build 21 native input events show visible Thai peanut but request q=Thai+peanu, and Ab sends no request. The shared Input forwards caller input handlers before updateValue publishes the current model. Both food search consumers read that model. Source fix moves @input before v-bind attrs once in Input.vue; actual compiled-template callback test failed before fix and now passes for text, clearing, zero and decimal inputs. 38 focused tests, TypeScript and diff check pass. Native build 22 retests pending.</x:v>
      </x:c>
      <x:c r="L430" s="72" t="str">
        <x:v>DEF-100</x:v>
      </x:c>
      <x:c r="M430" s="72" t="str">
        <x:v>One debounced request was issued for the rapid burst, but the wrong query prevents passing the search story. No recipe saved.</x:v>
      </x:c>
    </x:row>
    <x:row r="431" ht="356.3999938964844" hidden="0" customHeight="1">
      <x:c r="A431" s="72" t="str">
        <x:v>RUN-0427</x:v>
      </x:c>
      <x:c r="B431" s="72" t="str">
        <x:v>NUT-045</x:v>
      </x:c>
      <x:c r="C431" s="72" t="str">
        <x:v>Retest</x:v>
      </x:c>
      <x:c r="D431" s="72" t="str">
        <x:v>Android</x:v>
      </x:c>
      <x:c r="E431" s="72" t="str">
        <x:v>Medium Phone emulator-5554, QA user 10</x:v>
      </x:c>
      <x:c r="F431" s="72" t="str">
        <x:v>Android 17 / API 37</x:v>
      </x:c>
      <x:c r="G431" s="72" t="str">
        <x:v>1.0.0b22 installed/extracted</x:v>
      </x:c>
      <x:c r="H431" s="73" t="n">
        <x:v>46271.579090914354</x:v>
      </x:c>
      <x:c r="I431" s="72" t="str">
        <x:v>Blocked</x:v>
      </x:c>
      <x:c r="J431" s="72" t="str">
        <x:v>/Users/mason/.codex/visualizations/2026/09/01/01a05def-1c0d-76d1-abc6-07c63a443582/emulator-runs/retest/android/NUT-045-b22-rapid-query.json
/Users/mason/.codex/visualizations/2026/09/01/01a05def-1c0d-76d1-abc6-07c63a443582/emulator-runs/retest/android/NUT-045-b22-rapid-query.png
/Users/mason/.codex/visualizations/2026/09/01/01a05def-1c0d-76d1-abc6-07c63a443582/emulator-runs/retest/android/NUT-045-b22-recovered.json
/Users/mason/.codex/visualizations/2026/09/01/01a05def-1c0d-76d1-abc6-07c63a443582/emulator-runs/retest/android/NUT-045-b22-recovered.png
/Users/mason/.codex/visualizations/2026/09/01/01a05def-1c0d-76d1-abc6-07c63a443582/emulator-runs/retest/android/NUT-045-b22-request-error.json
/Users/mason/.codex/visualizations/2026/09/01/01a05def-1c0d-76d1-abc6-07c63a443582/emulator-runs/retest/android/NUT-045-b22-request-error.png
/Users/mason/.codex/visualizations/2026/09/01/01a05def-1c0d-76d1-abc6-07c63a443582/emulator-runs/retest/android/NUT-045-b22-retry-error.json
/Users/mason/.codex/visualizations/2026/09/01/01a05def-1c0d-76d1-abc6-07c63a443582/emulator-runs/retest/android/NUT-045-b22-two-character.json
/Users/mason/.codex/visualizations/2026/09/01/01a05def-1c0d-76d1-abc6-07c63a443582/inventory/android-build22-install-provenance.json</x:v>
      </x:c>
      <x:c r="K431" s="72" t="str">
        <x:v>Ab sends one exact q=Ab request (200). Native rapid Thai peanut sends one exact complete query, 250.4ms after final input (200), without intermediate requests. 121 characters returns 422 with full inline message and Retry; Retry sends one same-query request. Replacing with milk recovers real results and clears the error. Cancel returns to library. No recipe saved. Pending-response cancellation and deliberate stale-response races not yet exercised.</x:v>
      </x:c>
      <x:c r="L431" s="72" t="str">
        <x:v>DEF-031, DEF-100</x:v>
      </x:c>
      <x:c r="M431" s="72" t="str">
        <x:v>Narrow DEF-100 verification passed. Aggregate story gaps remain explicit; no initial results backfilled.</x:v>
      </x:c>
    </x:row>
    <x:row r="432" ht="290.3999938964844" hidden="0" customHeight="1">
      <x:c r="A432" s="72" t="str">
        <x:v>RUN-0428</x:v>
      </x:c>
      <x:c r="B432" s="72" t="str">
        <x:v>NUT-045</x:v>
      </x:c>
      <x:c r="C432" s="72" t="str">
        <x:v>Retest</x:v>
      </x:c>
      <x:c r="D432" s="72" t="str">
        <x:v>iOS</x:v>
      </x:c>
      <x:c r="E432" s="72" t="str">
        <x:v>iPhone 17 Pro QA B5DFD1FE</x:v>
      </x:c>
      <x:c r="F432" s="72" t="str">
        <x:v>iOS 26.5</x:v>
      </x:c>
      <x:c r="G432" s="72" t="str">
        <x:v>1.0.0b22 installed/extracted</x:v>
      </x:c>
      <x:c r="H432" s="73" t="n">
        <x:v>46271.57910481482</x:v>
      </x:c>
      <x:c r="I432" s="72" t="str">
        <x:v>Blocked</x:v>
      </x:c>
      <x:c r="J432" s="72" t="str">
        <x:v>/Users/mason/.codex/visualizations/2026/09/01/01a05def-1c0d-76d1-abc6-07c63a443582/emulator-runs/retest/ios/NUT-045-b22-cancel-reopen.png
/Users/mason/.codex/visualizations/2026/09/01/01a05def-1c0d-76d1-abc6-07c63a443582/emulator-runs/retest/ios/NUT-045-b22-one-character.png
/Users/mason/.codex/visualizations/2026/09/01/01a05def-1c0d-76d1-abc6-07c63a443582/emulator-runs/retest/ios/NUT-045-b22-product-added.png
/Users/mason/.codex/visualizations/2026/09/01/01a05def-1c0d-76d1-abc6-07c63a443582/emulator-runs/retest/ios/NUT-045-b22-recovered.png
/Users/mason/.codex/visualizations/2026/09/01/01a05def-1c0d-76d1-abc6-07c63a443582/emulator-runs/retest/ios/NUT-045-b22-request-error.png
/Users/mason/.codex/visualizations/2026/09/01/01a05def-1c0d-76d1-abc6-07c63a443582/emulator-runs/retest/ios/NUT-045-b22-retry-error.png
/Users/mason/.codex/visualizations/2026/09/01/01a05def-1c0d-76d1-abc6-07c63a443582/inventory/ios-build22-after.json
/Users/mason/.codex/visualizations/2026/09/01/01a05def-1c0d-76d1-abc6-07c63a443582/inventory/ios-search-b22-records.json</x:v>
      </x:c>
      <x:c r="K432" s="72" t="str">
        <x:v>One character shows hint. Entering 121 characters shows the 120-character inline error and Retry; retry keeps feedback; milk recovers catalogue products. Selecting oat milk adds one 100ml/61kcal ingredient, clears search/results. Cancel then reopen shows blank name/search, default one serving, zero ingredients/totals. No recipe saved. Native request count/debounce timing and deliberate late-response races unobserved without remote inspector.</x:v>
      </x:c>
      <x:c r="L432" s="72" t="str">
        <x:v>DEF-031, DEF-100</x:v>
      </x:c>
      <x:c r="M432" s="72" t="str">
        <x:v>Narrow DEF-100 verification passed. Aggregate story gaps remain explicit; no initial results backfilled.</x:v>
      </x:c>
    </x:row>
    <x:row r="433" ht="277.20001220703125" hidden="0" customHeight="1">
      <x:c r="A433" s="72" t="str">
        <x:v>RUN-0429</x:v>
      </x:c>
      <x:c r="B433" s="72" t="str">
        <x:v>NUT-020</x:v>
      </x:c>
      <x:c r="C433" s="72" t="str">
        <x:v>Retest</x:v>
      </x:c>
      <x:c r="D433" s="72" t="str">
        <x:v>Android</x:v>
      </x:c>
      <x:c r="E433" s="72" t="str">
        <x:v>Medium Phone emulator-5554, QA user 10</x:v>
      </x:c>
      <x:c r="F433" s="72" t="str">
        <x:v>Android 17 / API 37</x:v>
      </x:c>
      <x:c r="G433" s="72" t="str">
        <x:v>1.0.0b22 installed/extracted</x:v>
      </x:c>
      <x:c r="H433" s="73" t="n">
        <x:v>46271.57911899305</x:v>
      </x:c>
      <x:c r="I433" s="72" t="str">
        <x:v>Blocked</x:v>
      </x:c>
      <x:c r="J433" s="72" t="str">
        <x:v>/Users/mason/.codex/visualizations/2026/09/01/01a05def-1c0d-76d1-abc6-07c63a443582/emulator-runs/retest/android/NUT-020-b22-cleared.json
/Users/mason/.codex/visualizations/2026/09/01/01a05def-1c0d-76d1-abc6-07c63a443582/emulator-runs/retest/android/NUT-020-b22-cleared.png
/Users/mason/.codex/visualizations/2026/09/01/01a05def-1c0d-76d1-abc6-07c63a443582/emulator-runs/retest/android/NUT-020-b22-one-character.json
/Users/mason/.codex/visualizations/2026/09/01/01a05def-1c0d-76d1-abc6-07c63a443582/emulator-runs/retest/android/NUT-020-b22-one-character.png
/Users/mason/.codex/visualizations/2026/09/01/01a05def-1c0d-76d1-abc6-07c63a443582/emulator-runs/retest/android/NUT-020-b22-two-character.json
/Users/mason/.codex/visualizations/2026/09/01/01a05def-1c0d-76d1-abc6-07c63a443582/emulator-runs/retest/android/NUT-020-b22-two-character.png
/Users/mason/.codex/visualizations/2026/09/01/01a05def-1c0d-76d1-abc6-07c63a443582/inventory/android-build22-install-provenance.json</x:v>
      </x:c>
      <x:c r="K433" s="72" t="str">
        <x:v>Ab sends exact q=Ab and displays catalogue results. Replacing with A immediately shows the one-more-character hint with no new search request. Clearing restores previous food entries, including the existing 0.2-serving recipe entry. Deliberately delayed older responses during debounce remain untested.</x:v>
      </x:c>
      <x:c r="L433" s="72" t="str">
        <x:v>DEF-014, DEF-015, DEF-100</x:v>
      </x:c>
      <x:c r="M433" s="72" t="str">
        <x:v>Narrow DEF-100 verification passed. Aggregate story gaps remain explicit; no initial results backfilled.</x:v>
      </x:c>
    </x:row>
    <x:row r="434" ht="211.1999969482422" hidden="0" customHeight="1">
      <x:c r="A434" s="72" t="str">
        <x:v>RUN-0430</x:v>
      </x:c>
      <x:c r="B434" s="72" t="str">
        <x:v>NUT-020</x:v>
      </x:c>
      <x:c r="C434" s="72" t="str">
        <x:v>Retest</x:v>
      </x:c>
      <x:c r="D434" s="72" t="str">
        <x:v>iOS</x:v>
      </x:c>
      <x:c r="E434" s="72" t="str">
        <x:v>iPhone 17 Pro QA B5DFD1FE</x:v>
      </x:c>
      <x:c r="F434" s="72" t="str">
        <x:v>iOS 26.5</x:v>
      </x:c>
      <x:c r="G434" s="72" t="str">
        <x:v>1.0.0b22 installed/extracted</x:v>
      </x:c>
      <x:c r="H434" s="73" t="n">
        <x:v>46271.57913398148</x:v>
      </x:c>
      <x:c r="I434" s="72" t="str">
        <x:v>Blocked</x:v>
      </x:c>
      <x:c r="J434" s="72" t="str">
        <x:v>/Users/mason/.codex/visualizations/2026/09/01/01a05def-1c0d-76d1-abc6-07c63a443582/emulator-runs/retest/ios/NUT-020-b22-cleared.png
/Users/mason/.codex/visualizations/2026/09/01/01a05def-1c0d-76d1-abc6-07c63a443582/emulator-runs/retest/ios/NUT-020-b22-one-character.png
/Users/mason/.codex/visualizations/2026/09/01/01a05def-1c0d-76d1-abc6-07c63a443582/emulator-runs/retest/ios/NUT-020-b22-request-error.png
/Users/mason/.codex/visualizations/2026/09/01/01a05def-1c0d-76d1-abc6-07c63a443582/emulator-runs/retest/ios/NUT-020-b22-two-character.png
/Users/mason/.codex/visualizations/2026/09/01/01a05def-1c0d-76d1-abc6-07c63a443582/inventory/ios-build22-after.json
/Users/mason/.codex/visualizations/2026/09/01/01a05def-1c0d-76d1-abc6-07c63a443582/inventory/ios-search-b22-records.json</x:v>
      </x:c>
      <x:c r="K434" s="72" t="str">
        <x:v>Ab displays catalogue products. A 121-character query reaches the 120-character server validation boundary, demonstrating current full model value. Replacing with A clears the error and shows the one-more-character hint; clearing restores previous entries. Deliberately delayed older responses during debounce remain untested.</x:v>
      </x:c>
      <x:c r="L434" s="72" t="str">
        <x:v>DEF-014, DEF-015, DEF-100</x:v>
      </x:c>
      <x:c r="M434" s="72" t="str">
        <x:v>Narrow DEF-100 verification passed. Aggregate story gaps remain explicit; no initial results backfilled.</x:v>
      </x:c>
    </x:row>
    <x:row r="435" ht="118.80000305175781" hidden="0" customHeight="1">
      <x:c r="A435" s="72" t="str">
        <x:v>RUN-0431</x:v>
      </x:c>
      <x:c r="B435" s="72" t="str">
        <x:v>NUT-045</x:v>
      </x:c>
      <x:c r="C435" s="72" t="str">
        <x:v>Retest</x:v>
      </x:c>
      <x:c r="D435" s="72" t="str">
        <x:v>Android</x:v>
      </x:c>
      <x:c r="E435" s="72" t="str">
        <x:v>Medium Phone emulator-5554 QA user10</x:v>
      </x:c>
      <x:c r="F435" s="72" t="str">
        <x:v>Android17/API37</x:v>
      </x:c>
      <x:c r="G435" s="72" t="str">
        <x:v>1.0.0b22</x:v>
      </x:c>
      <x:c r="H435" s="73" t="n">
        <x:v>46271.5874712963</x:v>
      </x:c>
      <x:c r="I435" s="72" t="str">
        <x:v>Failed</x:v>
      </x:c>
      <x:c r="J435" s="72" t="str">
        <x:v>/Users/mason/.codex/visualizations/2026/09/01/01a05def-1c0d-76d1-abc6-07c63a443582/emulator-runs/retest/android/NUT-045-b22-selection-race-immediate.json
/Users/mason/.codex/visualizations/2026/09/01/01a05def-1c0d-76d1-abc6-07c63a443582/emulator-runs/retest/android/NUT-045-b22-selection-race-late.json
/Users/mason/.codex/visualizations/2026/09/01/01a05def-1c0d-76d1-abc6-07c63a443582/emulator-runs/retest/android/NUT-045-b22-selection-race-late.png</x:v>
      </x:c>
      <x:c r="K435" s="72" t="str">
        <x:v>Native events: last query character1198616.5ms, product selection1198843.8ms clears query; replacement request still starts1198867.1ms and returns200 after1840ms. Native screenshot shows selected Sesame Thai Noodle Salad100g/143kcal and two late search results beneath the empty query.</x:v>
      </x:c>
      <x:c r="L435" s="72" t="str">
        <x:v>DEF-101</x:v>
      </x:c>
      <x:c r="M435" s="72" t="str">
        <x:v>No saved recipe. Native23 fix verification will be appended separately.</x:v>
      </x:c>
    </x:row>
    <x:row r="436" ht="39.599998474121094" hidden="0" customHeight="1">
      <x:c r="A436" s="72" t="str">
        <x:v>RUN-0432</x:v>
      </x:c>
      <x:c r="B436" s="72" t="str">
        <x:v>NUT-045</x:v>
      </x:c>
      <x:c r="C436" s="72" t="str">
        <x:v>Retest</x:v>
      </x:c>
      <x:c r="D436" s="72" t="str">
        <x:v>iOS</x:v>
      </x:c>
      <x:c r="E436" s="72" t="str">
        <x:v>iPhone 17 Pro QA B5DFD1FE</x:v>
      </x:c>
      <x:c r="F436" s="72" t="str">
        <x:v>iOS26.5</x:v>
      </x:c>
      <x:c r="G436" s="72" t="str">
        <x:v>1.0.0b22</x:v>
      </x:c>
      <x:c r="H436" s="73" t="n">
        <x:v>46271.58748519676</x:v>
      </x:c>
      <x:c r="I436" s="72" t="str">
        <x:v>Failed</x:v>
      </x:c>
      <x:c r="J436" s="72" t="str">
        <x:v>/Users/mason/.codex/visualizations/2026/09/01/01a05def-1c0d-76d1-abc6-07c63a443582/emulator-runs/retest/ios/NUT-045-b22-selection-race-late.png</x:v>
      </x:c>
      <x:c r="K436" s="72" t="str">
        <x:v>Native search milk returned products. Appending chocolate and immediately selecting Protein Nut Bar Fruit &amp; Chocolate added100g/429kcal and cleared the query; late chocolate results reappeared below the empty search.</x:v>
      </x:c>
      <x:c r="L436" s="72" t="str">
        <x:v>DEF-101</x:v>
      </x:c>
      <x:c r="M436" s="72" t="str">
        <x:v>No saved recipe. Native23 fix verification will be appended separately.</x:v>
      </x:c>
    </x:row>
    <x:row r="437" ht="277.20001220703125" hidden="0" customHeight="1">
      <x:c r="A437" s="72" t="str">
        <x:v>RUN-0433</x:v>
      </x:c>
      <x:c r="B437" s="72" t="str">
        <x:v>NUT-045</x:v>
      </x:c>
      <x:c r="C437" s="72" t="str">
        <x:v>Retest</x:v>
      </x:c>
      <x:c r="D437" s="72" t="str">
        <x:v>Android</x:v>
      </x:c>
      <x:c r="E437" s="72" t="str">
        <x:v>Medium Phone emulator-5554 QA user10</x:v>
      </x:c>
      <x:c r="F437" s="72" t="str">
        <x:v>Android17/API37</x:v>
      </x:c>
      <x:c r="G437" s="72" t="str">
        <x:v>1.0.0b23 installed/extracted</x:v>
      </x:c>
      <x:c r="H437" s="73" t="n">
        <x:v>46271.5929058912</x:v>
      </x:c>
      <x:c r="I437" s="72" t="str">
        <x:v>Blocked</x:v>
      </x:c>
      <x:c r="J437" s="72" t="str">
        <x:v>/Users/mason/.codex/visualizations/2026/09/01/01a05def-1c0d-76d1-abc6-07c63a443582/emulator-runs/retest/android/DEF-101-b23-pending-immediate.json
/Users/mason/.codex/visualizations/2026/09/01/01a05def-1c0d-76d1-abc6-07c63a443582/emulator-runs/retest/android/DEF-101-b23-pending-settled.json
/Users/mason/.codex/visualizations/2026/09/01/01a05def-1c0d-76d1-abc6-07c63a443582/emulator-runs/retest/android/DEF-101-b23-pending-settled.png
/Users/mason/.codex/visualizations/2026/09/01/01a05def-1c0d-76d1-abc6-07c63a443582/emulator-runs/retest/android/DEF-101-b23-selection-immediate.json
/Users/mason/.codex/visualizations/2026/09/01/01a05def-1c0d-76d1-abc6-07c63a443582/emulator-runs/retest/android/DEF-101-b23-selection-settled.json
/Users/mason/.codex/visualizations/2026/09/01/01a05def-1c0d-76d1-abc6-07c63a443582/emulator-runs/retest/android/DEF-101-b23-selection-settled.png
/Users/mason/.codex/visualizations/2026/09/01/01a05def-1c0d-76d1-abc6-07c63a443582/inventory/android-build23-install-provenance.json</x:v>
      </x:c>
      <x:c r="K437" s="72" t="str">
        <x:v>DEF101 narrow Passed: queued selection at230.1ms prevents request. Separate selection during an in-flight request leaves the empty search unchanged after its successful late response. Two deliberate taps append exactly two100g/143kcal ingredients; no recipe saved. Aggregate story remains incomplete.</x:v>
      </x:c>
      <x:c r="L437" s="72" t="str">
        <x:v>DEF-101</x:v>
      </x:c>
      <x:c r="M437" s="72" t="str">
        <x:v>Fixed defect scope passes; full story platform matrix not declared complete.</x:v>
      </x:c>
    </x:row>
    <x:row r="438" ht="66" hidden="0" customHeight="1">
      <x:c r="A438" s="72" t="str">
        <x:v>RUN-0434</x:v>
      </x:c>
      <x:c r="B438" s="72" t="str">
        <x:v>NUT-045</x:v>
      </x:c>
      <x:c r="C438" s="72" t="str">
        <x:v>Retest</x:v>
      </x:c>
      <x:c r="D438" s="72" t="str">
        <x:v>iOS</x:v>
      </x:c>
      <x:c r="E438" s="72" t="str">
        <x:v>iPhone17 Pro QA B5DFD1FE</x:v>
      </x:c>
      <x:c r="F438" s="72" t="str">
        <x:v>iOS26.5</x:v>
      </x:c>
      <x:c r="G438" s="72" t="str">
        <x:v>1.0.0b23 installed/extracted</x:v>
      </x:c>
      <x:c r="H438" s="73" t="n">
        <x:v>46271.59292074074</x:v>
      </x:c>
      <x:c r="I438" s="72" t="str">
        <x:v>Blocked</x:v>
      </x:c>
      <x:c r="J438" s="72" t="str">
        <x:v>/Users/mason/.codex/visualizations/2026/09/01/01a05def-1c0d-76d1-abc6-07c63a443582/emulator-runs/retest/ios/DEF-101-b23-selection-settled.png
/Users/mason/.codex/visualizations/2026/09/01/01a05def-1c0d-76d1-abc6-07c63a443582/inventory/ios-build23-after.json</x:v>
      </x:c>
      <x:c r="K438" s="72" t="str">
        <x:v>DEF101 narrow Passed: repeat milk, append chocolate and immediately select the displayed Protein Nut Bar. Exactly one100g/429kcal ingredient appears, query clears and no late result/loading/error returns. No recipe saved. Exact native request timing remains unmeasured; aggregate story incomplete.</x:v>
      </x:c>
      <x:c r="L438" s="72" t="str">
        <x:v>DEF-101</x:v>
      </x:c>
      <x:c r="M438" s="72" t="str">
        <x:v>Fixed defect scope passes; full story platform matrix not declared complete.</x:v>
      </x:c>
    </x:row>
    <x:row r="439" ht="422.3999938964844" hidden="0" customHeight="1">
      <x:c r="A439" s="72" t="str">
        <x:v>RUN-0435</x:v>
      </x:c>
      <x:c r="B439" s="72" t="str">
        <x:v>NUT-020</x:v>
      </x:c>
      <x:c r="C439" s="72" t="str">
        <x:v>Retest</x:v>
      </x:c>
      <x:c r="D439" s="72" t="str">
        <x:v>Android</x:v>
      </x:c>
      <x:c r="E439" s="72" t="str">
        <x:v>Medium Phone emulator-5554 QA user10</x:v>
      </x:c>
      <x:c r="F439" s="72" t="str">
        <x:v>Android17/API37</x:v>
      </x:c>
      <x:c r="G439" s="72" t="str">
        <x:v>1.0.0b23; retained native22 evidence explicitly identified</x:v>
      </x:c>
      <x:c r="H439" s="73" t="n">
        <x:v>46271.601771215275</x:v>
      </x:c>
      <x:c r="I439" s="72" t="str">
        <x:v>Blocked</x:v>
      </x:c>
      <x:c r="J439" s="72" t="str">
        <x:v>/Users/mason/.codex/visualizations/2026/09/01/01a05def-1c0d-76d1-abc6-07c63a443582/emulator-runs/retest/android/NUT-020-b23-clear-search.json
/Users/mason/.codex/visualizations/2026/09/01/01a05def-1c0d-76d1-abc6-07c63a443582/emulator-runs/retest/android/NUT-020-b23-clear-search.png
/Users/mason/.codex/visualizations/2026/09/01/01a05def-1c0d-76d1-abc6-07c63a443582/emulator-runs/retest/android/NUT-020-b23-replacement-settled.json
/Users/mason/.codex/visualizations/2026/09/01/01a05def-1c0d-76d1-abc6-07c63a443582/emulator-runs/retest/android/NUT-020-b23-replacement-settled.png
/Users/mason/.codex/visualizations/2026/09/01/01a05def-1c0d-76d1-abc6-07c63a443582/emulator-runs/retest/android/NUT-020-b22-cleared.json
/Users/mason/.codex/visualizations/2026/09/01/01a05def-1c0d-76d1-abc6-07c63a443582/emulator-runs/retest/android/NUT-020-b22-cleared.png
/Users/mason/.codex/visualizations/2026/09/01/01a05def-1c0d-76d1-abc6-07c63a443582/emulator-runs/retest/android/NUT-020-b22-one-character.json
/Users/mason/.codex/visualizations/2026/09/01/01a05def-1c0d-76d1-abc6-07c63a443582/emulator-runs/retest/android/NUT-020-b22-one-character.png
/Users/mason/.codex/visualizations/2026/09/01/01a05def-1c0d-76d1-abc6-07c63a443582/emulator-runs/retest/android/NUT-020-b22-two-character.json
/Users/mason/.codex/visualizations/2026/09/01/01a05def-1c0d-76d1-abc6-07c63a443582/emulator-runs/retest/android/NUT-020-b22-two-character.png
/Users/mason/.codex/visualizations/2026/09/01/01a05def-1c0d-76d1-abc6-07c63a443582/inventory/search-completion-b23-tests.log</x:v>
      </x:c>
      <x:c r="K439" s="72" t="str">
        <x:v>Active pistachio latte request started928768.4ms, query cleared929107.2ms, response200 completed after5393.1ms; prior-food history remained. Replacement ginger black sesame latte then milk finished with the current milk results. This native attempt did not isolate the exact250ms inter-request window; actual-source deterministic tests do. Hint/0/1/2/full-query native22 evidence retained.</x:v>
      </x:c>
      <x:c r="L439" s="72" t="str">
        <x:v>DEF-014, DEF-015</x:v>
      </x:c>
      <x:c r="M439" s="72" t="str">
        <x:v>Narrow defects now Fixed using native visible behavior plus deterministic actual-source regression tests. Aggregate native matrix gaps remain explicit; no Initial result backfilled.</x:v>
      </x:c>
    </x:row>
    <x:row r="440" ht="250.8000030517578" hidden="0" customHeight="1">
      <x:c r="A440" s="72" t="str">
        <x:v>RUN-0436</x:v>
      </x:c>
      <x:c r="B440" s="72" t="str">
        <x:v>NUT-020</x:v>
      </x:c>
      <x:c r="C440" s="72" t="str">
        <x:v>Retest</x:v>
      </x:c>
      <x:c r="D440" s="72" t="str">
        <x:v>iOS</x:v>
      </x:c>
      <x:c r="E440" s="72" t="str">
        <x:v>iPhone17 Pro QA B5DFD1FE</x:v>
      </x:c>
      <x:c r="F440" s="72" t="str">
        <x:v>iOS26.5</x:v>
      </x:c>
      <x:c r="G440" s="72" t="str">
        <x:v>1.0.0b23; retained native22 evidence explicitly identified</x:v>
      </x:c>
      <x:c r="H440" s="73" t="n">
        <x:v>46271.60178575232</x:v>
      </x:c>
      <x:c r="I440" s="72" t="str">
        <x:v>Blocked</x:v>
      </x:c>
      <x:c r="J440" s="72" t="str">
        <x:v>/Users/mason/.codex/visualizations/2026/09/01/01a05def-1c0d-76d1-abc6-07c63a443582/emulator-runs/retest/ios/NUT-020-b23-clear-search-settled.png
/Users/mason/.codex/visualizations/2026/09/01/01a05def-1c0d-76d1-abc6-07c63a443582/emulator-runs/retest/ios/NUT-020-b23-clear-search.mov
/Users/mason/.codex/visualizations/2026/09/01/01a05def-1c0d-76d1-abc6-07c63a443582/emulator-runs/retest/ios/NUT-020-b22-cleared.png
/Users/mason/.codex/visualizations/2026/09/01/01a05def-1c0d-76d1-abc6-07c63a443582/emulator-runs/retest/ios/NUT-020-b22-one-character.png
/Users/mason/.codex/visualizations/2026/09/01/01a05def-1c0d-76d1-abc6-07c63a443582/emulator-runs/retest/ios/NUT-020-b22-two-character.png
/Users/mason/.codex/visualizations/2026/09/01/01a05def-1c0d-76d1-abc6-07c63a443582/inventory/search-completion-b23-tests.log
/Users/mason/.codex/visualizations/2026/09/01/01a05def-1c0d-76d1-abc6-07c63a443582/inventory/ios-search-b23-counts.json</x:v>
      </x:c>
      <x:c r="K440" s="72" t="str">
        <x:v>Native video shows ginger oat latte with Searching visible, then native Select All/Backspace; empty search and previous-food history remain after waiting. Native22 hint/2-character/121-boundary checks are retained. Exact response arrival during the250ms next-query window is covered by actual-source tests, not an iOS remote trace.</x:v>
      </x:c>
      <x:c r="L440" s="72" t="str">
        <x:v>DEF-014, DEF-015</x:v>
      </x:c>
      <x:c r="M440" s="72" t="str">
        <x:v>Narrow defects now Fixed using native visible behavior plus deterministic actual-source regression tests. Aggregate native matrix gaps remain explicit; no Initial result backfilled.</x:v>
      </x:c>
    </x:row>
    <x:row r="441" ht="422.3999938964844" hidden="0" customHeight="1">
      <x:c r="A441" s="72" t="str">
        <x:v>RUN-0437</x:v>
      </x:c>
      <x:c r="B441" s="72" t="str">
        <x:v>NUT-045</x:v>
      </x:c>
      <x:c r="C441" s="72" t="str">
        <x:v>Retest</x:v>
      </x:c>
      <x:c r="D441" s="72" t="str">
        <x:v>Android</x:v>
      </x:c>
      <x:c r="E441" s="72" t="str">
        <x:v>Medium Phone emulator-5554 QA user10</x:v>
      </x:c>
      <x:c r="F441" s="72" t="str">
        <x:v>Android17/API37</x:v>
      </x:c>
      <x:c r="G441" s="72" t="str">
        <x:v>1.0.0b23; retained native22 evidence explicitly identified</x:v>
      </x:c>
      <x:c r="H441" s="73" t="n">
        <x:v>46271.60180034722</x:v>
      </x:c>
      <x:c r="I441" s="72" t="str">
        <x:v>Blocked</x:v>
      </x:c>
      <x:c r="J441" s="72" t="str">
        <x:v>/Users/mason/.codex/visualizations/2026/09/01/01a05def-1c0d-76d1-abc6-07c63a443582/emulator-runs/retest/android/NUT-045-b23-pending-cancel-reopen.json
/Users/mason/.codex/visualizations/2026/09/01/01a05def-1c0d-76d1-abc6-07c63a443582/emulator-runs/retest/android/NUT-045-b23-pending-cancel-reopen.png
/Users/mason/.codex/visualizations/2026/09/01/01a05def-1c0d-76d1-abc6-07c63a443582/emulator-runs/retest/android/NUT-045-b22-rapid-query.json
/Users/mason/.codex/visualizations/2026/09/01/01a05def-1c0d-76d1-abc6-07c63a443582/emulator-runs/retest/android/NUT-045-b22-rapid-query.png
/Users/mason/.codex/visualizations/2026/09/01/01a05def-1c0d-76d1-abc6-07c63a443582/emulator-runs/retest/android/NUT-045-b22-recovered.json
/Users/mason/.codex/visualizations/2026/09/01/01a05def-1c0d-76d1-abc6-07c63a443582/emulator-runs/retest/android/NUT-045-b22-recovered.png
/Users/mason/.codex/visualizations/2026/09/01/01a05def-1c0d-76d1-abc6-07c63a443582/emulator-runs/retest/android/NUT-045-b22-request-error.json
/Users/mason/.codex/visualizations/2026/09/01/01a05def-1c0d-76d1-abc6-07c63a443582/emulator-runs/retest/android/NUT-045-b22-request-error.png
/Users/mason/.codex/visualizations/2026/09/01/01a05def-1c0d-76d1-abc6-07c63a443582/emulator-runs/retest/android/NUT-045-b22-retry-error.json
/Users/mason/.codex/visualizations/2026/09/01/01a05def-1c0d-76d1-abc6-07c63a443582/emulator-runs/retest/android/NUT-045-b22-two-character.json
/Users/mason/.codex/visualizations/2026/09/01/01a05def-1c0d-76d1-abc6-07c63a443582/inventory/search-completion-b23-tests.log</x:v>
      </x:c>
      <x:c r="K441" s="72" t="str">
        <x:v>Cancel at485060.2ms during request started484635.8ms; successful response took3912.8ms. Reopened draft stays blank with one serving, zero ingredients/totals. Earlier build22 complete-query250.4ms debounce, inline422/Retry/recovery and build23 selection races pass. Deliberately reordered query responses beyond this cancellation case remain unobserved natively.</x:v>
      </x:c>
      <x:c r="L441" s="72" t="str">
        <x:v>DEF-031</x:v>
      </x:c>
      <x:c r="M441" s="72" t="str">
        <x:v>Narrow defects now Fixed using native visible behavior plus deterministic actual-source regression tests. Aggregate native matrix gaps remain explicit; no Initial result backfilled.</x:v>
      </x:c>
    </x:row>
    <x:row r="442" ht="369.6000061035156" hidden="0" customHeight="1">
      <x:c r="A442" s="72" t="str">
        <x:v>RUN-0438</x:v>
      </x:c>
      <x:c r="B442" s="72" t="str">
        <x:v>NUT-045</x:v>
      </x:c>
      <x:c r="C442" s="72" t="str">
        <x:v>Retest</x:v>
      </x:c>
      <x:c r="D442" s="72" t="str">
        <x:v>iOS</x:v>
      </x:c>
      <x:c r="E442" s="72" t="str">
        <x:v>iPhone17 Pro QA B5DFD1FE</x:v>
      </x:c>
      <x:c r="F442" s="72" t="str">
        <x:v>iOS26.5</x:v>
      </x:c>
      <x:c r="G442" s="72" t="str">
        <x:v>1.0.0b23; retained native22 evidence explicitly identified</x:v>
      </x:c>
      <x:c r="H442" s="73" t="n">
        <x:v>46271.60181516204</x:v>
      </x:c>
      <x:c r="I442" s="72" t="str">
        <x:v>Blocked</x:v>
      </x:c>
      <x:c r="J442" s="72" t="str">
        <x:v>/Users/mason/.codex/visualizations/2026/09/01/01a05def-1c0d-76d1-abc6-07c63a443582/emulator-runs/retest/ios/NUT-045-b23-clear-search-settled.png
/Users/mason/.codex/visualizations/2026/09/01/01a05def-1c0d-76d1-abc6-07c63a443582/emulator-runs/retest/ios/NUT-045-b23-clear-search.mov
/Users/mason/.codex/visualizations/2026/09/01/01a05def-1c0d-76d1-abc6-07c63a443582/emulator-runs/retest/ios/NUT-045-b22-cancel-reopen.png
/Users/mason/.codex/visualizations/2026/09/01/01a05def-1c0d-76d1-abc6-07c63a443582/emulator-runs/retest/ios/NUT-045-b22-one-character.png
/Users/mason/.codex/visualizations/2026/09/01/01a05def-1c0d-76d1-abc6-07c63a443582/emulator-runs/retest/ios/NUT-045-b22-product-added.png
/Users/mason/.codex/visualizations/2026/09/01/01a05def-1c0d-76d1-abc6-07c63a443582/emulator-runs/retest/ios/NUT-045-b22-recovered.png
/Users/mason/.codex/visualizations/2026/09/01/01a05def-1c0d-76d1-abc6-07c63a443582/emulator-runs/retest/ios/NUT-045-b22-request-error.png
/Users/mason/.codex/visualizations/2026/09/01/01a05def-1c0d-76d1-abc6-07c63a443582/emulator-runs/retest/ios/NUT-045-b22-retry-error.png
/Users/mason/.codex/visualizations/2026/09/01/01a05def-1c0d-76d1-abc6-07c63a443582/inventory/search-completion-b23-tests.log
/Users/mason/.codex/visualizations/2026/09/01/01a05def-1c0d-76d1-abc6-07c63a443582/inventory/ios-search-b23-counts.json</x:v>
      </x:c>
      <x:c r="K442" s="72" t="str">
        <x:v>Native video shows pistachio latte with Searching visible; clearing keeps blank results after waiting. Earlier native22 error/Retry/recovery and native23 selection-race passes retained. Pending Cancel attempt did not establish the race: results returned before Cancel. Exact native request timing remains unavailable. No recipe/meal added;37 meals/9 recipes/outbox0 verified.</x:v>
      </x:c>
      <x:c r="L442" s="72" t="str">
        <x:v>DEF-031</x:v>
      </x:c>
      <x:c r="M442" s="72" t="str">
        <x:v>Narrow defects now Fixed using native visible behavior plus deterministic actual-source regression tests. Aggregate native matrix gaps remain explicit; no Initial result backfilled.</x:v>
      </x:c>
    </x:row>
    <x:row r="443" ht="224.39999389648438" hidden="0" customHeight="1">
      <x:c r="A443" s="72" t="str">
        <x:v>RUN-0439</x:v>
      </x:c>
      <x:c r="B443" s="72" t="str">
        <x:v>NUT-021</x:v>
      </x:c>
      <x:c r="C443" s="72" t="str">
        <x:v>Retest</x:v>
      </x:c>
      <x:c r="D443" s="72" t="str">
        <x:v>Android</x:v>
      </x:c>
      <x:c r="E443" s="72" t="str">
        <x:v>Medium Phone emulator-5554 QA user10</x:v>
      </x:c>
      <x:c r="F443" s="72" t="str">
        <x:v>Android17/API37</x:v>
      </x:c>
      <x:c r="G443" s="72" t="str">
        <x:v>1.0.0b23 installed/extracted</x:v>
      </x:c>
      <x:c r="H443" s="73" t="n">
        <x:v>46271.60352211806</x:v>
      </x:c>
      <x:c r="I443" s="72" t="str">
        <x:v>Blocked</x:v>
      </x:c>
      <x:c r="J443" s="72" t="str">
        <x:v>/Users/mason/.codex/visualizations/2026/09/01/01a05def-1c0d-76d1-abc6-07c63a443582/emulator-runs/retest/android/DEF-072-b23-query-results.json
/Users/mason/.codex/visualizations/2026/09/01/01a05def-1c0d-76d1-abc6-07c63a443582/emulator-runs/retest/android/DEF-072-b23-query-results.png
/Users/mason/.codex/visualizations/2026/09/01/01a05def-1c0d-76d1-abc6-07c63a443582/emulator-runs/retest/android/DEF-072-b23-keyboard-search.json
/Users/mason/.codex/visualizations/2026/09/01/01a05def-1c0d-76d1-abc6-07c63a443582/emulator-runs/retest/android/DEF-072-b23-keyboard-search.png
/Users/mason/.codex/visualizations/2026/09/01/01a05def-1c0d-76d1-abc6-07c63a443582/inventory/android-build23-install-provenance.json
/Users/mason/.codex/visualizations/2026/09/01/01a05def-1c0d-76d1-abc6-07c63a443582/inventory/search-completion-b23-tests.log</x:v>
      </x:c>
      <x:c r="K443" s="72" t="str">
        <x:v>DEF072 narrow Passed: debounced peanut request includes q=peanut and locale=en-US,200 after5274.4ms. Keyboard Search sends the same complete URL,200 after1769.4ms. Native catalogue cards remain visible. Result composition, history-first/duplicate/cap and review-selection matrix remain untested in this run; no meal saved.</x:v>
      </x:c>
      <x:c r="L443" s="72" t="str">
        <x:v>DEF-072</x:v>
      </x:c>
      <x:c r="M443" s="72" t="str">
        <x:v>Query omission is fixed; broader story stays Blocked.</x:v>
      </x:c>
    </x:row>
    <x:row r="444" ht="105.5999984741211" hidden="0" customHeight="1">
      <x:c r="A444" s="70" t="str">
        <x:v>RUN-0440</x:v>
      </x:c>
      <x:c r="B444" s="70" t="str">
        <x:v>HLT-023</x:v>
      </x:c>
      <x:c r="C444" s="70" t="str">
        <x:v>Retest</x:v>
      </x:c>
      <x:c r="D444" s="70" t="str">
        <x:v>Android</x:v>
      </x:c>
      <x:c r="E444" s="70" t="str">
        <x:v>emulator-5554 QA user10</x:v>
      </x:c>
      <x:c r="F444" s="70" t="str">
        <x:v>Android17/API37</x:v>
      </x:c>
      <x:c r="G444" s="70" t="str">
        <x:v>1.0.0b23</x:v>
      </x:c>
      <x:c r="H444" s="71" t="n">
        <x:v>46271.61070744213</x:v>
      </x:c>
      <x:c r="I444" s="70" t="str">
        <x:v>Passed</x:v>
      </x:c>
      <x:c r="J444" s="70" t="str">
        <x:v>/Users/mason/.codex/visualizations/2026/09/06/01a07722-2d43-7910-aa74-f3a7d9489dc2/release-qa/DEF-067-offline-saved.json
/Users/mason/.codex/visualizations/2026/09/06/01a07722-2d43-7910-aa74-f3a7d9489dc2/release-qa/DEF-067-offline-saved.png
/Users/mason/.codex/visualizations/2026/09/06/01a07722-2d43-7910-aa74-f3a7d9489dc2/release-qa/DEF-067-cold-offline.json
/Users/mason/.codex/visualizations/2026/09/06/01a07722-2d43-7910-aa74-f3a7d9489dc2/release-qa/DEF-067-reconnected.json</x:v>
      </x:c>
      <x:c r="K444" s="70" t="str">
        <x:v>Injected a synthetic JPEG through the real file input/change handler, saved a new QA measurement offline, and opened its native WebView photo sheet. JPEG rendered without a crash. QA-only force-stop/relaunch changed PID7874 to10379; no default network, same photo rendered at640px with the same8739-character data URL. Reconnect uploaded the photo: HTTP200, front pose, HTTPS cloud URL, pending=false.</x:v>
      </x:c>
      <x:c r="L444" s="70" t="str">
        <x:v>DEF-067</x:v>
      </x:c>
      <x:c r="M444" s="70" t="str">
        <x:v>Preserved previous records. New QA measurement 2026-09-06 75.5kg retained. Airplane mode restored to0, Wi-Fi/mobile data to1. No native build, private database export, or destructive data cleanup. User removed the75% usage stopping rule for this pass.</x:v>
      </x:c>
    </x:row>
    <x:row r="445" ht="79.19999694824219" hidden="0" customHeight="1">
      <x:c r="A445" s="70" t="str">
        <x:v>RUN-0441</x:v>
      </x:c>
      <x:c r="B445" s="70" t="str">
        <x:v>HLT-025</x:v>
      </x:c>
      <x:c r="C445" s="70" t="str">
        <x:v>Retest</x:v>
      </x:c>
      <x:c r="D445" s="70" t="str">
        <x:v>Android</x:v>
      </x:c>
      <x:c r="E445" s="70" t="str">
        <x:v>emulator-5554 QA user10</x:v>
      </x:c>
      <x:c r="F445" s="70" t="str">
        <x:v>Android17/API37</x:v>
      </x:c>
      <x:c r="G445" s="70" t="str">
        <x:v>1.0.0b23</x:v>
      </x:c>
      <x:c r="H445" s="71" t="n">
        <x:v>46271.61366354167</x:v>
      </x:c>
      <x:c r="I445" s="70" t="str">
        <x:v>Passed</x:v>
      </x:c>
      <x:c r="J445" s="70" t="str">
        <x:v>/Users/mason/.codex/visualizations/2026/09/06/01a07722-2d43-7910-aa74-f3a7d9489dc2/release-qa/DEF-083-offline-saved.json
/Users/mason/.codex/visualizations/2026/09/06/01a07722-2d43-7910-aa74-f3a7d9489dc2/release-qa/DEF-083-cold-offline.json
/Users/mason/.codex/visualizations/2026/09/06/01a07722-2d43-7910-aa74-f3a7d9489dc2/release-qa/DEF-083-reconnected.json</x:v>
      </x:c>
      <x:c r="K445" s="70" t="str">
        <x:v>Added a new synthetic JPEG via photo-sheet library input to the already-synced QA measurement. Offline GET returned a durable pending photo. QA-only cold restart PID10379→11232 with no default network preserved the same pending ID and8719-character JPEG, rendered640px. Reconnect returned200 with an HTTPS cloud photo and pending=false.</x:v>
      </x:c>
      <x:c r="L445" s="70" t="str">
        <x:v>DEF-083</x:v>
      </x:c>
      <x:c r="M445" s="70" t="str">
        <x:v>No metric save/outbox was used for this upload. Previous records preserved, networking restored. Owner0 PID11228 appeared automatically during QA cold launch, not targeted. Staged-file cleanup is covered by feature tests; protected Android database was not accessed.</x:v>
      </x:c>
    </x:row>
    <x:row r="446" ht="66" hidden="0" customHeight="1">
      <x:c r="A446" s="70" t="str">
        <x:v>RUN-0442</x:v>
      </x:c>
      <x:c r="B446" s="70" t="str">
        <x:v>ACC-030</x:v>
      </x:c>
      <x:c r="C446" s="70" t="str">
        <x:v>Retest</x:v>
      </x:c>
      <x:c r="D446" s="70" t="str">
        <x:v>Android</x:v>
      </x:c>
      <x:c r="E446" s="70" t="str">
        <x:v>emulator-5554 QA user10</x:v>
      </x:c>
      <x:c r="F446" s="70" t="str">
        <x:v>Android17/API37</x:v>
      </x:c>
      <x:c r="G446" s="70" t="str">
        <x:v>1.0.0b23; generated document-start script injected for control only</x:v>
      </x:c>
      <x:c r="H446" s="71" t="n">
        <x:v>46271.61825526621</x:v>
      </x:c>
      <x:c r="I446" s="70" t="str">
        <x:v>Blocked</x:v>
      </x:c>
      <x:c r="J446" s="70" t="str">
        <x:v>/Users/mason/.codex/visualizations/2026/09/06/01a07722-2d43-7910-aa74-f3a7d9489dc2/release-qa/DEF-043-cold-request.json
/Users/mason/.codex/visualizations/2026/09/06/01a07722-2d43-7910-aa74-f3a7d9489dc2/release-qa/DEF-043-cold-request-fixed.json</x:v>
      </x:c>
      <x:c r="K446" s="70" t="str">
        <x:v>Native transport reproduction: complete JSON estimate request atDOMContentLoaded before capture hook returned422 missing required fields. Generated script injected at document start made the identical request return200/calories2100/P157.5/C210/F70. No onboarding completion or account data mutation.</x:v>
      </x:c>
      <x:c r="L446" s="70" t="str">
        <x:v>DEF-043</x:v>
      </x:c>
      <x:c r="M446" s="70" t="str">
        <x:v>Native code is prepared but not rebuilt; manual Android rebuild requested under NativePHP build rule. Full draft restoration needs a disposable no-goal account. Historical failure retained.</x:v>
      </x:c>
    </x:row>
    <x:row r="447" ht="79.19999694824219" hidden="0" customHeight="1">
      <x:c r="A447" s="70" t="str">
        <x:v>RUN-0443</x:v>
      </x:c>
      <x:c r="B447" s="70" t="str">
        <x:v>HLT-009</x:v>
      </x:c>
      <x:c r="C447" s="70" t="str">
        <x:v>Retest</x:v>
      </x:c>
      <x:c r="D447" s="70" t="str">
        <x:v>Android</x:v>
      </x:c>
      <x:c r="E447" s="70" t="str">
        <x:v>emulator-5554 QA user10</x:v>
      </x:c>
      <x:c r="F447" s="70" t="str">
        <x:v>Android17/API37</x:v>
      </x:c>
      <x:c r="G447" s="70" t="str">
        <x:v>1.0.0b23</x:v>
      </x:c>
      <x:c r="H447" s="71" t="n">
        <x:v>46271.62856611111</x:v>
      </x:c>
      <x:c r="I447" s="70" t="str">
        <x:v>Blocked</x:v>
      </x:c>
      <x:c r="J447" s="70" t="str">
        <x:v>/Users/mason/.codex/visualizations/2026/09/06/01a07722-2d43-7910-aa74-f3a7d9489dc2/release-qa/DEF-060-historical-hydration.json
/Users/mason/.codex/visualizations/2026/09/06/01a07722-2d43-7910-aa74-f3a7d9489dc2/release-qa/DEF-060-android-after-weight-edit.json</x:v>
      </x:c>
      <x:c r="K447" s="70" t="str">
        <x:v>Narrow defect Passed: selected historical date hydrated all fields. Weight-only save76.1 retained bodyfat20, measurements100/85/100/35/55 and QA notes. Restored original76. No duplicate date created. Delayed/failed lookup, rapid races and optional clearing remain deferred.</x:v>
      </x:c>
      <x:c r="L447" s="70" t="str">
        <x:v>DEF-060</x:v>
      </x:c>
      <x:c r="M447" s="70" t="str">
        <x:v>Release-focused narrow regression completed; aggregate story remains Blocked because this pass intentionally pauses the exhaustive matrix.</x:v>
      </x:c>
    </x:row>
    <x:row r="448" ht="52.79999923706055" hidden="0" customHeight="1">
      <x:c r="A448" s="70" t="str">
        <x:v>RUN-0444</x:v>
      </x:c>
      <x:c r="B448" s="70" t="str">
        <x:v>HLT-009</x:v>
      </x:c>
      <x:c r="C448" s="70" t="str">
        <x:v>Retest</x:v>
      </x:c>
      <x:c r="D448" s="70" t="str">
        <x:v>iOS</x:v>
      </x:c>
      <x:c r="E448" s="70" t="str">
        <x:v>iPhone17 Pro QA B5DFD1FE</x:v>
      </x:c>
      <x:c r="F448" s="70" t="str">
        <x:v>iOS26.5</x:v>
      </x:c>
      <x:c r="G448" s="70" t="str">
        <x:v>1.0.0b23</x:v>
      </x:c>
      <x:c r="H448" s="71" t="n">
        <x:v>46271.628581226854</x:v>
      </x:c>
      <x:c r="I448" s="70" t="str">
        <x:v>Blocked</x:v>
      </x:c>
      <x:c r="J448" s="70" t="str">
        <x:v>/Users/mason/.codex/visualizations/2026/09/06/01a07722-2d43-7910-aa74-f3a7d9489dc2/release-qa/DEF-060-ios-historical-saved.png</x:v>
      </x:c>
      <x:c r="K448" s="70" t="str">
        <x:v>Narrow defect Passed: native date picker selected September3; form restored76kg/20% and QA historical notes. Saving retained historical row and notes. Native UI only, no remote inspector. Broader lookup race/retry/clear combinations deferred.</x:v>
      </x:c>
      <x:c r="L448" s="70" t="str">
        <x:v>DEF-060</x:v>
      </x:c>
      <x:c r="M448" s="70" t="str">
        <x:v>Release-focused narrow regression completed; aggregate story remains Blocked because this pass intentionally pauses the exhaustive matrix.</x:v>
      </x:c>
    </x:row>
    <x:row r="449" ht="39.599998474121094" hidden="0" customHeight="1">
      <x:c r="A449" s="70" t="str">
        <x:v>RUN-0445</x:v>
      </x:c>
      <x:c r="B449" s="70" t="str">
        <x:v>HLT-031</x:v>
      </x:c>
      <x:c r="C449" s="70" t="str">
        <x:v>Retest</x:v>
      </x:c>
      <x:c r="D449" s="70" t="str">
        <x:v>Android</x:v>
      </x:c>
      <x:c r="E449" s="70" t="str">
        <x:v>emulator-5554 QA user10</x:v>
      </x:c>
      <x:c r="F449" s="70" t="str">
        <x:v>Android17/API37</x:v>
      </x:c>
      <x:c r="G449" s="70" t="str">
        <x:v>1.0.0b23</x:v>
      </x:c>
      <x:c r="H449" s="71" t="n">
        <x:v>46271.62859658565</x:v>
      </x:c>
      <x:c r="I449" s="70" t="str">
        <x:v>Blocked</x:v>
      </x:c>
      <x:c r="J449" s="70" t="str">
        <x:v>/Users/mason/.codex/visualizations/2026/09/06/01a07722-2d43-7910-aa74-f3a7d9489dc2/release-qa/DEF-069-android-target-bound.json</x:v>
      </x:c>
      <x:c r="K449" s="70" t="str">
        <x:v>Narrow defect Passed:10kg displays20–1000kg error and disables Save. Draft discarded without saving. Other unit/boundary/target-line cases deferred.</x:v>
      </x:c>
      <x:c r="L449" s="70" t="str">
        <x:v>DEF-069</x:v>
      </x:c>
      <x:c r="M449" s="70" t="str">
        <x:v>Release-focused narrow regression completed; aggregate story remains Blocked because this pass intentionally pauses the exhaustive matrix.</x:v>
      </x:c>
    </x:row>
    <x:row r="450" ht="39.599998474121094" hidden="0" customHeight="1">
      <x:c r="A450" s="70" t="str">
        <x:v>RUN-0446</x:v>
      </x:c>
      <x:c r="B450" s="70" t="str">
        <x:v>HLT-031</x:v>
      </x:c>
      <x:c r="C450" s="70" t="str">
        <x:v>Retest</x:v>
      </x:c>
      <x:c r="D450" s="70" t="str">
        <x:v>iOS</x:v>
      </x:c>
      <x:c r="E450" s="70" t="str">
        <x:v>iPhone17 Pro QA B5DFD1FE</x:v>
      </x:c>
      <x:c r="F450" s="70" t="str">
        <x:v>iOS26.5</x:v>
      </x:c>
      <x:c r="G450" s="70" t="str">
        <x:v>1.0.0b23</x:v>
      </x:c>
      <x:c r="H450" s="71" t="n">
        <x:v>46271.62861241898</x:v>
      </x:c>
      <x:c r="I450" s="70" t="str">
        <x:v>Blocked</x:v>
      </x:c>
      <x:c r="J450" s="70" t="str">
        <x:v>/Users/mason/.codex/visualizations/2026/09/06/01a07722-2d43-7910-aa74-f3a7d9489dc2/release-qa/DEF-069-ios-target-bound.png</x:v>
      </x:c>
      <x:c r="K450" s="70" t="str">
        <x:v>Narrow defect Passed:10kg displays20–1000kg error and disables Save. Field cleared without saving. Other unit/boundary/target-line cases deferred.</x:v>
      </x:c>
      <x:c r="L450" s="70" t="str">
        <x:v>DEF-069</x:v>
      </x:c>
      <x:c r="M450" s="70" t="str">
        <x:v>Release-focused narrow regression completed; aggregate story remains Blocked because this pass intentionally pauses the exhaustive matrix.</x:v>
      </x:c>
    </x:row>
    <x:row r="451" ht="52.79999923706055" hidden="0" customHeight="1">
      <x:c r="A451" s="70" t="str">
        <x:v>RUN-0447</x:v>
      </x:c>
      <x:c r="B451" s="70" t="str">
        <x:v>ACC-082</x:v>
      </x:c>
      <x:c r="C451" s="70" t="str">
        <x:v>Retest</x:v>
      </x:c>
      <x:c r="D451" s="70" t="str">
        <x:v>Android</x:v>
      </x:c>
      <x:c r="E451" s="70" t="str">
        <x:v>emulator-5556 clean small_phone</x:v>
      </x:c>
      <x:c r="F451" s="70" t="str">
        <x:v>Android16/API36.1</x:v>
      </x:c>
      <x:c r="G451" s="70" t="str">
        <x:v>1.0.0b24</x:v>
      </x:c>
      <x:c r="H451" s="71" t="n">
        <x:v>46271.64032121528</x:v>
      </x:c>
      <x:c r="I451" s="70" t="str">
        <x:v>Blocked</x:v>
      </x:c>
      <x:c r="J451" s="70" t="str">
        <x:v>/Users/mason/.codex/visualizations/2026/09/06/01a07722-2d43-7910-aa74-f3a7d9489dc2/release-qa/release-verification.json
/Users/mason/.codex/visualizations/2026/09/06/01a07722-2d43-7910-aa74-f3a7d9489dc2/release-qa/release-startup.png</x:v>
      </x:c>
      <x:c r="K451" s="70" t="str">
        <x:v>Startup/package subset Passed: signed release24 installed and rendered login. Correct version/platform, no public/hot/private files, production debug=false, signatures verified; AAB/APK bundled entries identical. No upload. Store/purchase matrix deferred.</x:v>
      </x:c>
      <x:c r="L451" s="70" t="str">
        <x:v>DEF-002, DEF-003, DEF-048, DEF-079</x:v>
      </x:c>
      <x:c r="M451" s="70" t="str">
        <x:v>Focused release pass. Narrow defect results are stated explicitly; broader story coverage remains deferred, preserving the exhaustive matrix.</x:v>
      </x:c>
    </x:row>
    <x:row r="452" ht="66" hidden="0" customHeight="1">
      <x:c r="A452" s="70" t="str">
        <x:v>RUN-0448</x:v>
      </x:c>
      <x:c r="B452" s="70" t="str">
        <x:v>ACC-082</x:v>
      </x:c>
      <x:c r="C452" s="70" t="str">
        <x:v>Retest</x:v>
      </x:c>
      <x:c r="D452" s="70" t="str">
        <x:v>iOS</x:v>
      </x:c>
      <x:c r="E452" s="70" t="str">
        <x:v>iPhone17 Pro QA B5DFD1FE</x:v>
      </x:c>
      <x:c r="F452" s="70" t="str">
        <x:v>iOS26.5</x:v>
      </x:c>
      <x:c r="G452" s="70" t="str">
        <x:v>1.0.0b23</x:v>
      </x:c>
      <x:c r="H452" s="71" t="n">
        <x:v>46271.640344039355</x:v>
      </x:c>
      <x:c r="I452" s="70" t="str">
        <x:v>Blocked</x:v>
      </x:c>
      <x:c r="J452" s="70" t="str">
        <x:v>/Users/mason/.codex/visualizations/2026/09/06/01a07722-2d43-7910-aa74-f3a7d9489dc2/release-qa/ios-bundle-platform.json
/Users/mason/.codex/visualizations/2026/09/06/01a07722-2d43-7910-aa74-f3a7d9489dc2/release-qa/DEF-060-ios-historical-saved.png</x:v>
      </x:c>
      <x:c r="K452" s="70" t="str">
        <x:v>Startup/platform subset Passed: installed iOS23 bundle marker ios; native Progress and Goals rendered and handled validation/historical saving. Full release archive/purchase matrix not performed.</x:v>
      </x:c>
      <x:c r="L452" s="70" t="str">
        <x:v>DEF-048, DEF-079</x:v>
      </x:c>
      <x:c r="M452" s="70" t="str">
        <x:v>Focused release pass. Narrow defect results are stated explicitly; broader story coverage remains deferred, preserving the exhaustive matrix.</x:v>
      </x:c>
    </x:row>
    <x:row r="453" ht="79.19999694824219" hidden="0" customHeight="1">
      <x:c r="A453" s="70" t="str">
        <x:v>RUN-0449</x:v>
      </x:c>
      <x:c r="B453" s="70" t="str">
        <x:v>HLT-011</x:v>
      </x:c>
      <x:c r="C453" s="70" t="str">
        <x:v>Retest</x:v>
      </x:c>
      <x:c r="D453" s="70" t="str">
        <x:v>Android</x:v>
      </x:c>
      <x:c r="E453" s="70" t="str">
        <x:v>emulator-5554 QA user10</x:v>
      </x:c>
      <x:c r="F453" s="70" t="str">
        <x:v>Android17/API37</x:v>
      </x:c>
      <x:c r="G453" s="70" t="str">
        <x:v>1.0.0b23</x:v>
      </x:c>
      <x:c r="H453" s="71" t="n">
        <x:v>46271.640365300926</x:v>
      </x:c>
      <x:c r="I453" s="70" t="str">
        <x:v>Blocked</x:v>
      </x:c>
      <x:c r="J453" s="70" t="str">
        <x:v>/Users/mason/.codex/visualizations/2026/09/06/01a07722-2d43-7910-aa74-f3a7d9489dc2/release-qa/DEF-062-android-future-date.json
/Users/mason/.codex/visualizations/2026/09/06/01a07722-2d43-7910-aa74-f3a7d9489dc2/release-qa/DEF-084-android-current-weight-bound.json</x:v>
      </x:c>
      <x:c r="K453" s="70" t="str">
        <x:v>Future-date defect Passed: September7 rejected on September6. Progress weight subset Passed:19.99kg cannot save; original75.5kg history preserved and draft restored. Future date restored to today. Onboarding weight matrix remains blocked by no fresh account.</x:v>
      </x:c>
      <x:c r="L453" s="70" t="str">
        <x:v>DEF-062, DEF-084</x:v>
      </x:c>
      <x:c r="M453" s="70" t="str">
        <x:v>Focused release pass. Narrow defect results are stated explicitly; broader story coverage remains deferred, preserving the exhaustive matrix.</x:v>
      </x:c>
    </x:row>
    <x:row r="454" ht="66" hidden="0" customHeight="1">
      <x:c r="A454" s="70" t="str">
        <x:v>RUN-0450</x:v>
      </x:c>
      <x:c r="B454" s="70" t="str">
        <x:v>HLT-011</x:v>
      </x:c>
      <x:c r="C454" s="70" t="str">
        <x:v>Retest</x:v>
      </x:c>
      <x:c r="D454" s="70" t="str">
        <x:v>iOS</x:v>
      </x:c>
      <x:c r="E454" s="70" t="str">
        <x:v>iPhone17 Pro QA B5DFD1FE</x:v>
      </x:c>
      <x:c r="F454" s="70" t="str">
        <x:v>iOS26.5</x:v>
      </x:c>
      <x:c r="G454" s="70" t="str">
        <x:v>1.0.0b23</x:v>
      </x:c>
      <x:c r="H454" s="71" t="n">
        <x:v>46271.64039261574</x:v>
      </x:c>
      <x:c r="I454" s="70" t="str">
        <x:v>Blocked</x:v>
      </x:c>
      <x:c r="J454" s="70" t="str">
        <x:v>/Users/mason/.codex/visualizations/2026/09/06/01a07722-2d43-7910-aa74-f3a7d9489dc2/release-qa/DEF-062-ios-future-date.png
/Users/mason/.codex/visualizations/2026/09/06/01a07722-2d43-7910-aa74-f3a7d9489dc2/release-qa/DEF-084-ios-current-weight-bound.png</x:v>
      </x:c>
      <x:c r="K454" s="70" t="str">
        <x:v>Future-date defect Passed: September7 rejected on September6. Progress weight subset Passed:19.99kg cannot save; original75.5kg history preserved and draft restored. Future date restored to today. Onboarding weight matrix remains blocked by no fresh account.</x:v>
      </x:c>
      <x:c r="L454" s="70" t="str">
        <x:v>DEF-062, DEF-084</x:v>
      </x:c>
      <x:c r="M454" s="70" t="str">
        <x:v>Focused release pass. Narrow defect results are stated explicitly; broader story coverage remains deferred, preserving the exhaustive matrix.</x:v>
      </x:c>
    </x:row>
    <x:row r="455" ht="66" hidden="0" customHeight="1">
      <x:c r="A455" s="70" t="str">
        <x:v>RUN-0451</x:v>
      </x:c>
      <x:c r="B455" s="70" t="str">
        <x:v>NUT-033</x:v>
      </x:c>
      <x:c r="C455" s="70" t="str">
        <x:v>Retest</x:v>
      </x:c>
      <x:c r="D455" s="70" t="str">
        <x:v>Android</x:v>
      </x:c>
      <x:c r="E455" s="70" t="str">
        <x:v>emulator-5554 QA user10</x:v>
      </x:c>
      <x:c r="F455" s="70" t="str">
        <x:v>Android17/API37</x:v>
      </x:c>
      <x:c r="G455" s="70" t="str">
        <x:v>1.0.0b23</x:v>
      </x:c>
      <x:c r="H455" s="71" t="n">
        <x:v>46271.64041800926</x:v>
      </x:c>
      <x:c r="I455" s="70" t="str">
        <x:v>Blocked</x:v>
      </x:c>
      <x:c r="J455" s="70" t="str">
        <x:v>/Users/mason/.codex/visualizations/2026/09/06/01a07722-2d43-7910-aa74-f3a7d9489dc2/release-qa/DEF-021-banner-before.png
/Users/mason/.codex/visualizations/2026/09/06/01a07722-2d43-7910-aa74-f3a7d9489dc2/release-qa/DEF-021-excluded-route-permission.png</x:v>
      </x:c>
      <x:c r="K455" s="70" t="str">
        <x:v>Partial: Progress native ad visible before transition; excluded full-screen scanner removes ad and shows manual barcode control. OS camera permission remains ungranted; camera-ready subset blocked. Prompt dismissed without granting.</x:v>
      </x:c>
      <x:c r="L455" s="70" t="str">
        <x:v>DEF-021</x:v>
      </x:c>
      <x:c r="M455" s="70" t="str">
        <x:v>Focused release pass. Narrow defect results are stated explicitly; broader story coverage remains deferred, preserving the exhaustive matrix.</x:v>
      </x:c>
    </x:row>
    <x:row r="456" ht="92.4000015258789" hidden="0" customHeight="1">
      <x:c r="A456" s="70" t="str">
        <x:v>RUN-0452</x:v>
      </x:c>
      <x:c r="B456" s="70" t="str">
        <x:v>NUT-033</x:v>
      </x:c>
      <x:c r="C456" s="70" t="str">
        <x:v>Retest</x:v>
      </x:c>
      <x:c r="D456" s="70" t="str">
        <x:v>Android</x:v>
      </x:c>
      <x:c r="E456" s="70" t="str">
        <x:v>emulator-5554 QA user 10</x:v>
      </x:c>
      <x:c r="F456" s="70" t="str">
        <x:v>Android 17 / API 37</x:v>
      </x:c>
      <x:c r="G456" s="70" t="str">
        <x:v>1.0.0b24</x:v>
      </x:c>
      <x:c r="H456" s="71" t="n">
        <x:v>46271.74223740741</x:v>
      </x:c>
      <x:c r="I456" s="70" t="str">
        <x:v>Blocked</x:v>
      </x:c>
      <x:c r="J456" s="70" t="str">
        <x:v>/Users/mason/.codex/visualizations/2026/09/06/01a07722-2d43-7910-aa74-f3a7d9489dc2/release-qa/DEF-021-scanner-ready-failed.png
/Users/mason/.codex/visualizations/2026/09/06/01a07722-2d43-7910-aa74-f3a7d9489dc2/release-qa/DEF-021-scanner-fixed.png
/Users/mason/.codex/visualizations/2026/09/06/01a07722-2d43-7910-aa74-f3a7d9489dc2/release-qa/frontend-after-ad-race.log</x:v>
      </x:c>
      <x:c r="K456" s="70" t="str">
        <x:v>Exact blocked-control regression Passed on rebuilt shell: full-screen ready scanner, ad absent, manual barcode control visible. Delayed platform regression and full frontend suite pass.</x:v>
      </x:c>
      <x:c r="L456" s="70" t="str">
        <x:v>DEF-021</x:v>
      </x:c>
      <x:c r="M456" s="70" t="str">
        <x:v>Narrow release defect passed; broader story matrix deferred.</x:v>
      </x:c>
    </x:row>
    <x:row r="457" ht="52.79999923706055" hidden="0" customHeight="1">
      <x:c r="A457" s="70" t="str">
        <x:v>RUN-0453</x:v>
      </x:c>
      <x:c r="B457" s="70" t="str">
        <x:v>HLT-015</x:v>
      </x:c>
      <x:c r="C457" s="70" t="str">
        <x:v>Retest</x:v>
      </x:c>
      <x:c r="D457" s="70" t="str">
        <x:v>Android</x:v>
      </x:c>
      <x:c r="E457" s="70" t="str">
        <x:v>emulator-5554 QA user 10</x:v>
      </x:c>
      <x:c r="F457" s="70" t="str">
        <x:v>Android 17 / API 37</x:v>
      </x:c>
      <x:c r="G457" s="70" t="str">
        <x:v>1.0.0b23</x:v>
      </x:c>
      <x:c r="H457" s="71" t="n">
        <x:v>46271.74225939815</x:v>
      </x:c>
      <x:c r="I457" s="70" t="str">
        <x:v>Blocked</x:v>
      </x:c>
      <x:c r="J457" s="70" t="str">
        <x:v>/Users/mason/.codex/visualizations/2026/09/06/01a07722-2d43-7910-aa74-f3a7d9489dc2/release-qa/DEF-064-camera-ready.json
/Users/mason/.codex/visualizations/2026/09/06/01a07722-2d43-7910-aa74-f3a7d9489dc2/release-qa/DEF-064-camera-ready.png</x:v>
      </x:c>
      <x:c r="K457" s="70" t="str">
        <x:v>Exact overlay regression Passed with granted CAMERA: ready preview, all controls visible and no native banner. No photo captured.</x:v>
      </x:c>
      <x:c r="L457" s="70" t="str">
        <x:v>DEF-064</x:v>
      </x:c>
      <x:c r="M457" s="70" t="str">
        <x:v>Narrow release defect passed; broader story matrix deferred.</x:v>
      </x:c>
    </x:row>
    <x:row r="458" ht="132" hidden="0" customHeight="1">
      <x:c r="A458" s="70" t="str">
        <x:v>RUN-0454</x:v>
      </x:c>
      <x:c r="B458" s="70" t="str">
        <x:v>HLT-025</x:v>
      </x:c>
      <x:c r="C458" s="70" t="str">
        <x:v>Retest</x:v>
      </x:c>
      <x:c r="D458" s="70" t="str">
        <x:v>iOS</x:v>
      </x:c>
      <x:c r="E458" s="70" t="str">
        <x:v>iPhone 17 Pro B5DFD1FE</x:v>
      </x:c>
      <x:c r="F458" s="70" t="str">
        <x:v>iOS 26.5</x:v>
      </x:c>
      <x:c r="G458" s="70" t="str">
        <x:v>1.0.0b23</x:v>
      </x:c>
      <x:c r="H458" s="71" t="n">
        <x:v>46271.74228061343</x:v>
      </x:c>
      <x:c r="I458" s="70" t="str">
        <x:v>Blocked</x:v>
      </x:c>
      <x:c r="J458" s="70" t="str">
        <x:v>/Users/mason/.codex/visualizations/2026/09/06/01a07722-2d43-7910-aa74-f3a7d9489dc2/release-qa/DEF-083-ios-staged.png
/Users/mason/.codex/visualizations/2026/09/06/01a07722-2d43-7910-aa74-f3a7d9489dc2/release-qa/DEF-083-ios-cold-offline.png
/Users/mason/.codex/visualizations/2026/09/06/01a07722-2d43-7910-aa74-f3a7d9489dc2/release-qa/DEF-083-ios-cloud-before-reconnect.json
/Users/mason/.codex/visualizations/2026/09/06/01a07722-2d43-7910-aa74-f3a7d9489dc2/release-qa/DEF-083-ios-cloud-reconnected.json</x:v>
      </x:c>
      <x:c r="K458" s="70" t="str">
        <x:v>Staged a synthetic JPEG on synced September 4 metric during real app-scoped HTTPS connection failure. Native preview survived cold relaunch. Removed proxy via normal relaunch; independent Android API confirmed new cloud HTTPS photo. Existing data preserved.</x:v>
      </x:c>
      <x:c r="L458" s="70" t="str">
        <x:v>DEF-083</x:v>
      </x:c>
      <x:c r="M458" s="70" t="str">
        <x:v>Narrow release defect passed; broader story matrix deferred.</x:v>
      </x:c>
    </x:row>
    <x:row r="459" ht="79.19999694824219" hidden="0" customHeight="1">
      <x:c r="A459" s="70" t="str">
        <x:v>RUN-0455</x:v>
      </x:c>
      <x:c r="B459" s="70" t="str">
        <x:v>HLT-055</x:v>
      </x:c>
      <x:c r="C459" s="70" t="str">
        <x:v>Retest</x:v>
      </x:c>
      <x:c r="D459" s="70" t="str">
        <x:v>Android</x:v>
      </x:c>
      <x:c r="E459" s="70" t="str">
        <x:v>emulator-5554</x:v>
      </x:c>
      <x:c r="F459" s="70" t="str">
        <x:v>Android17 / API37</x:v>
      </x:c>
      <x:c r="G459" s="70" t="str">
        <x:v>1.0.0b24</x:v>
      </x:c>
      <x:c r="H459" s="71" t="n">
        <x:v>46271.75088496528</x:v>
      </x:c>
      <x:c r="I459" s="70" t="str">
        <x:v>Blocked</x:v>
      </x:c>
      <x:c r="J459" s="70" t="str">
        <x:v>/Users/mason/.codex/visualizations/2026/09/06/01a07722-2d43-7910-aa74-f3a7d9489dc2/release-qa/DEF-058-native-imported-record.json
/Users/mason/.codex/visualizations/2026/09/06/01a07722-2d43-7910-aa74-f3a7d9489dc2/release-qa/DEF-058-native-import-and-deletion.log</x:v>
      </x:c>
      <x:c r="K459" s="70" t="str">
        <x:v>Granted QA user10 foreground and background Activity read access. Actual native workers committed zero-record and synthetic50kcal imports with empty stdout and returned SUCCESS without retry. Today showed the imported50kcal workout.</x:v>
      </x:c>
      <x:c r="L459" s="70" t="str">
        <x:v>DEF-058</x:v>
      </x:c>
      <x:c r="M459" s="70" t="str">
        <x:v>Exact release regression Passed; broader story coverage deferred.</x:v>
      </x:c>
    </x:row>
    <x:row r="460" ht="66" hidden="0" customHeight="1">
      <x:c r="A460" s="70" t="str">
        <x:v>RUN-0456</x:v>
      </x:c>
      <x:c r="B460" s="70" t="str">
        <x:v>HLT-057</x:v>
      </x:c>
      <x:c r="C460" s="70" t="str">
        <x:v>Retest</x:v>
      </x:c>
      <x:c r="D460" s="70" t="str">
        <x:v>Android</x:v>
      </x:c>
      <x:c r="E460" s="70" t="str">
        <x:v>emulator-5554</x:v>
      </x:c>
      <x:c r="F460" s="70" t="str">
        <x:v>Android17 / API37</x:v>
      </x:c>
      <x:c r="G460" s="70" t="str">
        <x:v>1.0.0b24</x:v>
      </x:c>
      <x:c r="H460" s="71" t="n">
        <x:v>46271.750908483795</x:v>
      </x:c>
      <x:c r="I460" s="70" t="str">
        <x:v>Blocked</x:v>
      </x:c>
      <x:c r="J460" s="70" t="str">
        <x:v>/Users/mason/.codex/visualizations/2026/09/06/01a07722-2d43-7910-aa74-f3a7d9489dc2/release-qa/DEF-071-source-deletion.json
/Users/mason/.codex/visualizations/2026/09/06/01a07722-2d43-7910-aa74-f3a7d9489dc2/release-qa/DEF-058-native-import-and-deletion.log</x:v>
      </x:c>
      <x:c r="K460" s="70" t="str">
        <x:v>Created one synthetic Health Connect Toolbox50kcal record starting18:19:10+01:00. Deleted only that provider fixture through Toolbox. First subsequent successful native sync removed it by17:59:39Z, before UTC reached its18:19 wall-clock value. Today returned to original1kcal manual workout, proving offset-aware reconciliation.</x:v>
      </x:c>
      <x:c r="L460" s="70" t="str">
        <x:v>DEF-071</x:v>
      </x:c>
      <x:c r="M460" s="70" t="str">
        <x:v>Exact release regression Passed; broader story coverage deferred.</x:v>
      </x:c>
    </x:row>
    <x:row r="461" ht="79.19999694824219" hidden="0" customHeight="1">
      <x:c r="A461" s="70" t="str">
        <x:v>RUN-0457</x:v>
      </x:c>
      <x:c r="B461" s="70" t="str">
        <x:v>HLT-058</x:v>
      </x:c>
      <x:c r="C461" s="70" t="str">
        <x:v>Retest</x:v>
      </x:c>
      <x:c r="D461" s="70" t="str">
        <x:v>Android</x:v>
      </x:c>
      <x:c r="E461" s="70" t="str">
        <x:v>emulator-5554</x:v>
      </x:c>
      <x:c r="F461" s="70" t="str">
        <x:v>Android17 / API37</x:v>
      </x:c>
      <x:c r="G461" s="70" t="str">
        <x:v>1.0.0b24</x:v>
      </x:c>
      <x:c r="H461" s="71" t="n">
        <x:v>46271.75093149306</x:v>
      </x:c>
      <x:c r="I461" s="70" t="str">
        <x:v>Blocked</x:v>
      </x:c>
      <x:c r="J461" s="70" t="str">
        <x:v>/Users/mason/.codex/visualizations/2026/09/06/01a07722-2d43-7910-aa74-f3a7d9489dc2/release-qa/DEF-056-natural-background.log
/Users/mason/.codex/visualizations/2026/09/06/01a07722-2d43-7910-aa74-f3a7d9489dc2/release-qa/DEF-058-native-import-and-deletion.log</x:v>
      </x:c>
      <x:c r="K461" s="70" t="str">
        <x:v>Observed both existing owner-user scheduled tasks execute naturally at18:58:59, without forcing jobs or changing owner data. Each native ephemeral call used --task and --result, emitted the exact BUFF_BACKGROUND_TASK_OK marker and finished WorkManager SUCCESS; no missing task error. QA-user registration is not covered by this narrow argument regression.</x:v>
      </x:c>
      <x:c r="L461" s="70" t="str">
        <x:v>DEF-056</x:v>
      </x:c>
      <x:c r="M461" s="70" t="str">
        <x:v>Exact release regression Passed; broader story coverage deferred.</x:v>
      </x:c>
    </x:row>
    <x:row r="462" ht="39.599998474121094" hidden="0" customHeight="1">
      <x:c r="A462" s="70" t="str">
        <x:v>RUN-0458</x:v>
      </x:c>
      <x:c r="B462" s="70" t="str">
        <x:v>ACC-030</x:v>
      </x:c>
      <x:c r="C462" s="70" t="str">
        <x:v>Retest</x:v>
      </x:c>
      <x:c r="D462" s="70" t="str">
        <x:v>Android</x:v>
      </x:c>
      <x:c r="E462" s="70" t="str">
        <x:v>emulator-5554 isolated QA user11</x:v>
      </x:c>
      <x:c r="F462" s="70" t="str">
        <x:v>Android17 / API37</x:v>
      </x:c>
      <x:c r="G462" s="70" t="str">
        <x:v>1.0.0b24</x:v>
      </x:c>
      <x:c r="H462" s="71" t="n">
        <x:v>46271.760097210645</x:v>
      </x:c>
      <x:c r="I462" s="70" t="str">
        <x:v>Blocked</x:v>
      </x:c>
      <x:c r="J462" s="70" t="str">
        <x:v>/Users/mason/.codex/visualizations/2026/09/06/01a07722-2d43-7910-aa74-f3a7d9489dc2/release-qa/DEF-043-onboarding-cold-recovery.json</x:v>
      </x:c>
      <x:c r="K462" s="70" t="str">
        <x:v>Exact cold plan=null recovery Passed: valid estimate restored automatically after process death.</x:v>
      </x:c>
      <x:c r="L462" s="70" t="str">
        <x:v>DEF-043</x:v>
      </x:c>
      <x:c r="M462" s="70" t="str">
        <x:v>Broader story matrix deferred.</x:v>
      </x:c>
    </x:row>
    <x:row r="463" ht="26.399999618530273" hidden="0" customHeight="1">
      <x:c r="A463" s="70" t="str">
        <x:v>RUN-0459</x:v>
      </x:c>
      <x:c r="B463" s="70" t="str">
        <x:v>ACC-082</x:v>
      </x:c>
      <x:c r="C463" s="70" t="str">
        <x:v>Retest</x:v>
      </x:c>
      <x:c r="D463" s="70" t="str">
        <x:v>iOS</x:v>
      </x:c>
      <x:c r="E463" s="70" t="str">
        <x:v>Signed distribution archive</x:v>
      </x:c>
      <x:c r="F463" s="70" t="str">
        <x:v>iPhoneOS26.5 SDK</x:v>
      </x:c>
      <x:c r="G463" s="70" t="str">
        <x:v>1.0.0b26</x:v>
      </x:c>
      <x:c r="H463" s="71" t="n">
        <x:v>46271.76012092592</x:v>
      </x:c>
      <x:c r="I463" s="70" t="str">
        <x:v>Blocked</x:v>
      </x:c>
      <x:c r="J463" s="70" t="str">
        <x:v>/Users/mason/.codex/visualizations/2026/09/06/01a07722-2d43-7910-aa74-f3a7d9489dc2/release-qa/ios-release26-verification.json</x:v>
      </x:c>
      <x:c r="K463" s="70" t="str">
        <x:v>Version parity, signature, platform assets and no hot marker Passed. No store upload.</x:v>
      </x:c>
      <x:c r="L463" s="70" t="str">
        <x:v>DEF-102</x:v>
      </x:c>
      <x:c r="M463" s="70" t="str">
        <x:v>Broader distribution story is not complete.</x:v>
      </x:c>
    </x:row>
    <x:row r="464" ht="66" hidden="0" customHeight="1">
      <x:c r="A464" s="70" t="str">
        <x:v>RUN-0460</x:v>
      </x:c>
      <x:c r="B464" s="70" t="str">
        <x:v>ACC-082</x:v>
      </x:c>
      <x:c r="C464" s="70" t="str">
        <x:v>Retest</x:v>
      </x:c>
      <x:c r="D464" s="70" t="str">
        <x:v>Android</x:v>
      </x:c>
      <x:c r="E464" s="70" t="str">
        <x:v>emulator-5556 small_phone</x:v>
      </x:c>
      <x:c r="F464" s="70" t="str">
        <x:v>API36.1</x:v>
      </x:c>
      <x:c r="G464" s="70" t="str">
        <x:v>1.0.0b27</x:v>
      </x:c>
      <x:c r="H464" s="71" t="n">
        <x:v>46271.76014824074</x:v>
      </x:c>
      <x:c r="I464" s="70" t="str">
        <x:v>Blocked</x:v>
      </x:c>
      <x:c r="J464" s="70" t="str">
        <x:v>/Users/mason/.codex/visualizations/2026/09/06/01a07722-2d43-7910-aa74-f3a7d9489dc2/release-qa/android-release27-verification.json
/Users/mason/.codex/visualizations/2026/09/06/01a07722-2d43-7910-aa74-f3a7d9489dc2/release-qa/release27-startup.png</x:v>
      </x:c>
      <x:c r="K464" s="70" t="str">
        <x:v>Current signed APK27 starts to styled Sign in. All18433 bundled entries match signed AAB; versions27, platformandroid, public/hot absent.</x:v>
      </x:c>
      <x:c r="L464" s="70" t="str">
        <x:v>DEF-002, DEF-003</x:v>
      </x:c>
      <x:c r="M464" s="70" t="str">
        <x:v>No upload.</x:v>
      </x:c>
    </x:row>
    <x:row r="465" ht="118.80000305175781" hidden="0" customHeight="1">
      <x:c r="A465" s="70" t="str">
        <x:v>RUN-0461</x:v>
      </x:c>
      <x:c r="B465" s="70" t="str">
        <x:v>ACC-040</x:v>
      </x:c>
      <x:c r="C465" s="70" t="str">
        <x:v>Retest</x:v>
      </x:c>
      <x:c r="D465" s="70" t="str">
        <x:v>Android</x:v>
      </x:c>
      <x:c r="E465" s="70" t="str">
        <x:v>emulator-5554 QA user10</x:v>
      </x:c>
      <x:c r="F465" s="70" t="str">
        <x:v>Android17 API37</x:v>
      </x:c>
      <x:c r="G465" s="70" t="str">
        <x:v>1.0.0b24</x:v>
      </x:c>
      <x:c r="H465" s="71" t="n">
        <x:v>46271.77037324074</x:v>
      </x:c>
      <x:c r="I465" s="70" t="str">
        <x:v>Blocked</x:v>
      </x:c>
      <x:c r="J465" s="70" t="str">
        <x:v>/Users/mason/.codex/visualizations/2026/09/06/01a07722-2d43-7910-aa74-f3a7d9489dc2/release-qa/DEF-055-doze-worker.log
/Users/mason/.codex/visualizations/2026/09/06/01a07722-2d43-7910-aa74-f3a7d9489dc2/release-qa/DEF-055-doze-notification.txt
/Users/mason/.codex/visualizations/2026/09/06/01a07722-2d43-7910-aa74-f3a7d9489dc2/release-qa/DEF-055-doze-state.txt
/Users/mason/.codex/visualizations/2026/09/06/01a07722-2d43-7910-aa74-f3a7d9489dc2/release-qa/DEF-055-original-reminders.json</x:v>
      </x:c>
      <x:c r="K465" s="70" t="str">
        <x:v>Native breakfast alarm scheduled19:18 fired19:19:14 during forced deep idle. MealReminderWorker completed SUCCESS at19:19:15 and notification said Time to log your breakfast in Buff while mForceIdle=true/mState=IDLE. Result-file fix resolves the original empty-check Doze failure. Repeated injected failure remains source-tested, not injected on device. Restored all three original disabled reminder settings/times, removed forced idle and reset battery simulation.</x:v>
      </x:c>
      <x:c r="L465" s="70" t="str">
        <x:v>DEF-055</x:v>
      </x:c>
      <x:c r="M465" s="70" t="str">
        <x:v>Exact release defect passed; broader story matrix deferred.</x:v>
      </x:c>
    </x:row>
    <x:row r="466" ht="66" hidden="0" customHeight="1">
      <x:c r="A466" s="70" t="str">
        <x:v>RUN-0462</x:v>
      </x:c>
      <x:c r="B466" s="70" t="str">
        <x:v>ACC-028</x:v>
      </x:c>
      <x:c r="C466" s="70" t="str">
        <x:v>Retest</x:v>
      </x:c>
      <x:c r="D466" s="70" t="str">
        <x:v>iOS</x:v>
      </x:c>
      <x:c r="E466" s="70" t="str">
        <x:v>Fresh Buff Onboarding QA / account7</x:v>
      </x:c>
      <x:c r="F466" s="70" t="str">
        <x:v>iOS26.5</x:v>
      </x:c>
      <x:c r="G466" s="70" t="str">
        <x:v>1.0.0b23</x:v>
      </x:c>
      <x:c r="H466" s="71" t="n">
        <x:v>46271.77322008102</x:v>
      </x:c>
      <x:c r="I466" s="70" t="str">
        <x:v>Blocked</x:v>
      </x:c>
      <x:c r="J466" s="70" t="str">
        <x:v>/Users/mason/.codex/visualizations/2026/09/06/01a07722-2d43-7910-aa74-f3a7d9489dc2/release-qa/DEF-042-ios-age18-plan.png
/Users/mason/.codex/visualizations/2026/09/06/01a07722-2d43-7910-aa74-f3a7d9489dc2/release-qa/onboarding-ios-saved-restarted.png</x:v>
      </x:c>
      <x:c r="K466" s="70" t="str">
        <x:v>Fresh account7: both native platforms at age18/male/180cm/80kg/moderate/Lose produced maintenance3600kcal with teen notice and no target/pace steps. iOS saved the plan and cold-restarted into Today with3600kcal/270P/360C/120F.</x:v>
      </x:c>
      <x:c r="L466" s="70" t="str">
        <x:v>DEF-042</x:v>
      </x:c>
      <x:c r="M466" s="70" t="str">
        <x:v>Release boundary verified; exhaustive story matrix deferred.</x:v>
      </x:c>
    </x:row>
    <x:row r="467" ht="79.19999694824219" hidden="0" customHeight="1">
      <x:c r="A467" s="70" t="str">
        <x:v>RUN-0463</x:v>
      </x:c>
      <x:c r="B467" s="70" t="str">
        <x:v>ACC-026</x:v>
      </x:c>
      <x:c r="C467" s="70" t="str">
        <x:v>Retest</x:v>
      </x:c>
      <x:c r="D467" s="70" t="str">
        <x:v>iOS</x:v>
      </x:c>
      <x:c r="E467" s="70" t="str">
        <x:v>Fresh Buff Onboarding QA / account7</x:v>
      </x:c>
      <x:c r="F467" s="70" t="str">
        <x:v>iOS26.5</x:v>
      </x:c>
      <x:c r="G467" s="70" t="str">
        <x:v>1.0.0b23</x:v>
      </x:c>
      <x:c r="H467" s="71" t="n">
        <x:v>46271.77324598379</x:v>
      </x:c>
      <x:c r="I467" s="70" t="str">
        <x:v>Blocked</x:v>
      </x:c>
      <x:c r="J467" s="70" t="str">
        <x:v>/Users/mason/.codex/visualizations/2026/09/06/01a07722-2d43-7910-aa74-f3a7d9489dc2/release-qa/DEF-084-native-exact-validation.json
/Users/mason/.codex/visualizations/2026/09/06/01a07722-2d43-7910-aa74-f3a7d9489dc2/release-qa/onboarding-ios-saved-restarted.png</x:v>
      </x:c>
      <x:c r="K467" s="70" t="str">
        <x:v>Fresh onboarding on both platforms blocks19.9kg at supported0.1kg precision and accepts20kg. Native Android public plan POST rejects raw19.99 with422 and accepts20 with200. Existing conversion rounds UI19.99 to20 before submitting, so no invalid cloud record is created. iOS80kg fixture completed and survived restart. Existing Progress boundary native checks already passed; endpoint tests cover completion validation and legacy-data preservation.</x:v>
      </x:c>
      <x:c r="L467" s="70" t="str">
        <x:v>DEF-084</x:v>
      </x:c>
      <x:c r="M467" s="70" t="str">
        <x:v>Release boundary verified; exhaustive story matrix deferred.</x:v>
      </x:c>
    </x:row>
    <x:row r="468" ht="39.599998474121094" hidden="0" customHeight="1">
      <x:c r="A468" s="70" t="str">
        <x:v>RUN-0464</x:v>
      </x:c>
      <x:c r="B468" s="70" t="str">
        <x:v>ACC-031</x:v>
      </x:c>
      <x:c r="C468" s="70" t="str">
        <x:v>Retest</x:v>
      </x:c>
      <x:c r="D468" s="70" t="str">
        <x:v>Android</x:v>
      </x:c>
      <x:c r="E468" s="70" t="str">
        <x:v>emulator-5554 QA user11</x:v>
      </x:c>
      <x:c r="F468" s="70" t="str">
        <x:v>Android17 API37</x:v>
      </x:c>
      <x:c r="G468" s="70" t="str">
        <x:v>1.0.0b24</x:v>
      </x:c>
      <x:c r="H468" s="71" t="n">
        <x:v>46271.7732803125</x:v>
      </x:c>
      <x:c r="I468" s="70" t="str">
        <x:v>Blocked</x:v>
      </x:c>
      <x:c r="J468" s="70" t="str">
        <x:v>/Users/mason/.codex/visualizations/2026/09/06/01a07722-2d43-7910-aa74-f3a7d9489dc2/release-qa/DEF-041-onboarding-custom.json</x:v>
      </x:c>
      <x:c r="K468" s="70" t="str">
        <x:v>First Custom opening in fresh onboarding retained30/40/30,270P/360C/120F. iOS onboarding variant remains unverified due nested-scroll automation limitation; Goals shared component already native-tested both platforms.</x:v>
      </x:c>
      <x:c r="L468" s="70" t="str">
        <x:v>DEF-041</x:v>
      </x:c>
      <x:c r="M468" s="70" t="str">
        <x:v>No new patch; iOS aggregate stays open.</x:v>
      </x:c>
    </x:row>
    <x:row r="469" ht="39.599998474121094" hidden="0" customHeight="1">
      <x:c r="A469" s="70" t="str">
        <x:v>RUN-0465</x:v>
      </x:c>
      <x:c r="B469" s="70" t="str">
        <x:v>NUT-083</x:v>
      </x:c>
      <x:c r="C469" s="70" t="str">
        <x:v>Retest</x:v>
      </x:c>
      <x:c r="D469" s="70" t="str">
        <x:v>Android</x:v>
      </x:c>
      <x:c r="E469" s="70" t="str">
        <x:v>Medium_Phone emulator-5554 QA user10</x:v>
      </x:c>
      <x:c r="F469" s="70" t="str">
        <x:v>API36.1</x:v>
      </x:c>
      <x:c r="G469" s="70" t="str">
        <x:v>1.0.0 debug27 source / installed pre-precision build24</x:v>
      </x:c>
      <x:c r="H469" s="71" t="n">
        <x:v>46273.30138606481</x:v>
      </x:c>
      <x:c r="I469" s="70" t="str">
        <x:v>Failed</x:v>
      </x:c>
      <x:c r="J469" s="70" t="str">
        <x:v>/Users/mason/.codex/visualizations/2026/09/06/01a07722-2d43-7910-aa74-f3a7d9489dc2/release-qa/DEF-103-native-step-mismatch.json</x:v>
      </x:c>
      <x:c r="K469" s="70" t="str">
        <x:v>Saved P9.45/C86.25/F46.35 are rejected by step=0.1. Save meal remains in the editor and submits no update. Source precision fix and automated regression pass; native retest awaits rebuild.</x:v>
      </x:c>
      <x:c r="L469" s="70" t="str">
        <x:v>DEF-103</x:v>
      </x:c>
      <x:c r="M469" s="70" t="str">
        <x:v>DEF-093's unchanged-Macros native verification was blocked by this distinct HTML validation failure.</x:v>
      </x:c>
    </x:row>
    <x:row r="470" ht="66" hidden="0" customHeight="1">
      <x:c r="A470" s="70" t="str">
        <x:v>RUN-0466</x:v>
      </x:c>
      <x:c r="B470" s="70" t="str">
        <x:v>ACC-075</x:v>
      </x:c>
      <x:c r="C470" s="70" t="str">
        <x:v>Retest</x:v>
      </x:c>
      <x:c r="D470" s="70" t="str">
        <x:v>Android</x:v>
      </x:c>
      <x:c r="E470" s="70" t="str">
        <x:v>Medium_Phone emulator-5554 QA user11</x:v>
      </x:c>
      <x:c r="F470" s="70" t="str">
        <x:v>API36.1</x:v>
      </x:c>
      <x:c r="G470" s="70" t="str">
        <x:v>1.0.0 debug24</x:v>
      </x:c>
      <x:c r="H470" s="71" t="n">
        <x:v>46273.30141726852</x:v>
      </x:c>
      <x:c r="I470" s="70" t="str">
        <x:v>Blocked</x:v>
      </x:c>
      <x:c r="J470" s="70" t="str">
        <x:v>/Users/mason/.codex/visualizations/2026/09/06/01a07722-2d43-7910-aa74-f3a7d9489dc2/release-qa/fresh-account-sync-retry.json; /Users/mason/.codex/visualizations/2026/09/06/01a07722-2d43-7910-aa74-f3a7d9489dc2/release-qa/fresh-account-goal-received.json</x:v>
      </x:c>
      <x:c r="K470" s="70" t="str">
        <x:v>Focused recovery check Passed: fresh QA account sync returns200 Success after reboot. Android independently receives iOS-saved3600kcal/P270/C360/F120 goal, pending0 and last_error null. Earlier ConnectionFailed is no longer reproducible.</x:v>
      </x:c>
      <x:c r="L470" s="70" t="str">
        <x:v>DEF-052</x:v>
      </x:c>
      <x:c r="M470" s="70" t="str">
        <x:v>Broad failure-injection matrix remains incomplete. No source change needed for this transient connection failure.</x:v>
      </x:c>
    </x:row>
    <x:row r="471" ht="79.19999694824219" hidden="0" customHeight="1">
      <x:c r="A471" s="70" t="str">
        <x:v>RUN-0467</x:v>
      </x:c>
      <x:c r="B471" s="70" t="str">
        <x:v>NUT-083</x:v>
      </x:c>
      <x:c r="C471" s="70" t="str">
        <x:v>Retest</x:v>
      </x:c>
      <x:c r="D471" s="70" t="str">
        <x:v>Android</x:v>
      </x:c>
      <x:c r="E471" s="70" t="str">
        <x:v>Medium_Phone emulator-5554 QA user10</x:v>
      </x:c>
      <x:c r="F471" s="70" t="str">
        <x:v>API36.1</x:v>
      </x:c>
      <x:c r="G471" s="70" t="str">
        <x:v>1.0.0 debug27</x:v>
      </x:c>
      <x:c r="H471" s="71" t="n">
        <x:v>46273.3073349537</x:v>
      </x:c>
      <x:c r="I471" s="70" t="str">
        <x:v>Blocked</x:v>
      </x:c>
      <x:c r="J471" s="70" t="str">
        <x:v>/Users/mason/.codex/visualizations/2026/09/06/01a07722-2d43-7910-aa74-f3a7d9489dc2/release-qa/DEF-093-103-android-saved.json; /Users/mason/.codex/visualizations/2026/09/06/01a07722-2d43-7910-aa74-f3a7d9489dc2/release-qa/DEF-093-103-ios-cloud-confirmed.json</x:v>
      </x:c>
      <x:c r="K471" s="70" t="str">
        <x:v>Focused DEF-093/DEF-103 retest Passed: unchanged P9.45/C86.25/F46.35 macros submit successfully, reclassify the meal and preserve809kcal. Editor closes. iOS final Lunch record received independently on Android.</x:v>
      </x:c>
      <x:c r="L471" s="70" t="str">
        <x:v>DEF-093, DEF-103</x:v>
      </x:c>
      <x:c r="M471" s="70" t="str">
        <x:v>Full macro-edit validation matrix not repeated. Portion-mode500kcal snapshot preservation passed both platforms; iOS cold persistence verified. Genuine150g barcode edit recalculated809kcal on Android.</x:v>
      </x:c>
    </x:row>
    <x:row r="472" ht="66" hidden="0" customHeight="1">
      <x:c r="A472" s="70" t="str">
        <x:v>RUN-0468</x:v>
      </x:c>
      <x:c r="B472" s="70" t="str">
        <x:v>NUT-083</x:v>
      </x:c>
      <x:c r="C472" s="70" t="str">
        <x:v>Retest</x:v>
      </x:c>
      <x:c r="D472" s="70" t="str">
        <x:v>iOS</x:v>
      </x:c>
      <x:c r="E472" s="70" t="str">
        <x:v>iPhone17Pro B5DFD1FE native simulator</x:v>
      </x:c>
      <x:c r="F472" s="70" t="str">
        <x:v>iOS26.5</x:v>
      </x:c>
      <x:c r="G472" s="70" t="str">
        <x:v>1.0.0 debug27</x:v>
      </x:c>
      <x:c r="H472" s="71" t="n">
        <x:v>46273.30736061343</x:v>
      </x:c>
      <x:c r="I472" s="70" t="str">
        <x:v>Blocked</x:v>
      </x:c>
      <x:c r="J472" s="70" t="str">
        <x:v>/Users/mason/.codex/visualizations/2026/09/06/01a07722-2d43-7910-aa74-f3a7d9489dc2/release-qa/DEF-093-103-ios-saved.png; /Users/mason/.codex/visualizations/2026/09/06/01a07722-2d43-7910-aa74-f3a7d9489dc2/release-qa/DEF-093-103-ios-cloud-confirmed.json</x:v>
      </x:c>
      <x:c r="K472" s="70" t="str">
        <x:v>Focused DEF-093/DEF-103 retest Passed: unchanged P9.45/C86.25/F46.35 macros submit successfully, reclassify the meal and preserve809kcal. Editor closes. iOS final Lunch record received independently on Android.</x:v>
      </x:c>
      <x:c r="L472" s="70" t="str">
        <x:v>DEF-093, DEF-103</x:v>
      </x:c>
      <x:c r="M472" s="70" t="str">
        <x:v>Full macro-edit validation matrix not repeated. Portion-mode500kcal snapshot preservation passed both platforms; iOS cold persistence verified. Genuine150g barcode edit recalculated809kcal on Android.</x:v>
      </x:c>
    </x:row>
    <x:row r="473" ht="52.79999923706055" hidden="0" customHeight="1">
      <x:c r="A473" s="70" t="str">
        <x:v>RUN-0469</x:v>
      </x:c>
      <x:c r="B473" s="70" t="str">
        <x:v>ACC-082</x:v>
      </x:c>
      <x:c r="C473" s="70" t="str">
        <x:v>Retest</x:v>
      </x:c>
      <x:c r="D473" s="70" t="str">
        <x:v>Android</x:v>
      </x:c>
      <x:c r="E473" s="70" t="str">
        <x:v>Signed release artifact inspection</x:v>
      </x:c>
      <x:c r="F473" s="70" t="str">
        <x:v>targetAPI36</x:v>
      </x:c>
      <x:c r="G473" s="70" t="str">
        <x:v>1.0.0 release29</x:v>
      </x:c>
      <x:c r="H473" s="71" t="n">
        <x:v>46273.30738909722</x:v>
      </x:c>
      <x:c r="I473" s="70" t="str">
        <x:v>Blocked</x:v>
      </x:c>
      <x:c r="J473" s="70" t="str">
        <x:v>/Users/mason/.codex/visualizations/2026/09/06/01a07722-2d43-7910-aa74-f3a7d9489dc2/release-qa/release-precision-verification.json</x:v>
      </x:c>
      <x:c r="K473" s="70" t="str">
        <x:v>Focused packaging check Passed: signed AAB/APK contain identical Laravel entries, Android assets, precision fix and version29 metadata. APK manifest version29 and both signatures verified. Debug27 native save passed; signed29 was not installed for another startup test.</x:v>
      </x:c>
      <x:c r="L473" s="70" t="str">
        <x:v>DEF-103</x:v>
      </x:c>
      <x:c r="M473" s="70" t="str">
        <x:v>Broad release/device matrix remains partial. Newer concurrent meal-button styling edits are not in this build. No Play Store upload.</x:v>
      </x:c>
    </x:row>
    <x:row r="474" ht="39.599998474121094" hidden="0" customHeight="1">
      <x:c r="A474" s="70" t="str">
        <x:v>RUN-0470</x:v>
      </x:c>
      <x:c r="B474" s="70" t="str">
        <x:v>ACC-082</x:v>
      </x:c>
      <x:c r="C474" s="70" t="str">
        <x:v>Retest</x:v>
      </x:c>
      <x:c r="D474" s="70" t="str">
        <x:v>iOS</x:v>
      </x:c>
      <x:c r="E474" s="70" t="str">
        <x:v>Signed release artifact inspection</x:v>
      </x:c>
      <x:c r="F474" s="70" t="str">
        <x:v>iOS release</x:v>
      </x:c>
      <x:c r="G474" s="70" t="str">
        <x:v>1.0.0 release28</x:v>
      </x:c>
      <x:c r="H474" s="71" t="n">
        <x:v>46273.30742211806</x:v>
      </x:c>
      <x:c r="I474" s="70" t="str">
        <x:v>Blocked</x:v>
      </x:c>
      <x:c r="J474" s="70" t="str">
        <x:v>/Users/mason/.codex/visualizations/2026/09/06/01a07722-2d43-7910-aa74-f3a7d9489dc2/release-qa/release-precision-verification.json</x:v>
      </x:c>
      <x:c r="K474" s="70" t="str">
        <x:v>Focused packaging check Passed: signed IPA contains iOS assets and precision fix. Native Info.plist, bundled environment and metadata all report28. codesign deep/strict verification passes. Debug27 native save passed.</x:v>
      </x:c>
      <x:c r="L474" s="70" t="str">
        <x:v>DEF-103</x:v>
      </x:c>
      <x:c r="M474" s="70" t="str">
        <x:v>Broad release/device matrix remains partial. Newer concurrent meal-button styling edits are not in this build. No App Store upload.</x:v>
      </x:c>
    </x:row>
    <x:row r="475" ht="66" hidden="0" customHeight="1">
      <x:c r="A475" s="70" t="str">
        <x:v>RUN-0471</x:v>
      </x:c>
      <x:c r="B475" s="70" t="str">
        <x:v>ACC-031</x:v>
      </x:c>
      <x:c r="C475" s="70" t="str">
        <x:v>Retest</x:v>
      </x:c>
      <x:c r="D475" s="70" t="str">
        <x:v>iOS</x:v>
      </x:c>
      <x:c r="E475" s="70" t="str">
        <x:v>BuffFinalQA iPhone17Pro 10D466EC native simulator</x:v>
      </x:c>
      <x:c r="F475" s="70" t="str">
        <x:v>iOS26.5</x:v>
      </x:c>
      <x:c r="G475" s="70" t="str">
        <x:v>1.0.0 debug29</x:v>
      </x:c>
      <x:c r="H475" s="71" t="n">
        <x:v>46273.32656326389</x:v>
      </x:c>
      <x:c r="I475" s="70" t="str">
        <x:v>Blocked</x:v>
      </x:c>
      <x:c r="J475" s="70" t="str">
        <x:v>/Users/mason/.codex/visualizations/2026/09/06/01a07722-2d43-7910-aa74-f3a7d9489dc2/release-qa/DEF-041-ios-first-custom-final.png; /Users/mason/.codex/visualizations/2026/09/06/01a07722-2d43-7910-aa74-f3a7d9489dc2/release-qa/DEF-041-ios-saved-final.png</x:v>
      </x:c>
      <x:c r="K475" s="70" t="str">
        <x:v>Focused DEF-041 check Passed: first Custom selection preserved 30/40/30, saved 2750 kcal plan and reached Today.</x:v>
      </x:c>
      <x:c r="L475" s="70" t="str">
        <x:v>DEF-041</x:v>
      </x:c>
      <x:c r="M475" s="70" t="str">
        <x:v>Remaining broad onboarding matrix not repeated; this closes the final first-Custom variant.</x:v>
      </x:c>
    </x:row>
    <x:row r="476" ht="52.79999923706055" hidden="0" customHeight="1">
      <x:c r="A476" s="70" t="str">
        <x:v>RUN-0472</x:v>
      </x:c>
      <x:c r="B476" s="70" t="str">
        <x:v>NUT-012</x:v>
      </x:c>
      <x:c r="C476" s="70" t="str">
        <x:v>Retest</x:v>
      </x:c>
      <x:c r="D476" s="70" t="str">
        <x:v>Android</x:v>
      </x:c>
      <x:c r="E476" s="70" t="str">
        <x:v>Medium_Phone emulator-5554 QA user12</x:v>
      </x:c>
      <x:c r="F476" s="70" t="str">
        <x:v>API36.1</x:v>
      </x:c>
      <x:c r="G476" s="70" t="str">
        <x:v>1.0.0 debug27</x:v>
      </x:c>
      <x:c r="H476" s="71" t="n">
        <x:v>46273.326579340275</x:v>
      </x:c>
      <x:c r="I476" s="70" t="str">
        <x:v>Passed</x:v>
      </x:c>
      <x:c r="J476" s="70" t="str">
        <x:v>/Users/mason/.codex/visualizations/2026/09/06/01a07722-2d43-7910-aa74-f3a7d9489dc2/release-qa/DEF-076-first-bypass-final.json; /Users/mason/.codex/visualizations/2026/09/06/01a07722-2d43-7910-aa74-f3a7d9489dc2/release-qa/DEF-076-first-bypass-final.png</x:v>
      </x:c>
      <x:c r="K476" s="70" t="str">
        <x:v>Fresh-account first explicit no-goal bypass rendered the complete fallback in 1262 ms; no blank page.</x:v>
      </x:c>
      <x:c r="L476" s="70" t="str">
        <x:v>DEF-076</x:v>
      </x:c>
      <x:c r="M476" s="70" t="str">
        <x:v>Current exact-path native check Passed. Historical intermittent root cause remains unknown.</x:v>
      </x:c>
    </x:row>
    <x:row r="477">
      <x:c r="H477" s="60"/>
    </x:row>
    <x:row r="478">
      <x:c r="H478" s="60"/>
    </x:row>
    <x:row r="479">
      <x:c r="H479" s="60"/>
    </x:row>
    <x:row r="480">
      <x:c r="H480" s="60"/>
    </x:row>
    <x:row r="481">
      <x:c r="H481" s="60"/>
    </x:row>
    <x:row r="482">
      <x:c r="H482" s="60"/>
    </x:row>
    <x:row r="483">
      <x:c r="H483" s="60"/>
    </x:row>
    <x:row r="484">
      <x:c r="H484" s="60"/>
    </x:row>
    <x:row r="485">
      <x:c r="H485" s="60"/>
    </x:row>
    <x:row r="486">
      <x:c r="H486" s="60"/>
    </x:row>
    <x:row r="487">
      <x:c r="H487" s="60"/>
    </x:row>
    <x:row r="488">
      <x:c r="H488" s="60"/>
    </x:row>
    <x:row r="489">
      <x:c r="H489" s="60"/>
    </x:row>
    <x:row r="490">
      <x:c r="H490" s="60"/>
    </x:row>
    <x:row r="491">
      <x:c r="H491" s="60"/>
    </x:row>
    <x:row r="492">
      <x:c r="H492" s="60"/>
    </x:row>
    <x:row r="493">
      <x:c r="H493" s="60"/>
    </x:row>
    <x:row r="494">
      <x:c r="H494" s="60"/>
    </x:row>
    <x:row r="495">
      <x:c r="H495" s="60"/>
    </x:row>
    <x:row r="496">
      <x:c r="H496" s="60"/>
    </x:row>
    <x:row r="497">
      <x:c r="H497" s="60"/>
    </x:row>
    <x:row r="498">
      <x:c r="H498" s="60"/>
    </x:row>
    <x:row r="499">
      <x:c r="H499" s="60"/>
    </x:row>
    <x:row r="500">
      <x:c r="H500" s="60"/>
    </x:row>
    <x:row r="501">
      <x:c r="H501" s="60"/>
    </x:row>
    <x:row r="502">
      <x:c r="H502" s="60"/>
    </x:row>
    <x:row r="503">
      <x:c r="H503" s="60"/>
    </x:row>
    <x:row r="504">
      <x:c r="H504" s="60"/>
    </x:row>
    <x:row r="505">
      <x:c r="H505" s="60"/>
    </x:row>
    <x:row r="506">
      <x:c r="H506" s="60"/>
    </x:row>
    <x:row r="507">
      <x:c r="H507" s="60"/>
    </x:row>
    <x:row r="508">
      <x:c r="H508" s="60"/>
    </x:row>
    <x:row r="509">
      <x:c r="H509" s="60"/>
    </x:row>
    <x:row r="510">
      <x:c r="H510" s="60"/>
    </x:row>
    <x:row r="511">
      <x:c r="H511" s="60"/>
    </x:row>
    <x:row r="512">
      <x:c r="H512" s="60"/>
    </x:row>
    <x:row r="513">
      <x:c r="H513" s="60"/>
    </x:row>
    <x:row r="514">
      <x:c r="H514" s="60"/>
    </x:row>
    <x:row r="515">
      <x:c r="H515" s="60"/>
    </x:row>
    <x:row r="516">
      <x:c r="H516" s="60"/>
    </x:row>
    <x:row r="517">
      <x:c r="H517" s="60"/>
    </x:row>
    <x:row r="518">
      <x:c r="H518" s="60"/>
    </x:row>
    <x:row r="519">
      <x:c r="H519" s="60"/>
    </x:row>
    <x:row r="520">
      <x:c r="H520" s="60"/>
    </x:row>
    <x:row r="521">
      <x:c r="H521" s="60"/>
    </x:row>
    <x:row r="522">
      <x:c r="H522" s="60"/>
    </x:row>
    <x:row r="523">
      <x:c r="H523" s="60"/>
    </x:row>
    <x:row r="524">
      <x:c r="H524" s="60"/>
    </x:row>
    <x:row r="525">
      <x:c r="H525" s="60"/>
    </x:row>
    <x:row r="526">
      <x:c r="H526" s="60"/>
    </x:row>
    <x:row r="527">
      <x:c r="H527" s="60"/>
    </x:row>
    <x:row r="528">
      <x:c r="H528" s="60"/>
    </x:row>
    <x:row r="529">
      <x:c r="H529" s="60"/>
    </x:row>
    <x:row r="530">
      <x:c r="H530" s="60"/>
    </x:row>
    <x:row r="531">
      <x:c r="H531" s="60"/>
    </x:row>
    <x:row r="532">
      <x:c r="H532" s="60"/>
    </x:row>
    <x:row r="533">
      <x:c r="H533" s="60"/>
    </x:row>
    <x:row r="534">
      <x:c r="H534" s="60"/>
    </x:row>
    <x:row r="535">
      <x:c r="H535" s="60"/>
    </x:row>
    <x:row r="536">
      <x:c r="H536" s="60"/>
    </x:row>
    <x:row r="537">
      <x:c r="H537" s="60"/>
    </x:row>
    <x:row r="538">
      <x:c r="H538" s="60"/>
    </x:row>
    <x:row r="539">
      <x:c r="H539" s="60"/>
    </x:row>
    <x:row r="540">
      <x:c r="H540" s="60"/>
    </x:row>
    <x:row r="541">
      <x:c r="H541" s="60"/>
    </x:row>
    <x:row r="542">
      <x:c r="H542" s="60"/>
    </x:row>
    <x:row r="543">
      <x:c r="H543" s="60"/>
    </x:row>
    <x:row r="544">
      <x:c r="H544" s="60"/>
    </x:row>
    <x:row r="545">
      <x:c r="H545" s="60"/>
    </x:row>
    <x:row r="546">
      <x:c r="H546" s="60"/>
    </x:row>
    <x:row r="547">
      <x:c r="H547" s="60"/>
    </x:row>
    <x:row r="548">
      <x:c r="H548" s="60"/>
    </x:row>
    <x:row r="549">
      <x:c r="H549" s="60"/>
    </x:row>
    <x:row r="550">
      <x:c r="H550" s="60"/>
    </x:row>
    <x:row r="551">
      <x:c r="H551" s="60"/>
    </x:row>
    <x:row r="552">
      <x:c r="H552" s="60"/>
    </x:row>
    <x:row r="553">
      <x:c r="H553" s="60"/>
    </x:row>
    <x:row r="554">
      <x:c r="H554" s="60"/>
    </x:row>
    <x:row r="555">
      <x:c r="H555" s="60"/>
    </x:row>
    <x:row r="556">
      <x:c r="H556" s="60"/>
    </x:row>
    <x:row r="557">
      <x:c r="H557" s="60"/>
    </x:row>
    <x:row r="558">
      <x:c r="H558" s="60"/>
    </x:row>
    <x:row r="559">
      <x:c r="H559" s="60"/>
    </x:row>
    <x:row r="560">
      <x:c r="H560" s="60"/>
    </x:row>
    <x:row r="561">
      <x:c r="H561" s="60"/>
    </x:row>
    <x:row r="562">
      <x:c r="H562" s="60"/>
    </x:row>
    <x:row r="563">
      <x:c r="H563" s="60"/>
    </x:row>
    <x:row r="564">
      <x:c r="H564" s="60"/>
    </x:row>
    <x:row r="565">
      <x:c r="H565" s="60"/>
    </x:row>
    <x:row r="566">
      <x:c r="H566" s="60"/>
    </x:row>
    <x:row r="567">
      <x:c r="H567" s="60"/>
    </x:row>
    <x:row r="568">
      <x:c r="H568" s="60"/>
    </x:row>
    <x:row r="569">
      <x:c r="H569" s="60"/>
    </x:row>
    <x:row r="570">
      <x:c r="H570" s="60"/>
    </x:row>
    <x:row r="571">
      <x:c r="H571" s="60"/>
    </x:row>
    <x:row r="572">
      <x:c r="H572" s="60"/>
    </x:row>
    <x:row r="573">
      <x:c r="H573" s="60"/>
    </x:row>
    <x:row r="574">
      <x:c r="H574" s="60"/>
    </x:row>
    <x:row r="575">
      <x:c r="H575" s="60"/>
    </x:row>
    <x:row r="576">
      <x:c r="H576" s="60"/>
    </x:row>
    <x:row r="577">
      <x:c r="H577" s="60"/>
    </x:row>
    <x:row r="578">
      <x:c r="H578" s="60"/>
    </x:row>
    <x:row r="579">
      <x:c r="H579" s="60"/>
    </x:row>
    <x:row r="580">
      <x:c r="H580" s="60"/>
    </x:row>
    <x:row r="581">
      <x:c r="H581" s="60"/>
    </x:row>
    <x:row r="582">
      <x:c r="H582" s="60"/>
    </x:row>
    <x:row r="583">
      <x:c r="H583" s="60"/>
    </x:row>
    <x:row r="584">
      <x:c r="H584" s="60"/>
    </x:row>
    <x:row r="585">
      <x:c r="H585" s="60"/>
    </x:row>
    <x:row r="586">
      <x:c r="H586" s="60"/>
    </x:row>
    <x:row r="587">
      <x:c r="H587" s="60"/>
    </x:row>
    <x:row r="588">
      <x:c r="H588" s="60"/>
    </x:row>
    <x:row r="589">
      <x:c r="H589" s="60"/>
    </x:row>
    <x:row r="590">
      <x:c r="H590" s="60"/>
    </x:row>
    <x:row r="591">
      <x:c r="H591" s="60"/>
    </x:row>
    <x:row r="592">
      <x:c r="H592" s="60"/>
    </x:row>
    <x:row r="593">
      <x:c r="H593" s="60"/>
    </x:row>
    <x:row r="594">
      <x:c r="H594" s="60"/>
    </x:row>
    <x:row r="595">
      <x:c r="H595" s="60"/>
    </x:row>
    <x:row r="596">
      <x:c r="H596" s="60"/>
    </x:row>
    <x:row r="597">
      <x:c r="H597" s="60"/>
    </x:row>
    <x:row r="598">
      <x:c r="H598" s="60"/>
    </x:row>
    <x:row r="599">
      <x:c r="H599" s="60"/>
    </x:row>
    <x:row r="600">
      <x:c r="H600" s="60"/>
    </x:row>
    <x:row r="601">
      <x:c r="H601" s="60"/>
    </x:row>
    <x:row r="602">
      <x:c r="H602" s="60"/>
    </x:row>
    <x:row r="603">
      <x:c r="H603" s="60"/>
    </x:row>
    <x:row r="604">
      <x:c r="H604" s="60"/>
    </x:row>
    <x:row r="605">
      <x:c r="H605" s="60"/>
    </x:row>
    <x:row r="606">
      <x:c r="H606" s="60"/>
    </x:row>
    <x:row r="607">
      <x:c r="H607" s="60"/>
    </x:row>
    <x:row r="608">
      <x:c r="H608" s="60"/>
    </x:row>
    <x:row r="609">
      <x:c r="H609" s="60"/>
    </x:row>
    <x:row r="610">
      <x:c r="H610" s="60"/>
    </x:row>
    <x:row r="611">
      <x:c r="H611" s="60"/>
    </x:row>
    <x:row r="612">
      <x:c r="H612" s="60"/>
    </x:row>
    <x:row r="613">
      <x:c r="H613" s="60"/>
    </x:row>
    <x:row r="614">
      <x:c r="H614" s="60"/>
    </x:row>
    <x:row r="615">
      <x:c r="H615" s="60"/>
    </x:row>
    <x:row r="616">
      <x:c r="H616" s="60"/>
    </x:row>
    <x:row r="617">
      <x:c r="H617" s="60"/>
    </x:row>
    <x:row r="618">
      <x:c r="H618" s="60"/>
    </x:row>
    <x:row r="619">
      <x:c r="H619" s="60"/>
    </x:row>
    <x:row r="620">
      <x:c r="H620" s="60"/>
    </x:row>
    <x:row r="621">
      <x:c r="H621" s="60"/>
    </x:row>
    <x:row r="622">
      <x:c r="H622" s="60"/>
    </x:row>
    <x:row r="623">
      <x:c r="H623" s="60"/>
    </x:row>
    <x:row r="624">
      <x:c r="H624" s="60"/>
    </x:row>
    <x:row r="625">
      <x:c r="H625" s="60"/>
    </x:row>
    <x:row r="626">
      <x:c r="H626" s="60"/>
    </x:row>
    <x:row r="627">
      <x:c r="H627" s="60"/>
    </x:row>
    <x:row r="628">
      <x:c r="H628" s="60"/>
    </x:row>
    <x:row r="629">
      <x:c r="H629" s="60"/>
    </x:row>
    <x:row r="630">
      <x:c r="H630" s="60"/>
    </x:row>
    <x:row r="631">
      <x:c r="H631" s="60"/>
    </x:row>
    <x:row r="632">
      <x:c r="H632" s="60"/>
    </x:row>
    <x:row r="633">
      <x:c r="H633" s="60"/>
    </x:row>
    <x:row r="634">
      <x:c r="H634" s="60"/>
    </x:row>
    <x:row r="635">
      <x:c r="H635" s="60"/>
    </x:row>
    <x:row r="636">
      <x:c r="H636" s="60"/>
    </x:row>
    <x:row r="637">
      <x:c r="H637" s="60"/>
    </x:row>
    <x:row r="638">
      <x:c r="H638" s="60"/>
    </x:row>
    <x:row r="639">
      <x:c r="H639" s="60"/>
    </x:row>
    <x:row r="640">
      <x:c r="H640" s="60"/>
    </x:row>
    <x:row r="641">
      <x:c r="H641" s="60"/>
    </x:row>
    <x:row r="642">
      <x:c r="H642" s="60"/>
    </x:row>
    <x:row r="643">
      <x:c r="H643" s="60"/>
    </x:row>
    <x:row r="644">
      <x:c r="H644" s="60"/>
    </x:row>
    <x:row r="645">
      <x:c r="H645" s="60"/>
    </x:row>
    <x:row r="646">
      <x:c r="H646" s="60"/>
    </x:row>
    <x:row r="647">
      <x:c r="H647" s="60"/>
    </x:row>
    <x:row r="648">
      <x:c r="H648" s="60"/>
    </x:row>
    <x:row r="649">
      <x:c r="H649" s="60"/>
    </x:row>
    <x:row r="650">
      <x:c r="H650" s="60"/>
    </x:row>
    <x:row r="651">
      <x:c r="H651" s="60"/>
    </x:row>
    <x:row r="652">
      <x:c r="H652" s="60"/>
    </x:row>
    <x:row r="653">
      <x:c r="H653" s="60"/>
    </x:row>
    <x:row r="654">
      <x:c r="H654" s="60"/>
    </x:row>
    <x:row r="655">
      <x:c r="H655" s="60"/>
    </x:row>
    <x:row r="656">
      <x:c r="H656" s="60"/>
    </x:row>
    <x:row r="657">
      <x:c r="H657" s="60"/>
    </x:row>
    <x:row r="658">
      <x:c r="H658" s="60"/>
    </x:row>
    <x:row r="659">
      <x:c r="H659" s="60"/>
    </x:row>
    <x:row r="660">
      <x:c r="H660" s="60"/>
    </x:row>
    <x:row r="661">
      <x:c r="H661" s="60"/>
    </x:row>
    <x:row r="662">
      <x:c r="H662" s="60"/>
    </x:row>
    <x:row r="663">
      <x:c r="H663" s="60"/>
    </x:row>
    <x:row r="664">
      <x:c r="H664" s="60"/>
    </x:row>
    <x:row r="665">
      <x:c r="H665" s="60"/>
    </x:row>
    <x:row r="666">
      <x:c r="H666" s="60"/>
    </x:row>
    <x:row r="667">
      <x:c r="H667" s="60"/>
    </x:row>
    <x:row r="668">
      <x:c r="H668" s="60"/>
    </x:row>
    <x:row r="669">
      <x:c r="H669" s="60"/>
    </x:row>
    <x:row r="670">
      <x:c r="H670" s="60"/>
    </x:row>
    <x:row r="671">
      <x:c r="H671" s="60"/>
    </x:row>
    <x:row r="672">
      <x:c r="H672" s="60"/>
    </x:row>
    <x:row r="673">
      <x:c r="H673" s="60"/>
    </x:row>
    <x:row r="674">
      <x:c r="H674" s="60"/>
    </x:row>
    <x:row r="675">
      <x:c r="H675" s="60"/>
    </x:row>
    <x:row r="676">
      <x:c r="H676" s="60"/>
    </x:row>
    <x:row r="677">
      <x:c r="H677" s="60"/>
    </x:row>
    <x:row r="678">
      <x:c r="H678" s="60"/>
    </x:row>
    <x:row r="679">
      <x:c r="H679" s="60"/>
    </x:row>
    <x:row r="680">
      <x:c r="H680" s="60"/>
    </x:row>
    <x:row r="681">
      <x:c r="H681" s="60"/>
    </x:row>
    <x:row r="682">
      <x:c r="H682" s="60"/>
    </x:row>
    <x:row r="683">
      <x:c r="H683" s="60"/>
    </x:row>
    <x:row r="684">
      <x:c r="H684" s="60"/>
    </x:row>
    <x:row r="685">
      <x:c r="H685" s="60"/>
    </x:row>
    <x:row r="686">
      <x:c r="H686" s="60"/>
    </x:row>
    <x:row r="687">
      <x:c r="H687" s="60"/>
    </x:row>
    <x:row r="688">
      <x:c r="H688" s="60"/>
    </x:row>
    <x:row r="689">
      <x:c r="H689" s="60"/>
    </x:row>
    <x:row r="690">
      <x:c r="H690" s="60"/>
    </x:row>
    <x:row r="691">
      <x:c r="H691" s="60"/>
    </x:row>
    <x:row r="692">
      <x:c r="H692" s="60"/>
    </x:row>
    <x:row r="693">
      <x:c r="H693" s="60"/>
    </x:row>
    <x:row r="694">
      <x:c r="H694" s="60"/>
    </x:row>
    <x:row r="695">
      <x:c r="H695" s="60"/>
    </x:row>
    <x:row r="696">
      <x:c r="H696" s="60"/>
    </x:row>
    <x:row r="697">
      <x:c r="H697" s="60"/>
    </x:row>
    <x:row r="698">
      <x:c r="H698" s="60"/>
    </x:row>
    <x:row r="699">
      <x:c r="H699" s="60"/>
    </x:row>
    <x:row r="700">
      <x:c r="H700" s="60"/>
    </x:row>
    <x:row r="701">
      <x:c r="H701" s="60"/>
    </x:row>
    <x:row r="702">
      <x:c r="H702" s="60"/>
    </x:row>
    <x:row r="703">
      <x:c r="H703" s="60"/>
    </x:row>
    <x:row r="704">
      <x:c r="H704" s="60"/>
    </x:row>
    <x:row r="705">
      <x:c r="H705" s="60"/>
    </x:row>
    <x:row r="706">
      <x:c r="H706" s="60"/>
    </x:row>
    <x:row r="707">
      <x:c r="H707" s="60"/>
    </x:row>
    <x:row r="708">
      <x:c r="H708" s="60"/>
    </x:row>
    <x:row r="709">
      <x:c r="H709" s="60"/>
    </x:row>
    <x:row r="710">
      <x:c r="H710" s="60"/>
    </x:row>
    <x:row r="711">
      <x:c r="H711" s="60"/>
    </x:row>
    <x:row r="712">
      <x:c r="H712" s="60"/>
    </x:row>
    <x:row r="713">
      <x:c r="H713" s="60"/>
    </x:row>
    <x:row r="714">
      <x:c r="H714" s="60"/>
    </x:row>
    <x:row r="715">
      <x:c r="H715" s="60"/>
    </x:row>
    <x:row r="716">
      <x:c r="H716" s="60"/>
    </x:row>
    <x:row r="717">
      <x:c r="H717" s="60"/>
    </x:row>
    <x:row r="718">
      <x:c r="H718" s="60"/>
    </x:row>
    <x:row r="719">
      <x:c r="H719" s="60"/>
    </x:row>
    <x:row r="720">
      <x:c r="H720" s="60"/>
    </x:row>
    <x:row r="721">
      <x:c r="H721" s="60"/>
    </x:row>
    <x:row r="722">
      <x:c r="H722" s="60"/>
    </x:row>
    <x:row r="723">
      <x:c r="H723" s="60"/>
    </x:row>
    <x:row r="724">
      <x:c r="H724" s="60"/>
    </x:row>
    <x:row r="725">
      <x:c r="H725" s="60"/>
    </x:row>
    <x:row r="726">
      <x:c r="H726" s="60"/>
    </x:row>
    <x:row r="727">
      <x:c r="H727" s="60"/>
    </x:row>
    <x:row r="728">
      <x:c r="H728" s="60"/>
    </x:row>
    <x:row r="729">
      <x:c r="H729" s="60"/>
    </x:row>
    <x:row r="730">
      <x:c r="H730" s="60"/>
    </x:row>
    <x:row r="731">
      <x:c r="H731" s="60"/>
    </x:row>
    <x:row r="732">
      <x:c r="H732" s="60"/>
    </x:row>
    <x:row r="733">
      <x:c r="H733" s="60"/>
    </x:row>
    <x:row r="734">
      <x:c r="H734" s="60"/>
    </x:row>
    <x:row r="735">
      <x:c r="H735" s="60"/>
    </x:row>
    <x:row r="736">
      <x:c r="H736" s="60"/>
    </x:row>
    <x:row r="737">
      <x:c r="H737" s="60"/>
    </x:row>
    <x:row r="738">
      <x:c r="H738" s="60"/>
    </x:row>
    <x:row r="739">
      <x:c r="H739" s="60"/>
    </x:row>
    <x:row r="740">
      <x:c r="H740" s="60"/>
    </x:row>
    <x:row r="741">
      <x:c r="H741" s="60"/>
    </x:row>
    <x:row r="742">
      <x:c r="H742" s="60"/>
    </x:row>
    <x:row r="743">
      <x:c r="H743" s="60"/>
    </x:row>
    <x:row r="744">
      <x:c r="H744" s="60"/>
    </x:row>
    <x:row r="745">
      <x:c r="H745" s="60"/>
    </x:row>
    <x:row r="746">
      <x:c r="H746" s="60"/>
    </x:row>
    <x:row r="747">
      <x:c r="H747" s="60"/>
    </x:row>
    <x:row r="748">
      <x:c r="H748" s="60"/>
    </x:row>
    <x:row r="749">
      <x:c r="H749" s="60"/>
    </x:row>
    <x:row r="750">
      <x:c r="H750" s="60"/>
    </x:row>
    <x:row r="751">
      <x:c r="H751" s="60"/>
    </x:row>
    <x:row r="752">
      <x:c r="H752" s="60"/>
    </x:row>
    <x:row r="753">
      <x:c r="H753" s="60"/>
    </x:row>
    <x:row r="754">
      <x:c r="H754" s="60"/>
    </x:row>
    <x:row r="755">
      <x:c r="H755" s="60"/>
    </x:row>
    <x:row r="756">
      <x:c r="H756" s="60"/>
    </x:row>
    <x:row r="757">
      <x:c r="H757" s="60"/>
    </x:row>
    <x:row r="758">
      <x:c r="H758" s="60"/>
    </x:row>
    <x:row r="759">
      <x:c r="H759" s="60"/>
    </x:row>
    <x:row r="760">
      <x:c r="H760" s="60"/>
    </x:row>
    <x:row r="761">
      <x:c r="H761" s="60"/>
    </x:row>
    <x:row r="762">
      <x:c r="H762" s="60"/>
    </x:row>
    <x:row r="763">
      <x:c r="H763" s="60"/>
    </x:row>
    <x:row r="764">
      <x:c r="H764" s="60"/>
    </x:row>
    <x:row r="765">
      <x:c r="H765" s="60"/>
    </x:row>
    <x:row r="766">
      <x:c r="H766" s="60"/>
    </x:row>
    <x:row r="767">
      <x:c r="H767" s="60"/>
    </x:row>
    <x:row r="768">
      <x:c r="H768" s="60"/>
    </x:row>
    <x:row r="769">
      <x:c r="H769" s="60"/>
    </x:row>
    <x:row r="770">
      <x:c r="H770" s="60"/>
    </x:row>
    <x:row r="771">
      <x:c r="H771" s="60"/>
    </x:row>
    <x:row r="772">
      <x:c r="H772" s="60"/>
    </x:row>
    <x:row r="773">
      <x:c r="H773" s="60"/>
    </x:row>
    <x:row r="774">
      <x:c r="H774" s="60"/>
    </x:row>
    <x:row r="775">
      <x:c r="H775" s="60"/>
    </x:row>
    <x:row r="776">
      <x:c r="H776" s="60"/>
    </x:row>
    <x:row r="777">
      <x:c r="H777" s="60"/>
    </x:row>
    <x:row r="778">
      <x:c r="H778" s="60"/>
    </x:row>
    <x:row r="779">
      <x:c r="H779" s="60"/>
    </x:row>
    <x:row r="780">
      <x:c r="H780" s="60"/>
    </x:row>
    <x:row r="781">
      <x:c r="H781" s="60"/>
    </x:row>
    <x:row r="782">
      <x:c r="H782" s="60"/>
    </x:row>
    <x:row r="783">
      <x:c r="H783" s="60"/>
    </x:row>
    <x:row r="784">
      <x:c r="H784" s="60"/>
    </x:row>
    <x:row r="785">
      <x:c r="H785" s="60"/>
    </x:row>
    <x:row r="786">
      <x:c r="H786" s="60"/>
    </x:row>
    <x:row r="787">
      <x:c r="H787" s="60"/>
    </x:row>
    <x:row r="788">
      <x:c r="H788" s="60"/>
    </x:row>
    <x:row r="789">
      <x:c r="H789" s="60"/>
    </x:row>
    <x:row r="790">
      <x:c r="H790" s="60"/>
    </x:row>
    <x:row r="791">
      <x:c r="H791" s="60"/>
    </x:row>
    <x:row r="792">
      <x:c r="H792" s="60"/>
    </x:row>
    <x:row r="793">
      <x:c r="H793" s="60"/>
    </x:row>
    <x:row r="794">
      <x:c r="H794" s="60"/>
    </x:row>
    <x:row r="795">
      <x:c r="H795" s="60"/>
    </x:row>
    <x:row r="796">
      <x:c r="H796" s="60"/>
    </x:row>
    <x:row r="797">
      <x:c r="H797" s="60"/>
    </x:row>
    <x:row r="798">
      <x:c r="H798" s="60"/>
    </x:row>
    <x:row r="799">
      <x:c r="H799" s="60"/>
    </x:row>
    <x:row r="800">
      <x:c r="H800" s="60"/>
    </x:row>
    <x:row r="801">
      <x:c r="H801" s="60"/>
    </x:row>
    <x:row r="802">
      <x:c r="H802" s="60"/>
    </x:row>
    <x:row r="803">
      <x:c r="H803" s="60"/>
    </x:row>
    <x:row r="804">
      <x:c r="H804" s="60"/>
    </x:row>
    <x:row r="805">
      <x:c r="H805" s="60"/>
    </x:row>
    <x:row r="806">
      <x:c r="H806" s="60"/>
    </x:row>
    <x:row r="807">
      <x:c r="H807" s="60"/>
    </x:row>
    <x:row r="808">
      <x:c r="H808" s="60"/>
    </x:row>
    <x:row r="809">
      <x:c r="H809" s="60"/>
    </x:row>
    <x:row r="810">
      <x:c r="H810" s="60"/>
    </x:row>
    <x:row r="811">
      <x:c r="H811" s="60"/>
    </x:row>
    <x:row r="812">
      <x:c r="H812" s="60"/>
    </x:row>
    <x:row r="813">
      <x:c r="H813" s="60"/>
    </x:row>
    <x:row r="814">
      <x:c r="H814" s="60"/>
    </x:row>
    <x:row r="815">
      <x:c r="H815" s="60"/>
    </x:row>
    <x:row r="816">
      <x:c r="H816" s="60"/>
    </x:row>
    <x:row r="817">
      <x:c r="H817" s="60"/>
    </x:row>
    <x:row r="818">
      <x:c r="H818" s="60"/>
    </x:row>
    <x:row r="819">
      <x:c r="H819" s="60"/>
    </x:row>
    <x:row r="820">
      <x:c r="H820" s="60"/>
    </x:row>
    <x:row r="821">
      <x:c r="H821" s="60"/>
    </x:row>
    <x:row r="822">
      <x:c r="H822" s="60"/>
    </x:row>
    <x:row r="823">
      <x:c r="H823" s="60"/>
    </x:row>
    <x:row r="824">
      <x:c r="H824" s="60"/>
    </x:row>
    <x:row r="825">
      <x:c r="H825" s="60"/>
    </x:row>
    <x:row r="826">
      <x:c r="H826" s="60"/>
    </x:row>
    <x:row r="827">
      <x:c r="H827" s="60"/>
    </x:row>
    <x:row r="828">
      <x:c r="H828" s="60"/>
    </x:row>
    <x:row r="829">
      <x:c r="H829" s="60"/>
    </x:row>
    <x:row r="830">
      <x:c r="H830" s="60"/>
    </x:row>
    <x:row r="831">
      <x:c r="H831" s="60"/>
    </x:row>
    <x:row r="832">
      <x:c r="H832" s="60"/>
    </x:row>
    <x:row r="833">
      <x:c r="H833" s="60"/>
    </x:row>
    <x:row r="834">
      <x:c r="H834" s="60"/>
    </x:row>
    <x:row r="835">
      <x:c r="H835" s="60"/>
    </x:row>
    <x:row r="836">
      <x:c r="H836" s="60"/>
    </x:row>
    <x:row r="837">
      <x:c r="H837" s="60"/>
    </x:row>
    <x:row r="838">
      <x:c r="H838" s="60"/>
    </x:row>
    <x:row r="839">
      <x:c r="H839" s="60"/>
    </x:row>
    <x:row r="840">
      <x:c r="H840" s="60"/>
    </x:row>
    <x:row r="841">
      <x:c r="H841" s="60"/>
    </x:row>
    <x:row r="842">
      <x:c r="H842" s="60"/>
    </x:row>
    <x:row r="843">
      <x:c r="H843" s="60"/>
    </x:row>
    <x:row r="844">
      <x:c r="H844" s="60"/>
    </x:row>
    <x:row r="845">
      <x:c r="H845" s="60"/>
    </x:row>
    <x:row r="846">
      <x:c r="H846" s="60"/>
    </x:row>
    <x:row r="847">
      <x:c r="H847" s="60"/>
    </x:row>
    <x:row r="848">
      <x:c r="H848" s="60"/>
    </x:row>
    <x:row r="849">
      <x:c r="H849" s="60"/>
    </x:row>
    <x:row r="850">
      <x:c r="H850" s="60"/>
    </x:row>
    <x:row r="851">
      <x:c r="H851" s="60"/>
    </x:row>
    <x:row r="852">
      <x:c r="H852" s="60"/>
    </x:row>
    <x:row r="853">
      <x:c r="H853" s="60"/>
    </x:row>
    <x:row r="854">
      <x:c r="H854" s="60"/>
    </x:row>
    <x:row r="855">
      <x:c r="H855" s="60"/>
    </x:row>
    <x:row r="856">
      <x:c r="H856" s="60"/>
    </x:row>
    <x:row r="857">
      <x:c r="H857" s="60"/>
    </x:row>
    <x:row r="858">
      <x:c r="H858" s="60"/>
    </x:row>
    <x:row r="859">
      <x:c r="H859" s="60"/>
    </x:row>
    <x:row r="860">
      <x:c r="H860" s="60"/>
    </x:row>
    <x:row r="861">
      <x:c r="H861" s="60"/>
    </x:row>
    <x:row r="862">
      <x:c r="H862" s="60"/>
    </x:row>
    <x:row r="863">
      <x:c r="H863" s="60"/>
    </x:row>
    <x:row r="864">
      <x:c r="H864" s="60"/>
    </x:row>
    <x:row r="865">
      <x:c r="H865" s="60"/>
    </x:row>
    <x:row r="866">
      <x:c r="H866" s="60"/>
    </x:row>
    <x:row r="867">
      <x:c r="H867" s="60"/>
    </x:row>
    <x:row r="868">
      <x:c r="H868" s="60"/>
    </x:row>
    <x:row r="869">
      <x:c r="H869" s="60"/>
    </x:row>
    <x:row r="870">
      <x:c r="H870" s="60"/>
    </x:row>
    <x:row r="871">
      <x:c r="H871" s="60"/>
    </x:row>
    <x:row r="872">
      <x:c r="H872" s="60"/>
    </x:row>
    <x:row r="873">
      <x:c r="H873" s="60"/>
    </x:row>
    <x:row r="874">
      <x:c r="H874" s="60"/>
    </x:row>
    <x:row r="875">
      <x:c r="H875" s="60"/>
    </x:row>
    <x:row r="876">
      <x:c r="H876" s="60"/>
    </x:row>
    <x:row r="877">
      <x:c r="H877" s="60"/>
    </x:row>
    <x:row r="878">
      <x:c r="H878" s="60"/>
    </x:row>
    <x:row r="879">
      <x:c r="H879" s="60"/>
    </x:row>
    <x:row r="880">
      <x:c r="H880" s="60"/>
    </x:row>
    <x:row r="881">
      <x:c r="H881" s="60"/>
    </x:row>
    <x:row r="882">
      <x:c r="H882" s="60"/>
    </x:row>
    <x:row r="883">
      <x:c r="H883" s="60"/>
    </x:row>
    <x:row r="884">
      <x:c r="H884" s="60"/>
    </x:row>
    <x:row r="885">
      <x:c r="H885" s="60"/>
    </x:row>
    <x:row r="886">
      <x:c r="H886" s="60"/>
    </x:row>
    <x:row r="887">
      <x:c r="H887" s="60"/>
    </x:row>
    <x:row r="888">
      <x:c r="H888" s="60"/>
    </x:row>
    <x:row r="889">
      <x:c r="H889" s="60"/>
    </x:row>
    <x:row r="890">
      <x:c r="H890" s="60"/>
    </x:row>
    <x:row r="891">
      <x:c r="H891" s="60"/>
    </x:row>
    <x:row r="892">
      <x:c r="H892" s="60"/>
    </x:row>
    <x:row r="893">
      <x:c r="H893" s="60"/>
    </x:row>
    <x:row r="894">
      <x:c r="H894" s="60"/>
    </x:row>
    <x:row r="895">
      <x:c r="H895" s="60"/>
    </x:row>
    <x:row r="896">
      <x:c r="H896" s="60"/>
    </x:row>
    <x:row r="897">
      <x:c r="H897" s="60"/>
    </x:row>
    <x:row r="898">
      <x:c r="H898" s="60"/>
    </x:row>
    <x:row r="899">
      <x:c r="H899" s="60"/>
    </x:row>
    <x:row r="900">
      <x:c r="H900" s="60"/>
    </x:row>
    <x:row r="901">
      <x:c r="H901" s="60"/>
    </x:row>
    <x:row r="902">
      <x:c r="H902" s="60"/>
    </x:row>
    <x:row r="903">
      <x:c r="H903" s="60"/>
    </x:row>
    <x:row r="904">
      <x:c r="H904" s="60"/>
    </x:row>
    <x:row r="905">
      <x:c r="H905" s="60"/>
    </x:row>
    <x:row r="906">
      <x:c r="H906" s="60"/>
    </x:row>
    <x:row r="907">
      <x:c r="H907" s="60"/>
    </x:row>
    <x:row r="908">
      <x:c r="H908" s="60"/>
    </x:row>
    <x:row r="909">
      <x:c r="H909" s="60"/>
    </x:row>
    <x:row r="910">
      <x:c r="H910" s="60"/>
    </x:row>
    <x:row r="911">
      <x:c r="H911" s="60"/>
    </x:row>
    <x:row r="912">
      <x:c r="H912" s="60"/>
    </x:row>
    <x:row r="913">
      <x:c r="H913" s="60"/>
    </x:row>
    <x:row r="914">
      <x:c r="H914" s="60"/>
    </x:row>
    <x:row r="915">
      <x:c r="H915" s="60"/>
    </x:row>
    <x:row r="916">
      <x:c r="H916" s="60"/>
    </x:row>
    <x:row r="917">
      <x:c r="H917" s="60"/>
    </x:row>
    <x:row r="918">
      <x:c r="H918" s="60"/>
    </x:row>
    <x:row r="919">
      <x:c r="H919" s="60"/>
    </x:row>
    <x:row r="920">
      <x:c r="H920" s="60"/>
    </x:row>
    <x:row r="921">
      <x:c r="H921" s="60"/>
    </x:row>
    <x:row r="922">
      <x:c r="H922" s="60"/>
    </x:row>
    <x:row r="923">
      <x:c r="H923" s="60"/>
    </x:row>
    <x:row r="924">
      <x:c r="H924" s="60"/>
    </x:row>
    <x:row r="925">
      <x:c r="H925" s="60"/>
    </x:row>
    <x:row r="926">
      <x:c r="H926" s="60"/>
    </x:row>
    <x:row r="927">
      <x:c r="H927" s="60"/>
    </x:row>
    <x:row r="928">
      <x:c r="H928" s="60"/>
    </x:row>
    <x:row r="929">
      <x:c r="H929" s="60"/>
    </x:row>
    <x:row r="930">
      <x:c r="H930" s="60"/>
    </x:row>
    <x:row r="931">
      <x:c r="H931" s="60"/>
    </x:row>
    <x:row r="932">
      <x:c r="H932" s="60"/>
    </x:row>
    <x:row r="933">
      <x:c r="H933" s="60"/>
    </x:row>
    <x:row r="934">
      <x:c r="H934" s="60"/>
    </x:row>
    <x:row r="935">
      <x:c r="H935" s="60"/>
    </x:row>
    <x:row r="936">
      <x:c r="H936" s="60"/>
    </x:row>
    <x:row r="937">
      <x:c r="H937" s="60"/>
    </x:row>
    <x:row r="938">
      <x:c r="H938" s="60"/>
    </x:row>
    <x:row r="939">
      <x:c r="H939" s="60"/>
    </x:row>
    <x:row r="940">
      <x:c r="H940" s="60"/>
    </x:row>
    <x:row r="941">
      <x:c r="H941" s="60"/>
    </x:row>
    <x:row r="942">
      <x:c r="H942" s="60"/>
    </x:row>
    <x:row r="943">
      <x:c r="H943" s="60"/>
    </x:row>
    <x:row r="944">
      <x:c r="H944" s="60"/>
    </x:row>
    <x:row r="945">
      <x:c r="H945" s="60"/>
    </x:row>
    <x:row r="946">
      <x:c r="H946" s="60"/>
    </x:row>
    <x:row r="947">
      <x:c r="H947" s="60"/>
    </x:row>
    <x:row r="948">
      <x:c r="H948" s="60"/>
    </x:row>
    <x:row r="949">
      <x:c r="H949" s="60"/>
    </x:row>
    <x:row r="950">
      <x:c r="H950" s="60"/>
    </x:row>
    <x:row r="951">
      <x:c r="H951" s="60"/>
    </x:row>
    <x:row r="952">
      <x:c r="H952" s="60"/>
    </x:row>
    <x:row r="953">
      <x:c r="H953" s="60"/>
    </x:row>
    <x:row r="954">
      <x:c r="H954" s="60"/>
    </x:row>
    <x:row r="955">
      <x:c r="H955" s="60"/>
    </x:row>
    <x:row r="956">
      <x:c r="H956" s="60"/>
    </x:row>
    <x:row r="957">
      <x:c r="H957" s="60"/>
    </x:row>
    <x:row r="958">
      <x:c r="H958" s="60"/>
    </x:row>
    <x:row r="959">
      <x:c r="H959" s="60"/>
    </x:row>
    <x:row r="960">
      <x:c r="H960" s="60"/>
    </x:row>
    <x:row r="961">
      <x:c r="H961" s="60"/>
    </x:row>
    <x:row r="962">
      <x:c r="H962" s="60"/>
    </x:row>
    <x:row r="963">
      <x:c r="H963" s="60"/>
    </x:row>
    <x:row r="964">
      <x:c r="H964" s="60"/>
    </x:row>
    <x:row r="965">
      <x:c r="H965" s="60"/>
    </x:row>
    <x:row r="966">
      <x:c r="H966" s="60"/>
    </x:row>
    <x:row r="967">
      <x:c r="H967" s="60"/>
    </x:row>
    <x:row r="968">
      <x:c r="H968" s="60"/>
    </x:row>
    <x:row r="969">
      <x:c r="H969" s="60"/>
    </x:row>
    <x:row r="970">
      <x:c r="H970" s="60"/>
    </x:row>
    <x:row r="971">
      <x:c r="H971" s="60"/>
    </x:row>
    <x:row r="972">
      <x:c r="H972" s="60"/>
    </x:row>
    <x:row r="973">
      <x:c r="H973" s="60"/>
    </x:row>
    <x:row r="974">
      <x:c r="H974" s="60"/>
    </x:row>
    <x:row r="975">
      <x:c r="H975" s="60"/>
    </x:row>
    <x:row r="976">
      <x:c r="H976" s="60"/>
    </x:row>
    <x:row r="977">
      <x:c r="H977" s="60"/>
    </x:row>
    <x:row r="978">
      <x:c r="H978" s="60"/>
    </x:row>
    <x:row r="979">
      <x:c r="H979" s="60"/>
    </x:row>
    <x:row r="980">
      <x:c r="H980" s="60"/>
    </x:row>
    <x:row r="981">
      <x:c r="H981" s="60"/>
    </x:row>
    <x:row r="982">
      <x:c r="H982" s="60"/>
    </x:row>
    <x:row r="983">
      <x:c r="H983" s="60"/>
    </x:row>
    <x:row r="984">
      <x:c r="H984" s="60"/>
    </x:row>
    <x:row r="985">
      <x:c r="H985" s="60"/>
    </x:row>
    <x:row r="986">
      <x:c r="H986" s="60"/>
    </x:row>
    <x:row r="987">
      <x:c r="H987" s="60"/>
    </x:row>
    <x:row r="988">
      <x:c r="H988" s="60"/>
    </x:row>
    <x:row r="989">
      <x:c r="H989" s="60"/>
    </x:row>
    <x:row r="990">
      <x:c r="H990" s="60"/>
    </x:row>
    <x:row r="991">
      <x:c r="H991" s="60"/>
    </x:row>
    <x:row r="992">
      <x:c r="H992" s="60"/>
    </x:row>
    <x:row r="993">
      <x:c r="H993" s="60"/>
    </x:row>
    <x:row r="994">
      <x:c r="H994" s="60"/>
    </x:row>
    <x:row r="995">
      <x:c r="H995" s="60"/>
    </x:row>
    <x:row r="996">
      <x:c r="H996" s="60"/>
    </x:row>
    <x:row r="997">
      <x:c r="H997" s="60"/>
    </x:row>
    <x:row r="998">
      <x:c r="H998" s="60"/>
    </x:row>
    <x:row r="999">
      <x:c r="H999" s="60"/>
    </x:row>
    <x:row r="1000">
      <x:c r="H1000" s="60"/>
    </x:row>
    <x:row r="1001">
      <x:c r="H1001" s="60"/>
    </x:row>
    <x:row r="1002">
      <x:c r="H1002" s="60"/>
    </x:row>
    <x:row r="1003">
      <x:c r="H1003" s="60"/>
    </x:row>
    <x:row r="1004">
      <x:c r="H1004" s="60"/>
    </x:row>
    <x:row r="1005">
      <x:c r="H1005" s="60"/>
    </x:row>
    <x:row r="1006">
      <x:c r="H1006" s="60"/>
    </x:row>
    <x:row r="1007">
      <x:c r="H1007" s="60"/>
    </x:row>
    <x:row r="1008">
      <x:c r="H1008" s="60"/>
    </x:row>
    <x:row r="1009">
      <x:c r="H1009" s="60"/>
    </x:row>
    <x:row r="1010">
      <x:c r="H1010" s="60"/>
    </x:row>
    <x:row r="1011">
      <x:c r="H1011" s="60"/>
    </x:row>
    <x:row r="1012">
      <x:c r="H1012" s="60"/>
    </x:row>
    <x:row r="1013">
      <x:c r="H1013" s="60"/>
    </x:row>
    <x:row r="1014">
      <x:c r="H1014" s="60"/>
    </x:row>
    <x:row r="1015">
      <x:c r="H1015" s="60"/>
    </x:row>
    <x:row r="1016">
      <x:c r="H1016" s="60"/>
    </x:row>
    <x:row r="1017">
      <x:c r="H1017" s="60"/>
    </x:row>
    <x:row r="1018">
      <x:c r="H1018" s="60"/>
    </x:row>
    <x:row r="1019">
      <x:c r="H1019" s="60"/>
    </x:row>
    <x:row r="1020">
      <x:c r="H1020" s="60"/>
    </x:row>
    <x:row r="1021">
      <x:c r="H1021" s="60"/>
    </x:row>
    <x:row r="1022">
      <x:c r="H1022" s="60"/>
    </x:row>
    <x:row r="1023">
      <x:c r="H1023" s="60"/>
    </x:row>
    <x:row r="1024">
      <x:c r="H1024" s="60"/>
    </x:row>
    <x:row r="1025">
      <x:c r="H1025" s="60"/>
    </x:row>
    <x:row r="1026">
      <x:c r="H1026" s="60"/>
    </x:row>
    <x:row r="1027">
      <x:c r="H1027" s="60"/>
    </x:row>
    <x:row r="1028">
      <x:c r="H1028" s="60"/>
    </x:row>
    <x:row r="1029">
      <x:c r="H1029" s="60"/>
    </x:row>
    <x:row r="1030">
      <x:c r="H1030" s="60"/>
    </x:row>
    <x:row r="1031">
      <x:c r="H1031" s="60"/>
    </x:row>
    <x:row r="1032">
      <x:c r="H1032" s="60"/>
    </x:row>
    <x:row r="1033">
      <x:c r="H1033" s="60"/>
    </x:row>
    <x:row r="1034">
      <x:c r="H1034" s="60"/>
    </x:row>
    <x:row r="1035">
      <x:c r="H1035" s="60"/>
    </x:row>
    <x:row r="1036">
      <x:c r="H1036" s="60"/>
    </x:row>
    <x:row r="1037">
      <x:c r="H1037" s="60"/>
    </x:row>
    <x:row r="1038">
      <x:c r="H1038" s="60"/>
    </x:row>
    <x:row r="1039">
      <x:c r="H1039" s="60"/>
    </x:row>
    <x:row r="1040">
      <x:c r="H1040" s="60"/>
    </x:row>
    <x:row r="1041">
      <x:c r="H1041" s="60"/>
    </x:row>
    <x:row r="1042">
      <x:c r="H1042" s="60"/>
    </x:row>
    <x:row r="1043">
      <x:c r="H1043" s="60"/>
    </x:row>
    <x:row r="1044">
      <x:c r="H1044" s="60"/>
    </x:row>
    <x:row r="1045">
      <x:c r="H1045" s="60"/>
    </x:row>
    <x:row r="1046">
      <x:c r="H1046" s="60"/>
    </x:row>
    <x:row r="1047">
      <x:c r="H1047" s="60"/>
    </x:row>
    <x:row r="1048">
      <x:c r="H1048" s="60"/>
    </x:row>
    <x:row r="1049">
      <x:c r="H1049" s="60"/>
    </x:row>
    <x:row r="1050">
      <x:c r="H1050" s="60"/>
    </x:row>
    <x:row r="1051">
      <x:c r="H1051" s="60"/>
    </x:row>
    <x:row r="1052">
      <x:c r="H1052" s="60"/>
    </x:row>
    <x:row r="1053">
      <x:c r="H1053" s="60"/>
    </x:row>
    <x:row r="1054">
      <x:c r="H1054" s="60"/>
    </x:row>
    <x:row r="1055">
      <x:c r="H1055" s="60"/>
    </x:row>
    <x:row r="1056">
      <x:c r="H1056" s="60"/>
    </x:row>
    <x:row r="1057">
      <x:c r="H1057" s="60"/>
    </x:row>
    <x:row r="1058">
      <x:c r="H1058" s="60"/>
    </x:row>
    <x:row r="1059">
      <x:c r="H1059" s="60"/>
    </x:row>
    <x:row r="1060">
      <x:c r="H1060" s="60"/>
    </x:row>
    <x:row r="1061">
      <x:c r="H1061" s="60"/>
    </x:row>
    <x:row r="1062">
      <x:c r="H1062" s="60"/>
    </x:row>
    <x:row r="1063">
      <x:c r="H1063" s="60"/>
    </x:row>
    <x:row r="1064">
      <x:c r="H1064" s="60"/>
    </x:row>
    <x:row r="1065">
      <x:c r="H1065" s="60"/>
    </x:row>
    <x:row r="1066">
      <x:c r="H1066" s="60"/>
    </x:row>
    <x:row r="1067">
      <x:c r="H1067" s="60"/>
    </x:row>
    <x:row r="1068">
      <x:c r="H1068" s="60"/>
    </x:row>
    <x:row r="1069">
      <x:c r="H1069" s="60"/>
    </x:row>
    <x:row r="1070">
      <x:c r="H1070" s="60"/>
    </x:row>
    <x:row r="1071">
      <x:c r="H1071" s="60"/>
    </x:row>
    <x:row r="1072">
      <x:c r="H1072" s="60"/>
    </x:row>
    <x:row r="1073">
      <x:c r="H1073" s="60"/>
    </x:row>
    <x:row r="1074">
      <x:c r="H1074" s="60"/>
    </x:row>
    <x:row r="1075">
      <x:c r="H1075" s="60"/>
    </x:row>
    <x:row r="1076">
      <x:c r="H1076" s="60"/>
    </x:row>
    <x:row r="1077">
      <x:c r="H1077" s="60"/>
    </x:row>
    <x:row r="1078">
      <x:c r="H1078" s="60"/>
    </x:row>
    <x:row r="1079">
      <x:c r="H1079" s="60"/>
    </x:row>
    <x:row r="1080">
      <x:c r="H1080" s="60"/>
    </x:row>
    <x:row r="1081">
      <x:c r="H1081" s="60"/>
    </x:row>
    <x:row r="1082">
      <x:c r="H1082" s="60"/>
    </x:row>
    <x:row r="1083">
      <x:c r="H1083" s="60"/>
    </x:row>
    <x:row r="1084">
      <x:c r="H1084" s="60"/>
    </x:row>
    <x:row r="1085">
      <x:c r="H1085" s="60"/>
    </x:row>
    <x:row r="1086">
      <x:c r="H1086" s="60"/>
    </x:row>
    <x:row r="1087">
      <x:c r="H1087" s="60"/>
    </x:row>
    <x:row r="1088">
      <x:c r="H1088" s="60"/>
    </x:row>
    <x:row r="1089">
      <x:c r="H1089" s="60"/>
    </x:row>
    <x:row r="1090">
      <x:c r="H1090" s="60"/>
    </x:row>
    <x:row r="1091">
      <x:c r="H1091" s="60"/>
    </x:row>
    <x:row r="1092">
      <x:c r="H1092" s="60"/>
    </x:row>
    <x:row r="1093">
      <x:c r="H1093" s="60"/>
    </x:row>
    <x:row r="1094">
      <x:c r="H1094" s="60"/>
    </x:row>
    <x:row r="1095">
      <x:c r="H1095" s="60"/>
    </x:row>
    <x:row r="1096">
      <x:c r="H1096" s="60"/>
    </x:row>
    <x:row r="1097">
      <x:c r="H1097" s="60"/>
    </x:row>
    <x:row r="1098">
      <x:c r="H1098" s="60"/>
    </x:row>
    <x:row r="1099">
      <x:c r="H1099" s="60"/>
    </x:row>
    <x:row r="1100">
      <x:c r="H1100" s="60"/>
    </x:row>
    <x:row r="1101">
      <x:c r="H1101" s="60"/>
    </x:row>
    <x:row r="1102">
      <x:c r="H1102" s="60"/>
    </x:row>
    <x:row r="1103">
      <x:c r="H1103" s="60"/>
    </x:row>
    <x:row r="1104">
      <x:c r="H1104" s="60"/>
    </x:row>
    <x:row r="1105">
      <x:c r="H1105" s="60"/>
    </x:row>
    <x:row r="1106">
      <x:c r="H1106" s="60"/>
    </x:row>
    <x:row r="1107">
      <x:c r="H1107" s="60"/>
    </x:row>
    <x:row r="1108">
      <x:c r="H1108" s="60"/>
    </x:row>
    <x:row r="1109">
      <x:c r="H1109" s="60"/>
    </x:row>
    <x:row r="1110">
      <x:c r="H1110" s="60"/>
    </x:row>
    <x:row r="1111">
      <x:c r="H1111" s="60"/>
    </x:row>
    <x:row r="1112">
      <x:c r="H1112" s="60"/>
    </x:row>
    <x:row r="1113">
      <x:c r="H1113" s="60"/>
    </x:row>
    <x:row r="1114">
      <x:c r="H1114" s="60"/>
    </x:row>
    <x:row r="1115">
      <x:c r="H1115" s="60"/>
    </x:row>
    <x:row r="1116">
      <x:c r="H1116" s="60"/>
    </x:row>
    <x:row r="1117">
      <x:c r="H1117" s="60"/>
    </x:row>
    <x:row r="1118">
      <x:c r="H1118" s="60"/>
    </x:row>
    <x:row r="1119">
      <x:c r="H1119" s="60"/>
    </x:row>
    <x:row r="1120">
      <x:c r="H1120" s="60"/>
    </x:row>
    <x:row r="1121">
      <x:c r="H1121" s="60"/>
    </x:row>
    <x:row r="1122">
      <x:c r="H1122" s="60"/>
    </x:row>
    <x:row r="1123">
      <x:c r="H1123" s="60"/>
    </x:row>
    <x:row r="1124">
      <x:c r="H1124" s="60"/>
    </x:row>
    <x:row r="1125">
      <x:c r="H1125" s="60"/>
    </x:row>
    <x:row r="1126">
      <x:c r="H1126" s="60"/>
    </x:row>
    <x:row r="1127">
      <x:c r="H1127" s="60"/>
    </x:row>
    <x:row r="1128">
      <x:c r="H1128" s="60"/>
    </x:row>
    <x:row r="1129">
      <x:c r="H1129" s="60"/>
    </x:row>
    <x:row r="1130">
      <x:c r="H1130" s="60"/>
    </x:row>
    <x:row r="1131">
      <x:c r="H1131" s="60"/>
    </x:row>
    <x:row r="1132">
      <x:c r="H1132" s="60"/>
    </x:row>
    <x:row r="1133">
      <x:c r="H1133" s="60"/>
    </x:row>
    <x:row r="1134">
      <x:c r="H1134" s="60"/>
    </x:row>
    <x:row r="1135">
      <x:c r="H1135" s="60"/>
    </x:row>
    <x:row r="1136">
      <x:c r="H1136" s="60"/>
    </x:row>
    <x:row r="1137">
      <x:c r="H1137" s="60"/>
    </x:row>
    <x:row r="1138">
      <x:c r="H1138" s="60"/>
    </x:row>
    <x:row r="1139">
      <x:c r="H1139" s="60"/>
    </x:row>
    <x:row r="1140">
      <x:c r="H1140" s="60"/>
    </x:row>
    <x:row r="1141">
      <x:c r="H1141" s="60"/>
    </x:row>
    <x:row r="1142">
      <x:c r="H1142" s="60"/>
    </x:row>
    <x:row r="1143">
      <x:c r="H1143" s="60"/>
    </x:row>
    <x:row r="1144">
      <x:c r="H1144" s="60"/>
    </x:row>
    <x:row r="1145">
      <x:c r="H1145" s="60"/>
    </x:row>
    <x:row r="1146">
      <x:c r="H1146" s="60"/>
    </x:row>
    <x:row r="1147">
      <x:c r="H1147" s="60"/>
    </x:row>
    <x:row r="1148">
      <x:c r="H1148" s="60"/>
    </x:row>
    <x:row r="1149">
      <x:c r="H1149" s="60"/>
    </x:row>
    <x:row r="1150">
      <x:c r="H1150" s="60"/>
    </x:row>
    <x:row r="1151">
      <x:c r="H1151" s="60"/>
    </x:row>
    <x:row r="1152">
      <x:c r="H1152" s="60"/>
    </x:row>
    <x:row r="1153">
      <x:c r="H1153" s="60"/>
    </x:row>
    <x:row r="1154">
      <x:c r="H1154" s="60"/>
    </x:row>
    <x:row r="1155">
      <x:c r="H1155" s="60"/>
    </x:row>
    <x:row r="1156">
      <x:c r="H1156" s="60"/>
    </x:row>
    <x:row r="1157">
      <x:c r="H1157" s="60"/>
    </x:row>
    <x:row r="1158">
      <x:c r="H1158" s="60"/>
    </x:row>
    <x:row r="1159">
      <x:c r="H1159" s="60"/>
    </x:row>
    <x:row r="1160">
      <x:c r="H1160" s="60"/>
    </x:row>
    <x:row r="1161">
      <x:c r="H1161" s="60"/>
    </x:row>
    <x:row r="1162">
      <x:c r="H1162" s="60"/>
    </x:row>
    <x:row r="1163">
      <x:c r="H1163" s="60"/>
    </x:row>
    <x:row r="1164">
      <x:c r="H1164" s="60"/>
    </x:row>
    <x:row r="1165">
      <x:c r="H1165" s="60"/>
    </x:row>
    <x:row r="1166">
      <x:c r="H1166" s="60"/>
    </x:row>
    <x:row r="1167">
      <x:c r="H1167" s="60"/>
    </x:row>
    <x:row r="1168">
      <x:c r="H1168" s="60"/>
    </x:row>
    <x:row r="1169">
      <x:c r="H1169" s="60"/>
    </x:row>
    <x:row r="1170">
      <x:c r="H1170" s="60"/>
    </x:row>
    <x:row r="1171">
      <x:c r="H1171" s="60"/>
    </x:row>
    <x:row r="1172">
      <x:c r="H1172" s="60"/>
    </x:row>
    <x:row r="1173">
      <x:c r="H1173" s="60"/>
    </x:row>
    <x:row r="1174">
      <x:c r="H1174" s="60"/>
    </x:row>
    <x:row r="1175">
      <x:c r="H1175" s="60"/>
    </x:row>
    <x:row r="1176">
      <x:c r="H1176" s="60"/>
    </x:row>
    <x:row r="1177">
      <x:c r="H1177" s="60"/>
    </x:row>
    <x:row r="1178">
      <x:c r="H1178" s="60"/>
    </x:row>
    <x:row r="1179">
      <x:c r="H1179" s="60"/>
    </x:row>
    <x:row r="1180">
      <x:c r="H1180" s="60"/>
    </x:row>
    <x:row r="1181">
      <x:c r="H1181" s="60"/>
    </x:row>
    <x:row r="1182">
      <x:c r="H1182" s="60"/>
    </x:row>
    <x:row r="1183">
      <x:c r="H1183" s="60"/>
    </x:row>
    <x:row r="1184">
      <x:c r="H1184" s="60"/>
    </x:row>
    <x:row r="1185">
      <x:c r="H1185" s="60"/>
    </x:row>
    <x:row r="1186">
      <x:c r="H1186" s="60"/>
    </x:row>
    <x:row r="1187">
      <x:c r="H1187" s="60"/>
    </x:row>
    <x:row r="1188">
      <x:c r="H1188" s="60"/>
    </x:row>
    <x:row r="1189">
      <x:c r="H1189" s="60"/>
    </x:row>
    <x:row r="1190">
      <x:c r="H1190" s="60"/>
    </x:row>
    <x:row r="1191">
      <x:c r="H1191" s="60"/>
    </x:row>
    <x:row r="1192">
      <x:c r="H1192" s="60"/>
    </x:row>
    <x:row r="1193">
      <x:c r="H1193" s="60"/>
    </x:row>
    <x:row r="1194">
      <x:c r="H1194" s="60"/>
    </x:row>
    <x:row r="1195">
      <x:c r="H1195" s="60"/>
    </x:row>
    <x:row r="1196">
      <x:c r="H1196" s="60"/>
    </x:row>
    <x:row r="1197">
      <x:c r="H1197" s="60"/>
    </x:row>
    <x:row r="1198">
      <x:c r="H1198" s="60"/>
    </x:row>
    <x:row r="1199">
      <x:c r="H1199" s="60"/>
    </x:row>
    <x:row r="1200">
      <x:c r="H1200" s="60"/>
    </x:row>
    <x:row r="1201">
      <x:c r="H1201" s="60"/>
    </x:row>
    <x:row r="1202">
      <x:c r="H1202" s="60"/>
    </x:row>
    <x:row r="1203">
      <x:c r="H1203" s="60"/>
    </x:row>
    <x:row r="1204">
      <x:c r="H1204" s="60"/>
    </x:row>
    <x:row r="1205">
      <x:c r="H1205" s="60"/>
    </x:row>
    <x:row r="1206">
      <x:c r="H1206" s="60"/>
    </x:row>
    <x:row r="1207">
      <x:c r="H1207" s="60"/>
    </x:row>
    <x:row r="1208">
      <x:c r="H1208" s="60"/>
    </x:row>
    <x:row r="1209">
      <x:c r="H1209" s="60"/>
    </x:row>
    <x:row r="1210">
      <x:c r="H1210" s="60"/>
    </x:row>
    <x:row r="1211">
      <x:c r="H1211" s="60"/>
    </x:row>
    <x:row r="1212">
      <x:c r="H1212" s="60"/>
    </x:row>
    <x:row r="1213">
      <x:c r="H1213" s="60"/>
    </x:row>
    <x:row r="1214">
      <x:c r="H1214" s="60"/>
    </x:row>
    <x:row r="1215">
      <x:c r="H1215" s="60"/>
    </x:row>
    <x:row r="1216">
      <x:c r="H1216" s="60"/>
    </x:row>
    <x:row r="1217">
      <x:c r="H1217" s="60"/>
    </x:row>
    <x:row r="1218">
      <x:c r="H1218" s="60"/>
    </x:row>
    <x:row r="1219">
      <x:c r="H1219" s="60"/>
    </x:row>
    <x:row r="1220">
      <x:c r="H1220" s="60"/>
    </x:row>
    <x:row r="1221">
      <x:c r="H1221" s="60"/>
    </x:row>
    <x:row r="1222">
      <x:c r="H1222" s="60"/>
    </x:row>
    <x:row r="1223">
      <x:c r="H1223" s="60"/>
    </x:row>
    <x:row r="1224">
      <x:c r="H1224" s="60"/>
    </x:row>
    <x:row r="1225">
      <x:c r="H1225" s="60"/>
    </x:row>
    <x:row r="1226">
      <x:c r="H1226" s="60"/>
    </x:row>
    <x:row r="1227">
      <x:c r="H1227" s="60"/>
    </x:row>
    <x:row r="1228">
      <x:c r="H1228" s="60"/>
    </x:row>
    <x:row r="1229">
      <x:c r="H1229" s="60"/>
    </x:row>
    <x:row r="1230">
      <x:c r="H1230" s="60"/>
    </x:row>
    <x:row r="1231">
      <x:c r="H1231" s="60"/>
    </x:row>
    <x:row r="1232">
      <x:c r="H1232" s="60"/>
    </x:row>
    <x:row r="1233">
      <x:c r="H1233" s="60"/>
    </x:row>
    <x:row r="1234">
      <x:c r="H1234" s="60"/>
    </x:row>
    <x:row r="1235">
      <x:c r="H1235" s="60"/>
    </x:row>
    <x:row r="1236">
      <x:c r="H1236" s="60"/>
    </x:row>
    <x:row r="1237">
      <x:c r="H1237" s="60"/>
    </x:row>
    <x:row r="1238">
      <x:c r="H1238" s="60"/>
    </x:row>
    <x:row r="1239">
      <x:c r="H1239" s="60"/>
    </x:row>
    <x:row r="1240">
      <x:c r="H1240" s="60"/>
    </x:row>
    <x:row r="1241">
      <x:c r="H1241" s="60"/>
    </x:row>
    <x:row r="1242">
      <x:c r="H1242" s="60"/>
    </x:row>
    <x:row r="1243">
      <x:c r="H1243" s="60"/>
    </x:row>
    <x:row r="1244">
      <x:c r="H1244" s="60"/>
    </x:row>
    <x:row r="1245">
      <x:c r="H1245" s="60"/>
    </x:row>
    <x:row r="1246">
      <x:c r="H1246" s="60"/>
    </x:row>
    <x:row r="1247">
      <x:c r="H1247" s="60"/>
    </x:row>
    <x:row r="1248">
      <x:c r="H1248" s="60"/>
    </x:row>
    <x:row r="1249">
      <x:c r="H1249" s="60"/>
    </x:row>
    <x:row r="1250">
      <x:c r="H1250" s="60"/>
    </x:row>
    <x:row r="1251">
      <x:c r="H1251" s="60"/>
    </x:row>
    <x:row r="1252">
      <x:c r="H1252" s="60"/>
    </x:row>
    <x:row r="1253">
      <x:c r="H1253" s="60"/>
    </x:row>
    <x:row r="1254">
      <x:c r="H1254" s="60"/>
    </x:row>
    <x:row r="1255">
      <x:c r="H1255" s="60"/>
    </x:row>
    <x:row r="1256">
      <x:c r="H1256" s="60"/>
    </x:row>
    <x:row r="1257">
      <x:c r="H1257" s="60"/>
    </x:row>
    <x:row r="1258">
      <x:c r="H1258" s="60"/>
    </x:row>
    <x:row r="1259">
      <x:c r="H1259" s="60"/>
    </x:row>
    <x:row r="1260">
      <x:c r="H1260" s="60"/>
    </x:row>
    <x:row r="1261">
      <x:c r="H1261" s="60"/>
    </x:row>
    <x:row r="1262">
      <x:c r="H1262" s="60"/>
    </x:row>
    <x:row r="1263">
      <x:c r="H1263" s="60"/>
    </x:row>
    <x:row r="1264">
      <x:c r="H1264" s="60"/>
    </x:row>
    <x:row r="1265">
      <x:c r="H1265" s="60"/>
    </x:row>
    <x:row r="1266">
      <x:c r="H1266" s="60"/>
    </x:row>
    <x:row r="1267">
      <x:c r="H1267" s="60"/>
    </x:row>
    <x:row r="1268">
      <x:c r="H1268" s="60"/>
    </x:row>
    <x:row r="1269">
      <x:c r="H1269" s="60"/>
    </x:row>
    <x:row r="1270">
      <x:c r="H1270" s="60"/>
    </x:row>
    <x:row r="1271">
      <x:c r="H1271" s="60"/>
    </x:row>
    <x:row r="1272">
      <x:c r="H1272" s="60"/>
    </x:row>
    <x:row r="1273">
      <x:c r="H1273" s="60"/>
    </x:row>
    <x:row r="1274">
      <x:c r="H1274" s="60"/>
    </x:row>
    <x:row r="1275">
      <x:c r="H1275" s="60"/>
    </x:row>
    <x:row r="1276">
      <x:c r="H1276" s="60"/>
    </x:row>
    <x:row r="1277">
      <x:c r="H1277" s="60"/>
    </x:row>
    <x:row r="1278">
      <x:c r="H1278" s="60"/>
    </x:row>
    <x:row r="1279">
      <x:c r="H1279" s="60"/>
    </x:row>
    <x:row r="1280">
      <x:c r="H1280" s="60"/>
    </x:row>
    <x:row r="1281">
      <x:c r="H1281" s="60"/>
    </x:row>
    <x:row r="1282">
      <x:c r="H1282" s="60"/>
    </x:row>
    <x:row r="1283">
      <x:c r="H1283" s="60"/>
    </x:row>
    <x:row r="1284">
      <x:c r="H1284" s="60"/>
    </x:row>
    <x:row r="1285">
      <x:c r="H1285" s="60"/>
    </x:row>
    <x:row r="1286">
      <x:c r="H1286" s="60"/>
    </x:row>
    <x:row r="1287">
      <x:c r="H1287" s="60"/>
    </x:row>
    <x:row r="1288">
      <x:c r="H1288" s="60"/>
    </x:row>
    <x:row r="1289">
      <x:c r="H1289" s="60"/>
    </x:row>
    <x:row r="1290">
      <x:c r="H1290" s="60"/>
    </x:row>
    <x:row r="1291">
      <x:c r="H1291" s="60"/>
    </x:row>
    <x:row r="1292">
      <x:c r="H1292" s="60"/>
    </x:row>
    <x:row r="1293">
      <x:c r="H1293" s="60"/>
    </x:row>
    <x:row r="1294">
      <x:c r="H1294" s="60"/>
    </x:row>
    <x:row r="1295">
      <x:c r="H1295" s="60"/>
    </x:row>
    <x:row r="1296">
      <x:c r="H1296" s="60"/>
    </x:row>
    <x:row r="1297">
      <x:c r="H1297" s="60"/>
    </x:row>
    <x:row r="1298">
      <x:c r="H1298" s="60"/>
    </x:row>
    <x:row r="1299">
      <x:c r="H1299" s="60"/>
    </x:row>
    <x:row r="1300">
      <x:c r="H1300" s="60"/>
    </x:row>
    <x:row r="1301">
      <x:c r="H1301" s="60"/>
    </x:row>
    <x:row r="1302">
      <x:c r="H1302" s="60"/>
    </x:row>
    <x:row r="1303">
      <x:c r="H1303" s="60"/>
    </x:row>
    <x:row r="1304">
      <x:c r="H1304" s="60"/>
    </x:row>
    <x:row r="1305">
      <x:c r="H1305" s="60"/>
    </x:row>
    <x:row r="1306">
      <x:c r="H1306" s="60"/>
    </x:row>
    <x:row r="1307">
      <x:c r="H1307" s="60"/>
    </x:row>
    <x:row r="1308">
      <x:c r="H1308" s="60"/>
    </x:row>
    <x:row r="1309">
      <x:c r="H1309" s="60"/>
    </x:row>
    <x:row r="1310">
      <x:c r="H1310" s="60"/>
    </x:row>
    <x:row r="1311">
      <x:c r="H1311" s="60"/>
    </x:row>
    <x:row r="1312">
      <x:c r="H1312" s="60"/>
    </x:row>
    <x:row r="1313">
      <x:c r="H1313" s="60"/>
    </x:row>
    <x:row r="1314">
      <x:c r="H1314" s="60"/>
    </x:row>
    <x:row r="1315">
      <x:c r="H1315" s="60"/>
    </x:row>
    <x:row r="1316">
      <x:c r="H1316" s="60"/>
    </x:row>
    <x:row r="1317">
      <x:c r="H1317" s="60"/>
    </x:row>
    <x:row r="1318">
      <x:c r="H1318" s="60"/>
    </x:row>
    <x:row r="1319">
      <x:c r="H1319" s="60"/>
    </x:row>
    <x:row r="1320">
      <x:c r="H1320" s="60"/>
    </x:row>
    <x:row r="1321">
      <x:c r="H1321" s="60"/>
    </x:row>
    <x:row r="1322">
      <x:c r="H1322" s="60"/>
    </x:row>
    <x:row r="1323">
      <x:c r="H1323" s="60"/>
    </x:row>
    <x:row r="1324">
      <x:c r="H1324" s="60"/>
    </x:row>
    <x:row r="1325">
      <x:c r="H1325" s="60"/>
    </x:row>
    <x:row r="1326">
      <x:c r="H1326" s="60"/>
    </x:row>
    <x:row r="1327">
      <x:c r="H1327" s="60"/>
    </x:row>
    <x:row r="1328">
      <x:c r="H1328" s="60"/>
    </x:row>
    <x:row r="1329">
      <x:c r="H1329" s="60"/>
    </x:row>
    <x:row r="1330">
      <x:c r="H1330" s="60"/>
    </x:row>
    <x:row r="1331">
      <x:c r="H1331" s="60"/>
    </x:row>
    <x:row r="1332">
      <x:c r="H1332" s="60"/>
    </x:row>
    <x:row r="1333">
      <x:c r="H1333" s="60"/>
    </x:row>
    <x:row r="1334">
      <x:c r="H1334" s="60"/>
    </x:row>
    <x:row r="1335">
      <x:c r="H1335" s="60"/>
    </x:row>
    <x:row r="1336">
      <x:c r="H1336" s="60"/>
    </x:row>
    <x:row r="1337">
      <x:c r="H1337" s="60"/>
    </x:row>
    <x:row r="1338">
      <x:c r="H1338" s="60"/>
    </x:row>
    <x:row r="1339">
      <x:c r="H1339" s="60"/>
    </x:row>
    <x:row r="1340">
      <x:c r="H1340" s="60"/>
    </x:row>
    <x:row r="1341">
      <x:c r="H1341" s="60"/>
    </x:row>
    <x:row r="1342">
      <x:c r="H1342" s="60"/>
    </x:row>
    <x:row r="1343">
      <x:c r="H1343" s="60"/>
    </x:row>
    <x:row r="1344">
      <x:c r="H1344" s="60"/>
    </x:row>
    <x:row r="1345">
      <x:c r="H1345" s="60"/>
    </x:row>
    <x:row r="1346">
      <x:c r="H1346" s="60"/>
    </x:row>
    <x:row r="1347">
      <x:c r="H1347" s="60"/>
    </x:row>
    <x:row r="1348">
      <x:c r="H1348" s="60"/>
    </x:row>
    <x:row r="1349">
      <x:c r="H1349" s="60"/>
    </x:row>
    <x:row r="1350">
      <x:c r="H1350" s="60"/>
    </x:row>
    <x:row r="1351">
      <x:c r="H1351" s="60"/>
    </x:row>
    <x:row r="1352">
      <x:c r="H1352" s="60"/>
    </x:row>
    <x:row r="1353">
      <x:c r="H1353" s="60"/>
    </x:row>
    <x:row r="1354">
      <x:c r="H1354" s="60"/>
    </x:row>
    <x:row r="1355">
      <x:c r="H1355" s="60"/>
    </x:row>
    <x:row r="1356">
      <x:c r="H1356" s="60"/>
    </x:row>
    <x:row r="1357">
      <x:c r="H1357" s="60"/>
    </x:row>
    <x:row r="1358">
      <x:c r="H1358" s="60"/>
    </x:row>
    <x:row r="1359">
      <x:c r="H1359" s="60"/>
    </x:row>
    <x:row r="1360">
      <x:c r="H1360" s="60"/>
    </x:row>
    <x:row r="1361">
      <x:c r="H1361" s="60"/>
    </x:row>
    <x:row r="1362">
      <x:c r="H1362" s="60"/>
    </x:row>
    <x:row r="1363">
      <x:c r="H1363" s="60"/>
    </x:row>
    <x:row r="1364">
      <x:c r="H1364" s="60"/>
    </x:row>
    <x:row r="1365">
      <x:c r="H1365" s="60"/>
    </x:row>
    <x:row r="1366">
      <x:c r="H1366" s="60"/>
    </x:row>
    <x:row r="1367">
      <x:c r="H1367" s="60"/>
    </x:row>
    <x:row r="1368">
      <x:c r="H1368" s="60"/>
    </x:row>
    <x:row r="1369">
      <x:c r="H1369" s="60"/>
    </x:row>
    <x:row r="1370">
      <x:c r="H1370" s="60"/>
    </x:row>
    <x:row r="1371">
      <x:c r="H1371" s="60"/>
    </x:row>
    <x:row r="1372">
      <x:c r="H1372" s="60"/>
    </x:row>
    <x:row r="1373">
      <x:c r="H1373" s="60"/>
    </x:row>
    <x:row r="1374">
      <x:c r="H1374" s="60"/>
    </x:row>
    <x:row r="1375">
      <x:c r="H1375" s="60"/>
    </x:row>
    <x:row r="1376">
      <x:c r="H1376" s="60"/>
    </x:row>
    <x:row r="1377">
      <x:c r="H1377" s="60"/>
    </x:row>
    <x:row r="1378">
      <x:c r="H1378" s="60"/>
    </x:row>
    <x:row r="1379">
      <x:c r="H1379" s="60"/>
    </x:row>
    <x:row r="1380">
      <x:c r="H1380" s="60"/>
    </x:row>
    <x:row r="1381">
      <x:c r="H1381" s="60"/>
    </x:row>
    <x:row r="1382">
      <x:c r="H1382" s="60"/>
    </x:row>
    <x:row r="1383">
      <x:c r="H1383" s="60"/>
    </x:row>
    <x:row r="1384">
      <x:c r="H1384" s="60"/>
    </x:row>
    <x:row r="1385">
      <x:c r="H1385" s="60"/>
    </x:row>
    <x:row r="1386">
      <x:c r="H1386" s="60"/>
    </x:row>
    <x:row r="1387">
      <x:c r="H1387" s="60"/>
    </x:row>
    <x:row r="1388">
      <x:c r="H1388" s="60"/>
    </x:row>
    <x:row r="1389">
      <x:c r="H1389" s="60"/>
    </x:row>
    <x:row r="1390">
      <x:c r="H1390" s="60"/>
    </x:row>
    <x:row r="1391">
      <x:c r="H1391" s="60"/>
    </x:row>
    <x:row r="1392">
      <x:c r="H1392" s="60"/>
    </x:row>
    <x:row r="1393">
      <x:c r="H1393" s="60"/>
    </x:row>
    <x:row r="1394">
      <x:c r="H1394" s="60"/>
    </x:row>
    <x:row r="1395">
      <x:c r="H1395" s="60"/>
    </x:row>
    <x:row r="1396">
      <x:c r="H1396" s="60"/>
    </x:row>
    <x:row r="1397">
      <x:c r="H1397" s="60"/>
    </x:row>
    <x:row r="1398">
      <x:c r="H1398" s="60"/>
    </x:row>
    <x:row r="1399">
      <x:c r="H1399" s="60"/>
    </x:row>
    <x:row r="1400">
      <x:c r="H1400" s="60"/>
    </x:row>
    <x:row r="1401">
      <x:c r="H1401" s="60"/>
    </x:row>
    <x:row r="1402">
      <x:c r="H1402" s="60"/>
    </x:row>
    <x:row r="1403">
      <x:c r="H1403" s="60"/>
    </x:row>
    <x:row r="1404">
      <x:c r="H1404" s="60"/>
    </x:row>
    <x:row r="1405">
      <x:c r="H1405" s="60"/>
    </x:row>
    <x:row r="1406">
      <x:c r="H1406" s="60"/>
    </x:row>
    <x:row r="1407">
      <x:c r="H1407" s="60"/>
    </x:row>
    <x:row r="1408">
      <x:c r="H1408" s="60"/>
    </x:row>
    <x:row r="1409">
      <x:c r="H1409" s="60"/>
    </x:row>
    <x:row r="1410">
      <x:c r="H1410" s="60"/>
    </x:row>
    <x:row r="1411">
      <x:c r="H1411" s="60"/>
    </x:row>
    <x:row r="1412">
      <x:c r="H1412" s="60"/>
    </x:row>
    <x:row r="1413">
      <x:c r="H1413" s="60"/>
    </x:row>
    <x:row r="1414">
      <x:c r="H1414" s="60"/>
    </x:row>
    <x:row r="1415">
      <x:c r="H1415" s="60"/>
    </x:row>
    <x:row r="1416">
      <x:c r="H1416" s="60"/>
    </x:row>
    <x:row r="1417">
      <x:c r="H1417" s="60"/>
    </x:row>
    <x:row r="1418">
      <x:c r="H1418" s="60"/>
    </x:row>
    <x:row r="1419">
      <x:c r="H1419" s="60"/>
    </x:row>
    <x:row r="1420">
      <x:c r="H1420" s="60"/>
    </x:row>
    <x:row r="1421">
      <x:c r="H1421" s="60"/>
    </x:row>
    <x:row r="1422">
      <x:c r="H1422" s="60"/>
    </x:row>
    <x:row r="1423">
      <x:c r="H1423" s="60"/>
    </x:row>
    <x:row r="1424">
      <x:c r="H1424" s="60"/>
    </x:row>
    <x:row r="1425">
      <x:c r="H1425" s="60"/>
    </x:row>
    <x:row r="1426">
      <x:c r="H1426" s="60"/>
    </x:row>
    <x:row r="1427">
      <x:c r="H1427" s="60"/>
    </x:row>
    <x:row r="1428">
      <x:c r="H1428" s="60"/>
    </x:row>
    <x:row r="1429">
      <x:c r="H1429" s="60"/>
    </x:row>
    <x:row r="1430">
      <x:c r="H1430" s="60"/>
    </x:row>
    <x:row r="1431">
      <x:c r="H1431" s="60"/>
    </x:row>
    <x:row r="1432">
      <x:c r="H1432" s="60"/>
    </x:row>
    <x:row r="1433">
      <x:c r="H1433" s="60"/>
    </x:row>
    <x:row r="1434">
      <x:c r="H1434" s="60"/>
    </x:row>
    <x:row r="1435">
      <x:c r="H1435" s="60"/>
    </x:row>
    <x:row r="1436">
      <x:c r="H1436" s="60"/>
    </x:row>
    <x:row r="1437">
      <x:c r="H1437" s="60"/>
    </x:row>
    <x:row r="1438">
      <x:c r="H1438" s="60"/>
    </x:row>
    <x:row r="1439">
      <x:c r="H1439" s="60"/>
    </x:row>
    <x:row r="1440">
      <x:c r="H1440" s="60"/>
    </x:row>
    <x:row r="1441">
      <x:c r="H1441" s="60"/>
    </x:row>
    <x:row r="1442">
      <x:c r="H1442" s="60"/>
    </x:row>
    <x:row r="1443">
      <x:c r="H1443" s="60"/>
    </x:row>
    <x:row r="1444">
      <x:c r="H1444" s="60"/>
    </x:row>
    <x:row r="1445">
      <x:c r="H1445" s="60"/>
    </x:row>
    <x:row r="1446">
      <x:c r="H1446" s="60"/>
    </x:row>
    <x:row r="1447">
      <x:c r="H1447" s="60"/>
    </x:row>
    <x:row r="1448">
      <x:c r="H1448" s="60"/>
    </x:row>
    <x:row r="1449">
      <x:c r="H1449" s="60"/>
    </x:row>
    <x:row r="1450">
      <x:c r="H1450" s="60"/>
    </x:row>
    <x:row r="1451">
      <x:c r="H1451" s="60"/>
    </x:row>
    <x:row r="1452">
      <x:c r="H1452" s="60"/>
    </x:row>
    <x:row r="1453">
      <x:c r="H1453" s="60"/>
    </x:row>
    <x:row r="1454">
      <x:c r="H1454" s="60"/>
    </x:row>
    <x:row r="1455">
      <x:c r="H1455" s="60"/>
    </x:row>
    <x:row r="1456">
      <x:c r="H1456" s="60"/>
    </x:row>
    <x:row r="1457">
      <x:c r="H1457" s="60"/>
    </x:row>
    <x:row r="1458">
      <x:c r="H1458" s="60"/>
    </x:row>
    <x:row r="1459">
      <x:c r="H1459" s="60"/>
    </x:row>
    <x:row r="1460">
      <x:c r="H1460" s="60"/>
    </x:row>
    <x:row r="1461">
      <x:c r="H1461" s="60"/>
    </x:row>
    <x:row r="1462">
      <x:c r="H1462" s="60"/>
    </x:row>
    <x:row r="1463">
      <x:c r="H1463" s="60"/>
    </x:row>
    <x:row r="1464">
      <x:c r="H1464" s="60"/>
    </x:row>
    <x:row r="1465">
      <x:c r="H1465" s="60"/>
    </x:row>
    <x:row r="1466">
      <x:c r="H1466" s="60"/>
    </x:row>
    <x:row r="1467">
      <x:c r="H1467" s="60"/>
    </x:row>
    <x:row r="1468">
      <x:c r="H1468" s="60"/>
    </x:row>
    <x:row r="1469">
      <x:c r="H1469" s="60"/>
    </x:row>
    <x:row r="1470">
      <x:c r="H1470" s="60"/>
    </x:row>
    <x:row r="1471">
      <x:c r="H1471" s="60"/>
    </x:row>
    <x:row r="1472">
      <x:c r="H1472" s="60"/>
    </x:row>
    <x:row r="1473">
      <x:c r="H1473" s="60"/>
    </x:row>
    <x:row r="1474">
      <x:c r="H1474" s="60"/>
    </x:row>
    <x:row r="1475">
      <x:c r="H1475" s="60"/>
    </x:row>
    <x:row r="1476">
      <x:c r="H1476" s="60"/>
    </x:row>
    <x:row r="1477">
      <x:c r="H1477" s="60"/>
    </x:row>
    <x:row r="1478">
      <x:c r="H1478" s="60"/>
    </x:row>
    <x:row r="1479">
      <x:c r="H1479" s="60"/>
    </x:row>
    <x:row r="1480">
      <x:c r="H1480" s="60"/>
    </x:row>
    <x:row r="1481">
      <x:c r="H1481" s="60"/>
    </x:row>
    <x:row r="1482">
      <x:c r="H1482" s="60"/>
    </x:row>
    <x:row r="1483">
      <x:c r="H1483" s="60"/>
    </x:row>
    <x:row r="1484">
      <x:c r="H1484" s="60"/>
    </x:row>
    <x:row r="1485">
      <x:c r="H1485" s="60"/>
    </x:row>
    <x:row r="1486">
      <x:c r="H1486" s="60"/>
    </x:row>
    <x:row r="1487">
      <x:c r="H1487" s="60"/>
    </x:row>
    <x:row r="1488">
      <x:c r="H1488" s="60"/>
    </x:row>
    <x:row r="1489">
      <x:c r="H1489" s="60"/>
    </x:row>
    <x:row r="1490">
      <x:c r="H1490" s="60"/>
    </x:row>
    <x:row r="1491">
      <x:c r="H1491" s="60"/>
    </x:row>
    <x:row r="1492">
      <x:c r="H1492" s="60"/>
    </x:row>
    <x:row r="1493">
      <x:c r="H1493" s="60"/>
    </x:row>
    <x:row r="1494">
      <x:c r="H1494" s="60"/>
    </x:row>
    <x:row r="1495">
      <x:c r="H1495" s="60"/>
    </x:row>
    <x:row r="1496">
      <x:c r="H1496" s="60"/>
    </x:row>
    <x:row r="1497">
      <x:c r="H1497" s="60"/>
    </x:row>
    <x:row r="1498">
      <x:c r="H1498" s="60"/>
    </x:row>
    <x:row r="1499">
      <x:c r="H1499" s="60"/>
    </x:row>
    <x:row r="1500">
      <x:c r="H1500" s="60"/>
    </x:row>
    <x:row r="1501">
      <x:c r="H1501" s="60"/>
    </x:row>
    <x:row r="1502">
      <x:c r="H1502" s="60"/>
    </x:row>
    <x:row r="1503">
      <x:c r="H1503" s="60"/>
    </x:row>
    <x:row r="1504">
      <x:c r="H1504" s="60"/>
    </x:row>
    <x:row r="1505">
      <x:c r="H1505" s="60"/>
    </x:row>
    <x:row r="1506">
      <x:c r="H1506" s="60"/>
    </x:row>
    <x:row r="1507">
      <x:c r="H1507" s="60"/>
    </x:row>
    <x:row r="1508">
      <x:c r="H1508" s="60"/>
    </x:row>
    <x:row r="1509">
      <x:c r="H1509" s="60"/>
    </x:row>
    <x:row r="1510">
      <x:c r="H1510" s="60"/>
    </x:row>
    <x:row r="1511">
      <x:c r="H1511" s="60"/>
    </x:row>
    <x:row r="1512">
      <x:c r="H1512" s="60"/>
    </x:row>
    <x:row r="1513">
      <x:c r="H1513" s="60"/>
    </x:row>
    <x:row r="1514">
      <x:c r="H1514" s="60"/>
    </x:row>
    <x:row r="1515">
      <x:c r="H1515" s="60"/>
    </x:row>
    <x:row r="1516">
      <x:c r="H1516" s="60"/>
    </x:row>
    <x:row r="1517">
      <x:c r="H1517" s="60"/>
    </x:row>
    <x:row r="1518">
      <x:c r="H1518" s="60"/>
    </x:row>
    <x:row r="1519">
      <x:c r="H1519" s="60"/>
    </x:row>
    <x:row r="1520">
      <x:c r="H1520" s="60"/>
    </x:row>
    <x:row r="1521">
      <x:c r="H1521" s="60"/>
    </x:row>
    <x:row r="1522">
      <x:c r="H1522" s="60"/>
    </x:row>
    <x:row r="1523">
      <x:c r="H1523" s="60"/>
    </x:row>
    <x:row r="1524">
      <x:c r="H1524" s="60"/>
    </x:row>
    <x:row r="1525">
      <x:c r="H1525" s="60"/>
    </x:row>
    <x:row r="1526">
      <x:c r="H1526" s="60"/>
    </x:row>
    <x:row r="1527">
      <x:c r="H1527" s="60"/>
    </x:row>
    <x:row r="1528">
      <x:c r="H1528" s="60"/>
    </x:row>
    <x:row r="1529">
      <x:c r="H1529" s="60"/>
    </x:row>
    <x:row r="1530">
      <x:c r="H1530" s="60"/>
    </x:row>
    <x:row r="1531">
      <x:c r="H1531" s="60"/>
    </x:row>
    <x:row r="1532">
      <x:c r="H1532" s="60"/>
    </x:row>
    <x:row r="1533">
      <x:c r="H1533" s="60"/>
    </x:row>
    <x:row r="1534">
      <x:c r="H1534" s="60"/>
    </x:row>
    <x:row r="1535">
      <x:c r="H1535" s="60"/>
    </x:row>
    <x:row r="1536">
      <x:c r="H1536" s="60"/>
    </x:row>
    <x:row r="1537">
      <x:c r="H1537" s="60"/>
    </x:row>
    <x:row r="1538">
      <x:c r="H1538" s="60"/>
    </x:row>
    <x:row r="1539">
      <x:c r="H1539" s="60"/>
    </x:row>
    <x:row r="1540">
      <x:c r="H1540" s="60"/>
    </x:row>
    <x:row r="1541">
      <x:c r="H1541" s="60"/>
    </x:row>
    <x:row r="1542">
      <x:c r="H1542" s="60"/>
    </x:row>
    <x:row r="1543">
      <x:c r="H1543" s="60"/>
    </x:row>
    <x:row r="1544">
      <x:c r="H1544" s="60"/>
    </x:row>
    <x:row r="1545">
      <x:c r="H1545" s="60"/>
    </x:row>
    <x:row r="1546">
      <x:c r="H1546" s="60"/>
    </x:row>
    <x:row r="1547">
      <x:c r="H1547" s="60"/>
    </x:row>
    <x:row r="1548">
      <x:c r="H1548" s="60"/>
    </x:row>
    <x:row r="1549">
      <x:c r="H1549" s="60"/>
    </x:row>
    <x:row r="1550">
      <x:c r="H1550" s="60"/>
    </x:row>
    <x:row r="1551">
      <x:c r="H1551" s="60"/>
    </x:row>
    <x:row r="1552">
      <x:c r="H1552" s="60"/>
    </x:row>
    <x:row r="1553">
      <x:c r="H1553" s="60"/>
    </x:row>
    <x:row r="1554">
      <x:c r="H1554" s="60"/>
    </x:row>
    <x:row r="1555">
      <x:c r="H1555" s="60"/>
    </x:row>
    <x:row r="1556">
      <x:c r="H1556" s="60"/>
    </x:row>
    <x:row r="1557">
      <x:c r="H1557" s="60"/>
    </x:row>
    <x:row r="1558">
      <x:c r="H1558" s="60"/>
    </x:row>
    <x:row r="1559">
      <x:c r="H1559" s="60"/>
    </x:row>
    <x:row r="1560">
      <x:c r="H1560" s="60"/>
    </x:row>
    <x:row r="1561">
      <x:c r="H1561" s="60"/>
    </x:row>
    <x:row r="1562">
      <x:c r="H1562" s="60"/>
    </x:row>
    <x:row r="1563">
      <x:c r="H1563" s="60"/>
    </x:row>
    <x:row r="1564">
      <x:c r="H1564" s="60"/>
    </x:row>
    <x:row r="1565">
      <x:c r="H1565" s="60"/>
    </x:row>
    <x:row r="1566">
      <x:c r="H1566" s="60"/>
    </x:row>
    <x:row r="1567">
      <x:c r="H1567" s="60"/>
    </x:row>
    <x:row r="1568">
      <x:c r="H1568" s="60"/>
    </x:row>
    <x:row r="1569">
      <x:c r="H1569" s="60"/>
    </x:row>
    <x:row r="1570">
      <x:c r="H1570" s="60"/>
    </x:row>
    <x:row r="1571">
      <x:c r="H1571" s="60"/>
    </x:row>
    <x:row r="1572">
      <x:c r="H1572" s="60"/>
    </x:row>
    <x:row r="1573">
      <x:c r="H1573" s="60"/>
    </x:row>
    <x:row r="1574">
      <x:c r="H1574" s="60"/>
    </x:row>
    <x:row r="1575">
      <x:c r="H1575" s="60"/>
    </x:row>
    <x:row r="1576">
      <x:c r="H1576" s="60"/>
    </x:row>
    <x:row r="1577">
      <x:c r="H1577" s="60"/>
    </x:row>
    <x:row r="1578">
      <x:c r="H1578" s="60"/>
    </x:row>
    <x:row r="1579">
      <x:c r="H1579" s="60"/>
    </x:row>
    <x:row r="1580">
      <x:c r="H1580" s="60"/>
    </x:row>
    <x:row r="1581">
      <x:c r="H1581" s="60"/>
    </x:row>
    <x:row r="1582">
      <x:c r="H1582" s="60"/>
    </x:row>
    <x:row r="1583">
      <x:c r="H1583" s="60"/>
    </x:row>
    <x:row r="1584">
      <x:c r="H1584" s="60"/>
    </x:row>
    <x:row r="1585">
      <x:c r="H1585" s="60"/>
    </x:row>
    <x:row r="1586">
      <x:c r="H1586" s="60"/>
    </x:row>
    <x:row r="1587">
      <x:c r="H1587" s="60"/>
    </x:row>
    <x:row r="1588">
      <x:c r="H1588" s="60"/>
    </x:row>
    <x:row r="1589">
      <x:c r="H1589" s="60"/>
    </x:row>
    <x:row r="1590">
      <x:c r="H1590" s="60"/>
    </x:row>
    <x:row r="1591">
      <x:c r="H1591" s="60"/>
    </x:row>
    <x:row r="1592">
      <x:c r="H1592" s="60"/>
    </x:row>
    <x:row r="1593">
      <x:c r="H1593" s="60"/>
    </x:row>
    <x:row r="1594">
      <x:c r="H1594" s="60"/>
    </x:row>
    <x:row r="1595">
      <x:c r="H1595" s="60"/>
    </x:row>
    <x:row r="1596">
      <x:c r="H1596" s="60"/>
    </x:row>
    <x:row r="1597">
      <x:c r="H1597" s="60"/>
    </x:row>
    <x:row r="1598">
      <x:c r="H1598" s="60"/>
    </x:row>
    <x:row r="1599">
      <x:c r="H1599" s="60"/>
    </x:row>
    <x:row r="1600">
      <x:c r="H1600" s="60"/>
    </x:row>
    <x:row r="1601">
      <x:c r="H1601" s="60"/>
    </x:row>
    <x:row r="1602">
      <x:c r="H1602" s="60"/>
    </x:row>
    <x:row r="1603">
      <x:c r="H1603" s="60"/>
    </x:row>
    <x:row r="1604">
      <x:c r="H1604" s="60"/>
    </x:row>
    <x:row r="1605">
      <x:c r="H1605" s="60"/>
    </x:row>
    <x:row r="1606">
      <x:c r="H1606" s="60"/>
    </x:row>
    <x:row r="1607">
      <x:c r="H1607" s="60"/>
    </x:row>
    <x:row r="1608">
      <x:c r="H1608" s="60"/>
    </x:row>
    <x:row r="1609">
      <x:c r="H1609" s="60"/>
    </x:row>
    <x:row r="1610">
      <x:c r="H1610" s="60"/>
    </x:row>
    <x:row r="1611">
      <x:c r="H1611" s="60"/>
    </x:row>
    <x:row r="1612">
      <x:c r="H1612" s="60"/>
    </x:row>
    <x:row r="1613">
      <x:c r="H1613" s="60"/>
    </x:row>
    <x:row r="1614">
      <x:c r="H1614" s="60"/>
    </x:row>
    <x:row r="1615">
      <x:c r="H1615" s="60"/>
    </x:row>
    <x:row r="1616">
      <x:c r="H1616" s="60"/>
    </x:row>
    <x:row r="1617">
      <x:c r="H1617" s="60"/>
    </x:row>
    <x:row r="1618">
      <x:c r="H1618" s="60"/>
    </x:row>
    <x:row r="1619">
      <x:c r="H1619" s="60"/>
    </x:row>
    <x:row r="1620">
      <x:c r="H1620" s="60"/>
    </x:row>
    <x:row r="1621">
      <x:c r="H1621" s="60"/>
    </x:row>
    <x:row r="1622">
      <x:c r="H1622" s="60"/>
    </x:row>
    <x:row r="1623">
      <x:c r="H1623" s="60"/>
    </x:row>
    <x:row r="1624">
      <x:c r="H1624" s="60"/>
    </x:row>
    <x:row r="1625">
      <x:c r="H1625" s="60"/>
    </x:row>
    <x:row r="1626">
      <x:c r="H1626" s="60"/>
    </x:row>
    <x:row r="1627">
      <x:c r="H1627" s="60"/>
    </x:row>
    <x:row r="1628">
      <x:c r="H1628" s="60"/>
    </x:row>
    <x:row r="1629">
      <x:c r="H1629" s="60"/>
    </x:row>
    <x:row r="1630">
      <x:c r="H1630" s="60"/>
    </x:row>
    <x:row r="1631">
      <x:c r="H1631" s="60"/>
    </x:row>
    <x:row r="1632">
      <x:c r="H1632" s="60"/>
    </x:row>
    <x:row r="1633">
      <x:c r="H1633" s="60"/>
    </x:row>
    <x:row r="1634">
      <x:c r="H1634" s="60"/>
    </x:row>
    <x:row r="1635">
      <x:c r="H1635" s="60"/>
    </x:row>
    <x:row r="1636">
      <x:c r="H1636" s="60"/>
    </x:row>
    <x:row r="1637">
      <x:c r="H1637" s="60"/>
    </x:row>
    <x:row r="1638">
      <x:c r="H1638" s="60"/>
    </x:row>
    <x:row r="1639">
      <x:c r="H1639" s="60"/>
    </x:row>
    <x:row r="1640">
      <x:c r="H1640" s="60"/>
    </x:row>
    <x:row r="1641">
      <x:c r="H1641" s="60"/>
    </x:row>
    <x:row r="1642">
      <x:c r="H1642" s="60"/>
    </x:row>
    <x:row r="1643">
      <x:c r="H1643" s="60"/>
    </x:row>
    <x:row r="1644">
      <x:c r="H1644" s="60"/>
    </x:row>
    <x:row r="1645">
      <x:c r="H1645" s="60"/>
    </x:row>
    <x:row r="1646">
      <x:c r="H1646" s="60"/>
    </x:row>
    <x:row r="1647">
      <x:c r="H1647" s="60"/>
    </x:row>
    <x:row r="1648">
      <x:c r="H1648" s="60"/>
    </x:row>
    <x:row r="1649">
      <x:c r="H1649" s="60"/>
    </x:row>
    <x:row r="1650">
      <x:c r="H1650" s="60"/>
    </x:row>
    <x:row r="1651">
      <x:c r="H1651" s="60"/>
    </x:row>
    <x:row r="1652">
      <x:c r="H1652" s="60"/>
    </x:row>
    <x:row r="1653">
      <x:c r="H1653" s="60"/>
    </x:row>
    <x:row r="1654">
      <x:c r="H1654" s="60"/>
    </x:row>
    <x:row r="1655">
      <x:c r="H1655" s="60"/>
    </x:row>
    <x:row r="1656">
      <x:c r="H1656" s="60"/>
    </x:row>
    <x:row r="1657">
      <x:c r="H1657" s="60"/>
    </x:row>
    <x:row r="1658">
      <x:c r="H1658" s="60"/>
    </x:row>
    <x:row r="1659">
      <x:c r="H1659" s="60"/>
    </x:row>
    <x:row r="1660">
      <x:c r="H1660" s="60"/>
    </x:row>
    <x:row r="1661">
      <x:c r="H1661" s="60"/>
    </x:row>
    <x:row r="1662">
      <x:c r="H1662" s="60"/>
    </x:row>
    <x:row r="1663">
      <x:c r="H1663" s="60"/>
    </x:row>
    <x:row r="1664">
      <x:c r="H1664" s="60"/>
    </x:row>
    <x:row r="1665">
      <x:c r="H1665" s="60"/>
    </x:row>
    <x:row r="1666">
      <x:c r="H1666" s="60"/>
    </x:row>
    <x:row r="1667">
      <x:c r="H1667" s="60"/>
    </x:row>
    <x:row r="1668">
      <x:c r="H1668" s="60"/>
    </x:row>
    <x:row r="1669">
      <x:c r="H1669" s="60"/>
    </x:row>
    <x:row r="1670">
      <x:c r="H1670" s="60"/>
    </x:row>
    <x:row r="1671">
      <x:c r="H1671" s="60"/>
    </x:row>
    <x:row r="1672">
      <x:c r="H1672" s="60"/>
    </x:row>
    <x:row r="1673">
      <x:c r="H1673" s="60"/>
    </x:row>
    <x:row r="1674">
      <x:c r="H1674" s="60"/>
    </x:row>
    <x:row r="1675">
      <x:c r="H1675" s="60"/>
    </x:row>
    <x:row r="1676">
      <x:c r="H1676" s="60"/>
    </x:row>
    <x:row r="1677">
      <x:c r="H1677" s="60"/>
    </x:row>
    <x:row r="1678">
      <x:c r="H1678" s="60"/>
    </x:row>
    <x:row r="1679">
      <x:c r="H1679" s="60"/>
    </x:row>
    <x:row r="1680">
      <x:c r="H1680" s="60"/>
    </x:row>
    <x:row r="1681">
      <x:c r="H1681" s="60"/>
    </x:row>
    <x:row r="1682">
      <x:c r="H1682" s="60"/>
    </x:row>
    <x:row r="1683">
      <x:c r="H1683" s="60"/>
    </x:row>
    <x:row r="1684">
      <x:c r="H1684" s="60"/>
    </x:row>
    <x:row r="1685">
      <x:c r="H1685" s="60"/>
    </x:row>
    <x:row r="1686">
      <x:c r="H1686" s="60"/>
    </x:row>
    <x:row r="1687">
      <x:c r="H1687" s="60"/>
    </x:row>
    <x:row r="1688">
      <x:c r="H1688" s="60"/>
    </x:row>
    <x:row r="1689">
      <x:c r="H1689" s="60"/>
    </x:row>
    <x:row r="1690">
      <x:c r="H1690" s="60"/>
    </x:row>
    <x:row r="1691">
      <x:c r="H1691" s="60"/>
    </x:row>
    <x:row r="1692">
      <x:c r="H1692" s="60"/>
    </x:row>
    <x:row r="1693">
      <x:c r="H1693" s="60"/>
    </x:row>
    <x:row r="1694">
      <x:c r="H1694" s="60"/>
    </x:row>
    <x:row r="1695">
      <x:c r="H1695" s="60"/>
    </x:row>
    <x:row r="1696">
      <x:c r="H1696" s="60"/>
    </x:row>
    <x:row r="1697">
      <x:c r="H1697" s="60"/>
    </x:row>
    <x:row r="1698">
      <x:c r="H1698" s="60"/>
    </x:row>
    <x:row r="1699">
      <x:c r="H1699" s="60"/>
    </x:row>
    <x:row r="1700">
      <x:c r="H1700" s="60"/>
    </x:row>
    <x:row r="1701">
      <x:c r="H1701" s="60"/>
    </x:row>
    <x:row r="1702">
      <x:c r="H1702" s="60"/>
    </x:row>
    <x:row r="1703">
      <x:c r="H1703" s="60"/>
    </x:row>
    <x:row r="1704">
      <x:c r="H1704" s="60"/>
    </x:row>
    <x:row r="1705">
      <x:c r="H1705" s="60"/>
    </x:row>
    <x:row r="1706">
      <x:c r="H1706" s="60"/>
    </x:row>
    <x:row r="1707">
      <x:c r="H1707" s="60"/>
    </x:row>
    <x:row r="1708">
      <x:c r="H1708" s="60"/>
    </x:row>
    <x:row r="1709">
      <x:c r="H1709" s="60"/>
    </x:row>
    <x:row r="1710">
      <x:c r="H1710" s="60"/>
    </x:row>
    <x:row r="1711">
      <x:c r="H1711" s="60"/>
    </x:row>
    <x:row r="1712">
      <x:c r="H1712" s="60"/>
    </x:row>
    <x:row r="1713">
      <x:c r="H1713" s="60"/>
    </x:row>
    <x:row r="1714">
      <x:c r="H1714" s="60"/>
    </x:row>
    <x:row r="1715">
      <x:c r="H1715" s="60"/>
    </x:row>
    <x:row r="1716">
      <x:c r="H1716" s="60"/>
    </x:row>
    <x:row r="1717">
      <x:c r="H1717" s="60"/>
    </x:row>
    <x:row r="1718">
      <x:c r="H1718" s="60"/>
    </x:row>
    <x:row r="1719">
      <x:c r="H1719" s="60"/>
    </x:row>
    <x:row r="1720">
      <x:c r="H1720" s="60"/>
    </x:row>
    <x:row r="1721">
      <x:c r="H1721" s="60"/>
    </x:row>
    <x:row r="1722">
      <x:c r="H1722" s="60"/>
    </x:row>
    <x:row r="1723">
      <x:c r="H1723" s="60"/>
    </x:row>
    <x:row r="1724">
      <x:c r="H1724" s="60"/>
    </x:row>
    <x:row r="1725">
      <x:c r="H1725" s="60"/>
    </x:row>
    <x:row r="1726">
      <x:c r="H1726" s="60"/>
    </x:row>
    <x:row r="1727">
      <x:c r="H1727" s="60"/>
    </x:row>
    <x:row r="1728">
      <x:c r="H1728" s="60"/>
    </x:row>
    <x:row r="1729">
      <x:c r="H1729" s="60"/>
    </x:row>
    <x:row r="1730">
      <x:c r="H1730" s="60"/>
    </x:row>
    <x:row r="1731">
      <x:c r="H1731" s="60"/>
    </x:row>
    <x:row r="1732">
      <x:c r="H1732" s="60"/>
    </x:row>
    <x:row r="1733">
      <x:c r="H1733" s="60"/>
    </x:row>
    <x:row r="1734">
      <x:c r="H1734" s="60"/>
    </x:row>
    <x:row r="1735">
      <x:c r="H1735" s="60"/>
    </x:row>
    <x:row r="1736">
      <x:c r="H1736" s="60"/>
    </x:row>
    <x:row r="1737">
      <x:c r="H1737" s="60"/>
    </x:row>
    <x:row r="1738">
      <x:c r="H1738" s="60"/>
    </x:row>
    <x:row r="1739">
      <x:c r="H1739" s="60"/>
    </x:row>
    <x:row r="1740">
      <x:c r="H1740" s="60"/>
    </x:row>
    <x:row r="1741">
      <x:c r="H1741" s="60"/>
    </x:row>
    <x:row r="1742">
      <x:c r="H1742" s="60"/>
    </x:row>
    <x:row r="1743">
      <x:c r="H1743" s="60"/>
    </x:row>
    <x:row r="1744">
      <x:c r="H1744" s="60"/>
    </x:row>
    <x:row r="1745">
      <x:c r="H1745" s="60"/>
    </x:row>
    <x:row r="1746">
      <x:c r="H1746" s="60"/>
    </x:row>
    <x:row r="1747">
      <x:c r="H1747" s="60"/>
    </x:row>
    <x:row r="1748">
      <x:c r="H1748" s="60"/>
    </x:row>
    <x:row r="1749">
      <x:c r="H1749" s="60"/>
    </x:row>
    <x:row r="1750">
      <x:c r="H1750" s="60"/>
    </x:row>
    <x:row r="1751">
      <x:c r="H1751" s="60"/>
    </x:row>
    <x:row r="1752">
      <x:c r="H1752" s="60"/>
    </x:row>
    <x:row r="1753">
      <x:c r="H1753" s="60"/>
    </x:row>
    <x:row r="1754">
      <x:c r="H1754" s="60"/>
    </x:row>
    <x:row r="1755">
      <x:c r="H1755" s="60"/>
    </x:row>
    <x:row r="1756">
      <x:c r="H1756" s="60"/>
    </x:row>
    <x:row r="1757">
      <x:c r="H1757" s="60"/>
    </x:row>
    <x:row r="1758">
      <x:c r="H1758" s="60"/>
    </x:row>
    <x:row r="1759">
      <x:c r="H1759" s="60"/>
    </x:row>
    <x:row r="1760">
      <x:c r="H1760" s="60"/>
    </x:row>
    <x:row r="1761">
      <x:c r="H1761" s="60"/>
    </x:row>
    <x:row r="1762">
      <x:c r="H1762" s="60"/>
    </x:row>
    <x:row r="1763">
      <x:c r="H1763" s="60"/>
    </x:row>
    <x:row r="1764">
      <x:c r="H1764" s="60"/>
    </x:row>
    <x:row r="1765">
      <x:c r="H1765" s="60"/>
    </x:row>
    <x:row r="1766">
      <x:c r="H1766" s="60"/>
    </x:row>
    <x:row r="1767">
      <x:c r="H1767" s="60"/>
    </x:row>
    <x:row r="1768">
      <x:c r="H1768" s="60"/>
    </x:row>
    <x:row r="1769">
      <x:c r="H1769" s="60"/>
    </x:row>
    <x:row r="1770">
      <x:c r="H1770" s="60"/>
    </x:row>
    <x:row r="1771">
      <x:c r="H1771" s="60"/>
    </x:row>
    <x:row r="1772">
      <x:c r="H1772" s="60"/>
    </x:row>
    <x:row r="1773">
      <x:c r="H1773" s="60"/>
    </x:row>
    <x:row r="1774">
      <x:c r="H1774" s="60"/>
    </x:row>
    <x:row r="1775">
      <x:c r="H1775" s="60"/>
    </x:row>
    <x:row r="1776">
      <x:c r="H1776" s="60"/>
    </x:row>
    <x:row r="1777">
      <x:c r="H1777" s="60"/>
    </x:row>
    <x:row r="1778">
      <x:c r="H1778" s="60"/>
    </x:row>
    <x:row r="1779">
      <x:c r="H1779" s="60"/>
    </x:row>
    <x:row r="1780">
      <x:c r="H1780" s="60"/>
    </x:row>
    <x:row r="1781">
      <x:c r="H1781" s="60"/>
    </x:row>
    <x:row r="1782">
      <x:c r="H1782" s="60"/>
    </x:row>
    <x:row r="1783">
      <x:c r="H1783" s="60"/>
    </x:row>
    <x:row r="1784">
      <x:c r="H1784" s="60"/>
    </x:row>
    <x:row r="1785">
      <x:c r="H1785" s="60"/>
    </x:row>
    <x:row r="1786">
      <x:c r="H1786" s="60"/>
    </x:row>
    <x:row r="1787">
      <x:c r="H1787" s="60"/>
    </x:row>
    <x:row r="1788">
      <x:c r="H1788" s="60"/>
    </x:row>
    <x:row r="1789">
      <x:c r="H1789" s="60"/>
    </x:row>
    <x:row r="1790">
      <x:c r="H1790" s="60"/>
    </x:row>
    <x:row r="1791">
      <x:c r="H1791" s="60"/>
    </x:row>
    <x:row r="1792">
      <x:c r="H1792" s="60"/>
    </x:row>
    <x:row r="1793">
      <x:c r="H1793" s="60"/>
    </x:row>
    <x:row r="1794">
      <x:c r="H1794" s="60"/>
    </x:row>
    <x:row r="1795">
      <x:c r="H1795" s="60"/>
    </x:row>
    <x:row r="1796">
      <x:c r="H1796" s="60"/>
    </x:row>
    <x:row r="1797">
      <x:c r="H1797" s="60"/>
    </x:row>
    <x:row r="1798">
      <x:c r="H1798" s="60"/>
    </x:row>
    <x:row r="1799">
      <x:c r="H1799" s="60"/>
    </x:row>
    <x:row r="1800">
      <x:c r="H1800" s="60"/>
    </x:row>
    <x:row r="1801">
      <x:c r="H1801" s="60"/>
    </x:row>
    <x:row r="1802">
      <x:c r="H1802" s="60"/>
    </x:row>
    <x:row r="1803">
      <x:c r="H1803" s="60"/>
    </x:row>
    <x:row r="1804">
      <x:c r="H1804" s="60"/>
    </x:row>
    <x:row r="1805">
      <x:c r="H1805" s="60"/>
    </x:row>
    <x:row r="1806">
      <x:c r="H1806" s="60"/>
    </x:row>
    <x:row r="1807">
      <x:c r="H1807" s="60"/>
    </x:row>
    <x:row r="1808">
      <x:c r="H1808" s="60"/>
    </x:row>
    <x:row r="1809">
      <x:c r="H1809" s="60"/>
    </x:row>
    <x:row r="1810">
      <x:c r="H1810" s="60"/>
    </x:row>
    <x:row r="1811">
      <x:c r="H1811" s="60"/>
    </x:row>
    <x:row r="1812">
      <x:c r="H1812" s="60"/>
    </x:row>
    <x:row r="1813">
      <x:c r="H1813" s="60"/>
    </x:row>
    <x:row r="1814">
      <x:c r="H1814" s="60"/>
    </x:row>
    <x:row r="1815">
      <x:c r="H1815" s="60"/>
    </x:row>
    <x:row r="1816">
      <x:c r="H1816" s="60"/>
    </x:row>
    <x:row r="1817">
      <x:c r="H1817" s="60"/>
    </x:row>
    <x:row r="1818">
      <x:c r="H1818" s="60"/>
    </x:row>
    <x:row r="1819">
      <x:c r="H1819" s="60"/>
    </x:row>
    <x:row r="1820">
      <x:c r="H1820" s="60"/>
    </x:row>
    <x:row r="1821">
      <x:c r="H1821" s="60"/>
    </x:row>
    <x:row r="1822">
      <x:c r="H1822" s="60"/>
    </x:row>
    <x:row r="1823">
      <x:c r="H1823" s="60"/>
    </x:row>
    <x:row r="1824">
      <x:c r="H1824" s="60"/>
    </x:row>
    <x:row r="1825">
      <x:c r="H1825" s="60"/>
    </x:row>
    <x:row r="1826">
      <x:c r="H1826" s="60"/>
    </x:row>
    <x:row r="1827">
      <x:c r="H1827" s="60"/>
    </x:row>
    <x:row r="1828">
      <x:c r="H1828" s="60"/>
    </x:row>
    <x:row r="1829">
      <x:c r="H1829" s="60"/>
    </x:row>
    <x:row r="1830">
      <x:c r="H1830" s="60"/>
    </x:row>
    <x:row r="1831">
      <x:c r="H1831" s="60"/>
    </x:row>
    <x:row r="1832">
      <x:c r="H1832" s="60"/>
    </x:row>
    <x:row r="1833">
      <x:c r="H1833" s="60"/>
    </x:row>
    <x:row r="1834">
      <x:c r="H1834" s="60"/>
    </x:row>
    <x:row r="1835">
      <x:c r="H1835" s="60"/>
    </x:row>
    <x:row r="1836">
      <x:c r="H1836" s="60"/>
    </x:row>
    <x:row r="1837">
      <x:c r="H1837" s="60"/>
    </x:row>
    <x:row r="1838">
      <x:c r="H1838" s="60"/>
    </x:row>
    <x:row r="1839">
      <x:c r="H1839" s="60"/>
    </x:row>
    <x:row r="1840">
      <x:c r="H1840" s="60"/>
    </x:row>
    <x:row r="1841">
      <x:c r="H1841" s="60"/>
    </x:row>
    <x:row r="1842">
      <x:c r="H1842" s="60"/>
    </x:row>
    <x:row r="1843">
      <x:c r="H1843" s="60"/>
    </x:row>
    <x:row r="1844">
      <x:c r="H1844" s="60"/>
    </x:row>
    <x:row r="1845">
      <x:c r="H1845" s="60"/>
    </x:row>
    <x:row r="1846">
      <x:c r="H1846" s="60"/>
    </x:row>
    <x:row r="1847">
      <x:c r="H1847" s="60"/>
    </x:row>
    <x:row r="1848">
      <x:c r="H1848" s="60"/>
    </x:row>
    <x:row r="1849">
      <x:c r="H1849" s="60"/>
    </x:row>
    <x:row r="1850">
      <x:c r="H1850" s="60"/>
    </x:row>
    <x:row r="1851">
      <x:c r="H1851" s="60"/>
    </x:row>
    <x:row r="1852">
      <x:c r="H1852" s="60"/>
    </x:row>
    <x:row r="1853">
      <x:c r="H1853" s="60"/>
    </x:row>
    <x:row r="1854">
      <x:c r="H1854" s="60"/>
    </x:row>
    <x:row r="1855">
      <x:c r="H1855" s="60"/>
    </x:row>
    <x:row r="1856">
      <x:c r="H1856" s="60"/>
    </x:row>
    <x:row r="1857">
      <x:c r="H1857" s="60"/>
    </x:row>
    <x:row r="1858">
      <x:c r="H1858" s="60"/>
    </x:row>
    <x:row r="1859">
      <x:c r="H1859" s="60"/>
    </x:row>
    <x:row r="1860">
      <x:c r="H1860" s="60"/>
    </x:row>
    <x:row r="1861">
      <x:c r="H1861" s="60"/>
    </x:row>
    <x:row r="1862">
      <x:c r="H1862" s="60"/>
    </x:row>
    <x:row r="1863">
      <x:c r="H1863" s="60"/>
    </x:row>
    <x:row r="1864">
      <x:c r="H1864" s="60"/>
    </x:row>
    <x:row r="1865">
      <x:c r="H1865" s="60"/>
    </x:row>
    <x:row r="1866">
      <x:c r="H1866" s="60"/>
    </x:row>
    <x:row r="1867">
      <x:c r="H1867" s="60"/>
    </x:row>
    <x:row r="1868">
      <x:c r="H1868" s="60"/>
    </x:row>
    <x:row r="1869">
      <x:c r="H1869" s="60"/>
    </x:row>
    <x:row r="1870">
      <x:c r="H1870" s="60"/>
    </x:row>
    <x:row r="1871">
      <x:c r="H1871" s="60"/>
    </x:row>
    <x:row r="1872">
      <x:c r="H1872" s="60"/>
    </x:row>
    <x:row r="1873">
      <x:c r="H1873" s="60"/>
    </x:row>
    <x:row r="1874">
      <x:c r="H1874" s="60"/>
    </x:row>
    <x:row r="1875">
      <x:c r="H1875" s="60"/>
    </x:row>
    <x:row r="1876">
      <x:c r="H1876" s="60"/>
    </x:row>
    <x:row r="1877">
      <x:c r="H1877" s="60"/>
    </x:row>
    <x:row r="1878">
      <x:c r="H1878" s="60"/>
    </x:row>
    <x:row r="1879">
      <x:c r="H1879" s="60"/>
    </x:row>
    <x:row r="1880">
      <x:c r="H1880" s="60"/>
    </x:row>
    <x:row r="1881">
      <x:c r="H1881" s="60"/>
    </x:row>
    <x:row r="1882">
      <x:c r="H1882" s="60"/>
    </x:row>
    <x:row r="1883">
      <x:c r="H1883" s="60"/>
    </x:row>
    <x:row r="1884">
      <x:c r="H1884" s="60"/>
    </x:row>
    <x:row r="1885">
      <x:c r="H1885" s="60"/>
    </x:row>
    <x:row r="1886">
      <x:c r="H1886" s="60"/>
    </x:row>
    <x:row r="1887">
      <x:c r="H1887" s="60"/>
    </x:row>
    <x:row r="1888">
      <x:c r="H1888" s="60"/>
    </x:row>
    <x:row r="1889">
      <x:c r="H1889" s="60"/>
    </x:row>
    <x:row r="1890">
      <x:c r="H1890" s="60"/>
    </x:row>
    <x:row r="1891">
      <x:c r="H1891" s="60"/>
    </x:row>
    <x:row r="1892">
      <x:c r="H1892" s="60"/>
    </x:row>
    <x:row r="1893">
      <x:c r="H1893" s="60"/>
    </x:row>
    <x:row r="1894">
      <x:c r="H1894" s="60"/>
    </x:row>
    <x:row r="1895">
      <x:c r="H1895" s="60"/>
    </x:row>
    <x:row r="1896">
      <x:c r="H1896" s="60"/>
    </x:row>
    <x:row r="1897">
      <x:c r="H1897" s="60"/>
    </x:row>
    <x:row r="1898">
      <x:c r="H1898" s="60"/>
    </x:row>
    <x:row r="1899">
      <x:c r="H1899" s="60"/>
    </x:row>
    <x:row r="1900">
      <x:c r="H1900" s="60"/>
    </x:row>
    <x:row r="1901">
      <x:c r="H1901" s="60"/>
    </x:row>
    <x:row r="1902">
      <x:c r="H1902" s="60"/>
    </x:row>
    <x:row r="1903">
      <x:c r="H1903" s="60"/>
    </x:row>
    <x:row r="1904">
      <x:c r="H1904" s="60"/>
    </x:row>
    <x:row r="1905">
      <x:c r="H1905" s="60"/>
    </x:row>
    <x:row r="1906">
      <x:c r="H1906" s="60"/>
    </x:row>
    <x:row r="1907">
      <x:c r="H1907" s="60"/>
    </x:row>
    <x:row r="1908">
      <x:c r="H1908" s="60"/>
    </x:row>
    <x:row r="1909">
      <x:c r="H1909" s="60"/>
    </x:row>
    <x:row r="1910">
      <x:c r="H1910" s="60"/>
    </x:row>
    <x:row r="1911">
      <x:c r="H1911" s="60"/>
    </x:row>
    <x:row r="1912">
      <x:c r="H1912" s="60"/>
    </x:row>
    <x:row r="1913">
      <x:c r="H1913" s="60"/>
    </x:row>
    <x:row r="1914">
      <x:c r="H1914" s="60"/>
    </x:row>
    <x:row r="1915">
      <x:c r="H1915" s="60"/>
    </x:row>
    <x:row r="1916">
      <x:c r="H1916" s="60"/>
    </x:row>
    <x:row r="1917">
      <x:c r="H1917" s="60"/>
    </x:row>
    <x:row r="1918">
      <x:c r="H1918" s="60"/>
    </x:row>
    <x:row r="1919">
      <x:c r="H1919" s="60"/>
    </x:row>
    <x:row r="1920">
      <x:c r="H1920" s="60"/>
    </x:row>
    <x:row r="1921">
      <x:c r="H1921" s="60"/>
    </x:row>
    <x:row r="1922">
      <x:c r="H1922" s="60"/>
    </x:row>
    <x:row r="1923">
      <x:c r="H1923" s="60"/>
    </x:row>
    <x:row r="1924">
      <x:c r="H1924" s="60"/>
    </x:row>
    <x:row r="1925">
      <x:c r="H1925" s="60"/>
    </x:row>
    <x:row r="1926">
      <x:c r="H1926" s="60"/>
    </x:row>
    <x:row r="1927">
      <x:c r="H1927" s="60"/>
    </x:row>
    <x:row r="1928">
      <x:c r="H1928" s="60"/>
    </x:row>
    <x:row r="1929">
      <x:c r="H1929" s="60"/>
    </x:row>
    <x:row r="1930">
      <x:c r="H1930" s="60"/>
    </x:row>
    <x:row r="1931">
      <x:c r="H1931" s="60"/>
    </x:row>
    <x:row r="1932">
      <x:c r="H1932" s="60"/>
    </x:row>
    <x:row r="1933">
      <x:c r="H1933" s="60"/>
    </x:row>
    <x:row r="1934">
      <x:c r="H1934" s="60"/>
    </x:row>
    <x:row r="1935">
      <x:c r="H1935" s="60"/>
    </x:row>
    <x:row r="1936">
      <x:c r="H1936" s="60"/>
    </x:row>
    <x:row r="1937">
      <x:c r="H1937" s="60"/>
    </x:row>
    <x:row r="1938">
      <x:c r="H1938" s="60"/>
    </x:row>
    <x:row r="1939">
      <x:c r="H1939" s="60"/>
    </x:row>
    <x:row r="1940">
      <x:c r="H1940" s="60"/>
    </x:row>
    <x:row r="1941">
      <x:c r="H1941" s="60"/>
    </x:row>
    <x:row r="1942">
      <x:c r="H1942" s="60"/>
    </x:row>
    <x:row r="1943">
      <x:c r="H1943" s="60"/>
    </x:row>
    <x:row r="1944">
      <x:c r="H1944" s="60"/>
    </x:row>
    <x:row r="1945">
      <x:c r="H1945" s="60"/>
    </x:row>
    <x:row r="1946">
      <x:c r="H1946" s="60"/>
    </x:row>
    <x:row r="1947">
      <x:c r="H1947" s="60"/>
    </x:row>
    <x:row r="1948">
      <x:c r="H1948" s="60"/>
    </x:row>
    <x:row r="1949">
      <x:c r="H1949" s="60"/>
    </x:row>
    <x:row r="1950">
      <x:c r="H1950" s="60"/>
    </x:row>
    <x:row r="1951">
      <x:c r="H1951" s="60"/>
    </x:row>
    <x:row r="1952">
      <x:c r="H1952" s="60"/>
    </x:row>
    <x:row r="1953">
      <x:c r="H1953" s="60"/>
    </x:row>
    <x:row r="1954">
      <x:c r="H1954" s="60"/>
    </x:row>
    <x:row r="1955">
      <x:c r="H1955" s="60"/>
    </x:row>
    <x:row r="1956">
      <x:c r="H1956" s="60"/>
    </x:row>
    <x:row r="1957">
      <x:c r="H1957" s="60"/>
    </x:row>
    <x:row r="1958">
      <x:c r="H1958" s="60"/>
    </x:row>
    <x:row r="1959">
      <x:c r="H1959" s="60"/>
    </x:row>
    <x:row r="1960">
      <x:c r="H1960" s="60"/>
    </x:row>
    <x:row r="1961">
      <x:c r="H1961" s="60"/>
    </x:row>
    <x:row r="1962">
      <x:c r="H1962" s="60"/>
    </x:row>
    <x:row r="1963">
      <x:c r="H1963" s="60"/>
    </x:row>
    <x:row r="1964">
      <x:c r="H1964" s="60"/>
    </x:row>
    <x:row r="1965">
      <x:c r="H1965" s="60"/>
    </x:row>
    <x:row r="1966">
      <x:c r="H1966" s="60"/>
    </x:row>
    <x:row r="1967">
      <x:c r="H1967" s="60"/>
    </x:row>
    <x:row r="1968">
      <x:c r="H1968" s="60"/>
    </x:row>
    <x:row r="1969">
      <x:c r="H1969" s="60"/>
    </x:row>
    <x:row r="1970">
      <x:c r="H1970" s="60"/>
    </x:row>
    <x:row r="1971">
      <x:c r="H1971" s="60"/>
    </x:row>
    <x:row r="1972">
      <x:c r="H1972" s="60"/>
    </x:row>
    <x:row r="1973">
      <x:c r="H1973" s="60"/>
    </x:row>
    <x:row r="1974">
      <x:c r="H1974" s="60"/>
    </x:row>
    <x:row r="1975">
      <x:c r="H1975" s="60"/>
    </x:row>
    <x:row r="1976">
      <x:c r="H1976" s="60"/>
    </x:row>
    <x:row r="1977">
      <x:c r="H1977" s="60"/>
    </x:row>
    <x:row r="1978">
      <x:c r="H1978" s="60"/>
    </x:row>
    <x:row r="1979">
      <x:c r="H1979" s="60"/>
    </x:row>
    <x:row r="1980">
      <x:c r="H1980" s="60"/>
    </x:row>
    <x:row r="1981">
      <x:c r="H1981" s="60"/>
    </x:row>
    <x:row r="1982">
      <x:c r="H1982" s="60"/>
    </x:row>
    <x:row r="1983">
      <x:c r="H1983" s="60"/>
    </x:row>
    <x:row r="1984">
      <x:c r="H1984" s="60"/>
    </x:row>
    <x:row r="1985">
      <x:c r="H1985" s="60"/>
    </x:row>
    <x:row r="1986">
      <x:c r="H1986" s="60"/>
    </x:row>
    <x:row r="1987">
      <x:c r="H1987" s="60"/>
    </x:row>
    <x:row r="1988">
      <x:c r="H1988" s="60"/>
    </x:row>
    <x:row r="1989">
      <x:c r="H1989" s="60"/>
    </x:row>
    <x:row r="1990">
      <x:c r="H1990" s="60"/>
    </x:row>
    <x:row r="1991">
      <x:c r="H1991" s="60"/>
    </x:row>
    <x:row r="1992">
      <x:c r="H1992" s="60"/>
    </x:row>
    <x:row r="1993">
      <x:c r="H1993" s="60"/>
    </x:row>
    <x:row r="1994">
      <x:c r="H1994" s="60"/>
    </x:row>
    <x:row r="1995">
      <x:c r="H1995" s="60"/>
    </x:row>
    <x:row r="1996">
      <x:c r="H1996" s="60"/>
    </x:row>
    <x:row r="1997">
      <x:c r="H1997" s="60"/>
    </x:row>
    <x:row r="1998">
      <x:c r="H1998" s="60"/>
    </x:row>
    <x:row r="1999">
      <x:c r="H1999" s="60"/>
    </x:row>
    <x:row r="2000">
      <x:c r="H2000" s="60"/>
    </x:row>
    <x:row r="2001">
      <x:c r="H2001" s="60"/>
    </x:row>
    <x:row r="2002">
      <x:c r="H2002" s="60"/>
    </x:row>
    <x:row r="2003">
      <x:c r="H2003" s="60"/>
    </x:row>
    <x:row r="2004">
      <x:c r="H2004" s="60"/>
    </x:row>
  </x:sheetData>
  <x:mergeCells>
    <x:mergeCell ref="A1:M1"/>
    <x:mergeCell ref="A2:M2"/>
  </x:mergeCells>
  <x:conditionalFormatting sqref="I5:I2004">
    <x:cfRule type="containsText" dxfId="56" priority="1" operator="containsText" text="Passed"/>
    <x:cfRule type="containsText" dxfId="57" priority="2" operator="containsText" text="Verified"/>
    <x:cfRule type="containsText" dxfId="58" priority="3" operator="containsText" text="Failed"/>
    <x:cfRule type="containsText" dxfId="59" priority="4" operator="containsText" text="Defect"/>
    <x:cfRule type="containsText" dxfId="60" priority="5" operator="containsText" text="Blocked"/>
    <x:cfRule type="containsText" dxfId="61" priority="6" operator="containsText" text="Not Run"/>
    <x:cfRule type="containsText" dxfId="62" priority="7" operator="containsText" text="Not Applicable"/>
  </x:conditionalFormatting>
  <x:dataValidations count="3">
    <x:dataValidation type="list" sqref="C5:C2004">
      <x:formula1>"Initial,Retest"</x:formula1>
    </x:dataValidation>
    <x:dataValidation type="list" sqref="D5:D2004">
      <x:formula1>"iOS,Android"</x:formula1>
    </x:dataValidation>
    <x:dataValidation type="list" sqref="I5:I2004">
      <x:formula1>"Passed,Failed,Blocked,Not Applicable"</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0" hidden="0" customWidth="1"/>
    <x:col min="4" max="4" width="34" hidden="0" customWidth="1"/>
    <x:col min="5" max="5" width="58" hidden="0" customWidth="1"/>
    <x:col min="6" max="6" width="14" hidden="0" customWidth="1"/>
    <x:col min="7" max="7" width="16" hidden="0" customWidth="1"/>
    <x:col min="8" max="8" width="16" hidden="0" customWidth="1"/>
    <x:col min="9" max="9" width="48" hidden="0" customWidth="1"/>
  </x:cols>
  <x:sheetData>
    <x:row r="1" ht="32" customHeight="1">
      <x:c r="A1" s="3" t="str">
        <x:v>Inventory Coverage Map</x:v>
      </x:c>
      <x:c r="B1" s="3"/>
      <x:c r="C1" s="3"/>
      <x:c r="D1" s="3"/>
      <x:c r="E1" s="3"/>
      <x:c r="F1" s="3"/>
      <x:c r="G1" s="3"/>
      <x:c r="H1" s="3"/>
      <x:c r="I1" s="3"/>
    </x:row>
    <x:row r="2" ht="30" customHeight="1">
      <x:c r="A2" s="7" t="str">
        <x:v>Surface-first audit: every application route, Inertia page, and registered NativePHP plugin maps to at least one story. Story-level source coverage lives in User Stories; not every story must appear here.</x:v>
      </x:c>
      <x:c r="B2" s="7"/>
      <x:c r="C2" s="7"/>
      <x:c r="D2" s="7"/>
      <x:c r="E2" s="7"/>
      <x:c r="F2" s="7"/>
      <x:c r="G2" s="7"/>
      <x:c r="H2" s="7"/>
      <x:c r="I2" s="7"/>
    </x:row>
    <x:row r="4" ht="34" customHeight="1">
      <x:c r="A4" s="16" t="str">
        <x:v>Coverage ID</x:v>
      </x:c>
      <x:c r="B4" s="17" t="str">
        <x:v>Surface Type</x:v>
      </x:c>
      <x:c r="C4" s="17" t="str">
        <x:v>Method / Identifier</x:v>
      </x:c>
      <x:c r="D4" s="17" t="str">
        <x:v>Path / Name</x:v>
      </x:c>
      <x:c r="E4" s="17" t="str">
        <x:v>Action / Owner</x:v>
      </x:c>
      <x:c r="F4" s="17" t="str">
        <x:v>Platform</x:v>
      </x:c>
      <x:c r="G4" s="17" t="str">
        <x:v>Story IDs</x:v>
      </x:c>
      <x:c r="H4" s="17" t="str">
        <x:v>Mapping Status</x:v>
      </x:c>
      <x:c r="I4" s="18" t="str">
        <x:v>Notes</x:v>
      </x:c>
    </x:row>
    <x:row r="5">
      <x:c r="A5" s="57" t="str">
        <x:v>ROUTE-001</x:v>
      </x:c>
      <x:c r="B5" s="57" t="str">
        <x:v>Route</x:v>
      </x:c>
      <x:c r="C5" s="57" t="str">
        <x:v>GET|HEAD</x:v>
      </x:c>
      <x:c r="D5" s="57" t="str">
        <x:v>/</x:v>
      </x:c>
      <x:c r="E5" s="57" t="str">
        <x:v>App\Http\Controllers\DashboardController</x:v>
      </x:c>
      <x:c r="F5" s="57" t="str">
        <x:v>Both</x:v>
      </x:c>
      <x:c r="G5" s="57" t="str">
        <x:v>NUT-001, NUT-002, NUT-017</x:v>
      </x:c>
      <x:c r="H5" s="57" t="str">
        <x:v>Mapped</x:v>
      </x:c>
      <x:c r="I5" s="57" t="str">
        <x:v>web, App\Http\Middleware\EnsureBuffAccount</x:v>
      </x:c>
    </x:row>
    <x:row r="6">
      <x:c r="A6" s="58" t="str">
        <x:v>ROUTE-002</x:v>
      </x:c>
      <x:c r="B6" s="58" t="str">
        <x:v>Route</x:v>
      </x:c>
      <x:c r="C6" s="58" t="str">
        <x:v>POST</x:v>
      </x:c>
      <x:c r="D6" s="58" t="str">
        <x:v>/_admob/call</x:v>
      </x:c>
      <x:c r="E6" s="58" t="str">
        <x:v>BlessedZulu\NativePhpAdmob\Http\Controllers\AdmobCallController</x:v>
      </x:c>
      <x:c r="F6" s="58" t="str">
        <x:v>Both</x:v>
      </x:c>
      <x:c r="G6" s="58" t="str">
        <x:v>ACC-057, ACC-058, ACC-059, ACC-062</x:v>
      </x:c>
      <x:c r="H6" s="58" t="str">
        <x:v>Mapped</x:v>
      </x:c>
      <x:c r="I6" s="58" t="str"/>
    </x:row>
    <x:row r="7">
      <x:c r="A7" s="58" t="str">
        <x:v>ROUTE-003</x:v>
      </x:c>
      <x:c r="B7" s="58" t="str">
        <x:v>Route</x:v>
      </x:c>
      <x:c r="C7" s="58" t="str">
        <x:v>PATCH</x:v>
      </x:c>
      <x:c r="D7" s="58" t="str">
        <x:v>/account</x:v>
      </x:c>
      <x:c r="E7" s="58" t="str">
        <x:v>App\Http\Controllers\AccountController@update</x:v>
      </x:c>
      <x:c r="F7" s="58" t="str">
        <x:v>Both</x:v>
      </x:c>
      <x:c r="G7" s="58" t="str">
        <x:v>ACC-002, ACC-003, ACC-004, ACC-005, ACC-006, ACC-007, ACC-008, ACC-010, ACC-012, ACC-013, ACC-014, ACC-015, ACC-016, ACC-017, ACC-019, ACC-020, ACC-021, ACC-022, ACC-023, ACC-024, ACC-025, ACC-056, ACC-077, HLT-013</x:v>
      </x:c>
      <x:c r="H7" s="58" t="str">
        <x:v>Mapped</x:v>
      </x:c>
      <x:c r="I7" s="58" t="str">
        <x:v>web, App\Http\Middleware\EnsureBuffAccount</x:v>
      </x:c>
    </x:row>
    <x:row r="8">
      <x:c r="A8" s="58" t="str">
        <x:v>ROUTE-004</x:v>
      </x:c>
      <x:c r="B8" s="58" t="str">
        <x:v>Route</x:v>
      </x:c>
      <x:c r="C8" s="58" t="str">
        <x:v>DELETE</x:v>
      </x:c>
      <x:c r="D8" s="58" t="str">
        <x:v>/account</x:v>
      </x:c>
      <x:c r="E8" s="58" t="str">
        <x:v>App\Http\Controllers\AccountController@destroy</x:v>
      </x:c>
      <x:c r="F8" s="58" t="str">
        <x:v>Both</x:v>
      </x:c>
      <x:c r="G8" s="58" t="str">
        <x:v>ACC-002, ACC-003, ACC-004, ACC-005, ACC-006, ACC-007, ACC-008, ACC-010, ACC-012, ACC-013, ACC-014, ACC-015, ACC-016, ACC-017, ACC-019, ACC-020, ACC-021, ACC-022, ACC-023, ACC-024, ACC-025, ACC-056, ACC-077, HLT-013</x:v>
      </x:c>
      <x:c r="H8" s="58" t="str">
        <x:v>Mapped</x:v>
      </x:c>
      <x:c r="I8" s="58" t="str">
        <x:v>web, App\Http\Middleware\EnsureBuffAccount</x:v>
      </x:c>
    </x:row>
    <x:row r="9">
      <x:c r="A9" s="58" t="str">
        <x:v>ROUTE-005</x:v>
      </x:c>
      <x:c r="B9" s="58" t="str">
        <x:v>Route</x:v>
      </x:c>
      <x:c r="C9" s="58" t="str">
        <x:v>GET|HEAD</x:v>
      </x:c>
      <x:c r="D9" s="58" t="str">
        <x:v>/account/forgot-password</x:v>
      </x:c>
      <x:c r="E9" s="58" t="str">
        <x:v>App\Http\Controllers\AccountController@forgotPasswordPage</x:v>
      </x:c>
      <x:c r="F9" s="58" t="str">
        <x:v>Both</x:v>
      </x:c>
      <x:c r="G9" s="58" t="str">
        <x:v>ACC-002, ACC-003, ACC-005, ACC-006, ACC-007, ACC-008, ACC-010, ACC-012, ACC-013, ACC-014, ACC-015, ACC-016, ACC-017, ACC-019, ACC-020, ACC-022, ACC-023, ACC-024</x:v>
      </x:c>
      <x:c r="H9" s="58" t="str">
        <x:v>Mapped</x:v>
      </x:c>
      <x:c r="I9" s="58" t="str">
        <x:v>web</x:v>
      </x:c>
    </x:row>
    <x:row r="10">
      <x:c r="A10" s="58" t="str">
        <x:v>ROUTE-006</x:v>
      </x:c>
      <x:c r="B10" s="58" t="str">
        <x:v>Route</x:v>
      </x:c>
      <x:c r="C10" s="58" t="str">
        <x:v>POST</x:v>
      </x:c>
      <x:c r="D10" s="58" t="str">
        <x:v>/account/forgot-password</x:v>
      </x:c>
      <x:c r="E10" s="58" t="str">
        <x:v>App\Http\Controllers\AccountController@forgotPassword</x:v>
      </x:c>
      <x:c r="F10" s="58" t="str">
        <x:v>Both</x:v>
      </x:c>
      <x:c r="G10" s="58" t="str">
        <x:v>ACC-002, ACC-003, ACC-005, ACC-006, ACC-007, ACC-008, ACC-010, ACC-012, ACC-013, ACC-014, ACC-015, ACC-016, ACC-017, ACC-019, ACC-020, ACC-022, ACC-023, ACC-024</x:v>
      </x:c>
      <x:c r="H10" s="58" t="str">
        <x:v>Mapped</x:v>
      </x:c>
      <x:c r="I10" s="58" t="str">
        <x:v>web</x:v>
      </x:c>
    </x:row>
    <x:row r="11">
      <x:c r="A11" s="58" t="str">
        <x:v>ROUTE-007</x:v>
      </x:c>
      <x:c r="B11" s="58" t="str">
        <x:v>Route</x:v>
      </x:c>
      <x:c r="C11" s="58" t="str">
        <x:v>DELETE</x:v>
      </x:c>
      <x:c r="D11" s="58" t="str">
        <x:v>/account/local-data</x:v>
      </x:c>
      <x:c r="E11" s="58" t="str">
        <x:v>App\Http\Controllers\AccountController@destroyLocalData</x:v>
      </x:c>
      <x:c r="F11" s="58" t="str">
        <x:v>Both</x:v>
      </x:c>
      <x:c r="G11" s="58" t="str">
        <x:v>ACC-002, ACC-003, ACC-005, ACC-006, ACC-007, ACC-008, ACC-010, ACC-012, ACC-013, ACC-014, ACC-015, ACC-016, ACC-017, ACC-019, ACC-020, ACC-022, ACC-023, ACC-024</x:v>
      </x:c>
      <x:c r="H11" s="58" t="str">
        <x:v>Mapped</x:v>
      </x:c>
      <x:c r="I11" s="58" t="str">
        <x:v>web</x:v>
      </x:c>
    </x:row>
    <x:row r="12">
      <x:c r="A12" s="58" t="str">
        <x:v>ROUTE-008</x:v>
      </x:c>
      <x:c r="B12" s="58" t="str">
        <x:v>Route</x:v>
      </x:c>
      <x:c r="C12" s="58" t="str">
        <x:v>GET|HEAD</x:v>
      </x:c>
      <x:c r="D12" s="58" t="str">
        <x:v>/account/login</x:v>
      </x:c>
      <x:c r="E12" s="58" t="str">
        <x:v>App\Http\Controllers\AccountController@loginPage</x:v>
      </x:c>
      <x:c r="F12" s="58" t="str">
        <x:v>Both</x:v>
      </x:c>
      <x:c r="G12" s="58" t="str">
        <x:v>ACC-002, ACC-003, ACC-005, ACC-006, ACC-007, ACC-008, ACC-010, ACC-012, ACC-013, ACC-014, ACC-015, ACC-016, ACC-017, ACC-019, ACC-020, ACC-021, ACC-022, ACC-023, ACC-024</x:v>
      </x:c>
      <x:c r="H12" s="58" t="str">
        <x:v>Mapped</x:v>
      </x:c>
      <x:c r="I12" s="58" t="str">
        <x:v>web</x:v>
      </x:c>
    </x:row>
    <x:row r="13">
      <x:c r="A13" s="58" t="str">
        <x:v>ROUTE-009</x:v>
      </x:c>
      <x:c r="B13" s="58" t="str">
        <x:v>Route</x:v>
      </x:c>
      <x:c r="C13" s="58" t="str">
        <x:v>POST</x:v>
      </x:c>
      <x:c r="D13" s="58" t="str">
        <x:v>/account/login</x:v>
      </x:c>
      <x:c r="E13" s="58" t="str">
        <x:v>App\Http\Controllers\AccountController@login</x:v>
      </x:c>
      <x:c r="F13" s="58" t="str">
        <x:v>Both</x:v>
      </x:c>
      <x:c r="G13" s="58" t="str">
        <x:v>ACC-002, ACC-003, ACC-005, ACC-006, ACC-007, ACC-008, ACC-010, ACC-012, ACC-013, ACC-014, ACC-015, ACC-016, ACC-017, ACC-019, ACC-020, ACC-021, ACC-022, ACC-023, ACC-024</x:v>
      </x:c>
      <x:c r="H13" s="58" t="str">
        <x:v>Mapped</x:v>
      </x:c>
      <x:c r="I13" s="58" t="str">
        <x:v>web</x:v>
      </x:c>
    </x:row>
    <x:row r="14">
      <x:c r="A14" s="58" t="str">
        <x:v>ROUTE-010</x:v>
      </x:c>
      <x:c r="B14" s="58" t="str">
        <x:v>Route</x:v>
      </x:c>
      <x:c r="C14" s="58" t="str">
        <x:v>POST</x:v>
      </x:c>
      <x:c r="D14" s="58" t="str">
        <x:v>/account/logout</x:v>
      </x:c>
      <x:c r="E14" s="58" t="str">
        <x:v>App\Http\Controllers\AccountController@logout</x:v>
      </x:c>
      <x:c r="F14" s="58" t="str">
        <x:v>Both</x:v>
      </x:c>
      <x:c r="G14" s="58" t="str">
        <x:v>ACC-002, ACC-003, ACC-005, ACC-006, ACC-007, ACC-008, ACC-010, ACC-012, ACC-013, ACC-014, ACC-015, ACC-016, ACC-017, ACC-019, ACC-020, ACC-022, ACC-023, ACC-024</x:v>
      </x:c>
      <x:c r="H14" s="58" t="str">
        <x:v>Mapped</x:v>
      </x:c>
      <x:c r="I14" s="58" t="str">
        <x:v>web, App\Http\Middleware\EnsureBuffAccount</x:v>
      </x:c>
    </x:row>
    <x:row r="15">
      <x:c r="A15" s="58" t="str">
        <x:v>ROUTE-011</x:v>
      </x:c>
      <x:c r="B15" s="58" t="str">
        <x:v>Route</x:v>
      </x:c>
      <x:c r="C15" s="58" t="str">
        <x:v>PUT</x:v>
      </x:c>
      <x:c r="D15" s="58" t="str">
        <x:v>/account/password</x:v>
      </x:c>
      <x:c r="E15" s="58" t="str">
        <x:v>App\Http\Controllers\AccountController@updatePassword</x:v>
      </x:c>
      <x:c r="F15" s="58" t="str">
        <x:v>Both</x:v>
      </x:c>
      <x:c r="G15" s="58" t="str">
        <x:v>ACC-002, ACC-003, ACC-005, ACC-006, ACC-007, ACC-008, ACC-010, ACC-012, ACC-013, ACC-014, ACC-015, ACC-016, ACC-017, ACC-019, ACC-020, ACC-022, ACC-023, ACC-024</x:v>
      </x:c>
      <x:c r="H15" s="58" t="str">
        <x:v>Mapped</x:v>
      </x:c>
      <x:c r="I15" s="58" t="str">
        <x:v>web, App\Http\Middleware\EnsureBuffAccount</x:v>
      </x:c>
    </x:row>
    <x:row r="16">
      <x:c r="A16" s="58" t="str">
        <x:v>ROUTE-012</x:v>
      </x:c>
      <x:c r="B16" s="58" t="str">
        <x:v>Route</x:v>
      </x:c>
      <x:c r="C16" s="58" t="str">
        <x:v>GET|HEAD</x:v>
      </x:c>
      <x:c r="D16" s="58" t="str">
        <x:v>/account/register</x:v>
      </x:c>
      <x:c r="E16" s="58" t="str">
        <x:v>App\Http\Controllers\AccountController@registerPage</x:v>
      </x:c>
      <x:c r="F16" s="58" t="str">
        <x:v>Both</x:v>
      </x:c>
      <x:c r="G16" s="58" t="str">
        <x:v>ACC-002, ACC-003, ACC-004, ACC-005, ACC-006, ACC-007, ACC-008, ACC-010, ACC-012, ACC-013, ACC-014, ACC-015, ACC-016, ACC-017, ACC-019, ACC-020, ACC-022, ACC-023, ACC-024</x:v>
      </x:c>
      <x:c r="H16" s="58" t="str">
        <x:v>Mapped</x:v>
      </x:c>
      <x:c r="I16" s="58" t="str">
        <x:v>web</x:v>
      </x:c>
    </x:row>
    <x:row r="17">
      <x:c r="A17" s="58" t="str">
        <x:v>ROUTE-013</x:v>
      </x:c>
      <x:c r="B17" s="58" t="str">
        <x:v>Route</x:v>
      </x:c>
      <x:c r="C17" s="58" t="str">
        <x:v>POST</x:v>
      </x:c>
      <x:c r="D17" s="58" t="str">
        <x:v>/account/register</x:v>
      </x:c>
      <x:c r="E17" s="58" t="str">
        <x:v>App\Http\Controllers\AccountController@register</x:v>
      </x:c>
      <x:c r="F17" s="58" t="str">
        <x:v>Both</x:v>
      </x:c>
      <x:c r="G17" s="58" t="str">
        <x:v>ACC-002, ACC-003, ACC-004, ACC-005, ACC-006, ACC-007, ACC-008, ACC-010, ACC-012, ACC-013, ACC-014, ACC-015, ACC-016, ACC-017, ACC-019, ACC-020, ACC-022, ACC-023, ACC-024</x:v>
      </x:c>
      <x:c r="H17" s="58" t="str">
        <x:v>Mapped</x:v>
      </x:c>
      <x:c r="I17" s="58" t="str">
        <x:v>web</x:v>
      </x:c>
    </x:row>
    <x:row r="18">
      <x:c r="A18" s="58" t="str">
        <x:v>ROUTE-014</x:v>
      </x:c>
      <x:c r="B18" s="58" t="str">
        <x:v>Route</x:v>
      </x:c>
      <x:c r="C18" s="58" t="str">
        <x:v>POST</x:v>
      </x:c>
      <x:c r="D18" s="58" t="str">
        <x:v>/account/resume</x:v>
      </x:c>
      <x:c r="E18" s="58" t="str">
        <x:v>App\Http\Controllers\AccountController@resume</x:v>
      </x:c>
      <x:c r="F18" s="58" t="str">
        <x:v>Both</x:v>
      </x:c>
      <x:c r="G18" s="58" t="str">
        <x:v>ACC-002, ACC-003, ACC-005, ACC-006, ACC-007, ACC-008, ACC-010, ACC-012, ACC-013, ACC-014, ACC-015, ACC-016, ACC-017, ACC-019, ACC-020, ACC-022, ACC-023, ACC-024</x:v>
      </x:c>
      <x:c r="H18" s="58" t="str">
        <x:v>Mapped</x:v>
      </x:c>
      <x:c r="I18" s="58" t="str">
        <x:v>web</x:v>
      </x:c>
    </x:row>
    <x:row r="19">
      <x:c r="A19" s="58" t="str">
        <x:v>ROUTE-015</x:v>
      </x:c>
      <x:c r="B19" s="58" t="str">
        <x:v>Route</x:v>
      </x:c>
      <x:c r="C19" s="58" t="str">
        <x:v>GET|HEAD</x:v>
      </x:c>
      <x:c r="D19" s="58" t="str">
        <x:v>/account/social/callback</x:v>
      </x:c>
      <x:c r="E19" s="58" t="str">
        <x:v>App\Http\Controllers\AccountController@socialCallback</x:v>
      </x:c>
      <x:c r="F19" s="58" t="str">
        <x:v>Both</x:v>
      </x:c>
      <x:c r="G19" s="58" t="str">
        <x:v>ACC-002, ACC-003, ACC-005, ACC-006, ACC-007, ACC-008, ACC-010, ACC-012, ACC-013, ACC-014, ACC-015, ACC-016, ACC-017, ACC-019, ACC-020, ACC-022, ACC-023, ACC-024</x:v>
      </x:c>
      <x:c r="H19" s="58" t="str">
        <x:v>Mapped</x:v>
      </x:c>
      <x:c r="I19" s="58" t="str">
        <x:v>web</x:v>
      </x:c>
    </x:row>
    <x:row r="20">
      <x:c r="A20" s="58" t="str">
        <x:v>ROUTE-016</x:v>
      </x:c>
      <x:c r="B20" s="58" t="str">
        <x:v>Route</x:v>
      </x:c>
      <x:c r="C20" s="58" t="str">
        <x:v>GET|HEAD</x:v>
      </x:c>
      <x:c r="D20" s="58" t="str">
        <x:v>/account/verification-status</x:v>
      </x:c>
      <x:c r="E20" s="58" t="str">
        <x:v>App\Http\Controllers\AccountController@verificationStatus</x:v>
      </x:c>
      <x:c r="F20" s="58" t="str">
        <x:v>Both</x:v>
      </x:c>
      <x:c r="G20" s="58" t="str">
        <x:v>ACC-002, ACC-003, ACC-005, ACC-006, ACC-007, ACC-008, ACC-010, ACC-012, ACC-013, ACC-014, ACC-015, ACC-016, ACC-017, ACC-019, ACC-020, ACC-022, ACC-023, ACC-024</x:v>
      </x:c>
      <x:c r="H20" s="58" t="str">
        <x:v>Mapped</x:v>
      </x:c>
      <x:c r="I20" s="58" t="str">
        <x:v>web, App\Http\Middleware\EnsureBuffAccount</x:v>
      </x:c>
    </x:row>
    <x:row r="21">
      <x:c r="A21" s="58" t="str">
        <x:v>ROUTE-017</x:v>
      </x:c>
      <x:c r="B21" s="58" t="str">
        <x:v>Route</x:v>
      </x:c>
      <x:c r="C21" s="58" t="str">
        <x:v>POST</x:v>
      </x:c>
      <x:c r="D21" s="58" t="str">
        <x:v>/account/verification/resend</x:v>
      </x:c>
      <x:c r="E21" s="58" t="str">
        <x:v>App\Http\Controllers\AccountController@resendVerification</x:v>
      </x:c>
      <x:c r="F21" s="58" t="str">
        <x:v>Both</x:v>
      </x:c>
      <x:c r="G21" s="58" t="str">
        <x:v>ACC-002, ACC-003, ACC-005, ACC-006, ACC-007, ACC-008, ACC-010, ACC-012, ACC-013, ACC-014, ACC-015, ACC-016, ACC-017, ACC-019, ACC-020, ACC-022, ACC-023, ACC-024</x:v>
      </x:c>
      <x:c r="H21" s="58" t="str">
        <x:v>Mapped</x:v>
      </x:c>
      <x:c r="I21" s="58" t="str">
        <x:v>web, App\Http\Middleware\EnsureBuffAccount</x:v>
      </x:c>
    </x:row>
    <x:row r="22">
      <x:c r="A22" s="58" t="str">
        <x:v>ROUTE-018</x:v>
      </x:c>
      <x:c r="B22" s="58" t="str">
        <x:v>Route</x:v>
      </x:c>
      <x:c r="C22" s="58" t="str">
        <x:v>GET|HEAD</x:v>
      </x:c>
      <x:c r="D22" s="58" t="str">
        <x:v>/account/verify</x:v>
      </x:c>
      <x:c r="E22" s="58" t="str">
        <x:v>App\Http\Controllers\AccountController@verificationPage</x:v>
      </x:c>
      <x:c r="F22" s="58" t="str">
        <x:v>Both</x:v>
      </x:c>
      <x:c r="G22" s="58" t="str">
        <x:v>ACC-002, ACC-003, ACC-005, ACC-006, ACC-007, ACC-008, ACC-010, ACC-012, ACC-013, ACC-014, ACC-015, ACC-016, ACC-017, ACC-019, ACC-020, ACC-022, ACC-023, ACC-024</x:v>
      </x:c>
      <x:c r="H22" s="58" t="str">
        <x:v>Mapped</x:v>
      </x:c>
      <x:c r="I22" s="58" t="str">
        <x:v>web, App\Http\Middleware\EnsureBuffAccount</x:v>
      </x:c>
    </x:row>
    <x:row r="23">
      <x:c r="A23" s="58" t="str">
        <x:v>ROUTE-019</x:v>
      </x:c>
      <x:c r="B23" s="58" t="str">
        <x:v>Route</x:v>
      </x:c>
      <x:c r="C23" s="58" t="str">
        <x:v>GET|HEAD</x:v>
      </x:c>
      <x:c r="D23" s="58" t="str">
        <x:v>/add</x:v>
      </x:c>
      <x:c r="E23" s="58" t="str">
        <x:v>App\Http\Controllers\MealController@create</x:v>
      </x:c>
      <x:c r="F23" s="58" t="str">
        <x:v>Both</x:v>
      </x:c>
      <x:c r="G23" s="58" t="str">
        <x:v>ACC-079, HLT-040, NUT-016, NUT-017, NUT-018, NUT-020, NUT-021, NUT-022, NUT-023, NUT-024, NUT-025, NUT-026, NUT-027, NUT-028, NUT-029, NUT-030, NUT-031, NUT-032, NUT-033, NUT-035, NUT-038, NUT-039, NUT-040, NUT-041, NUT-042, NUT-043, NUT-045, NUT-051, NUT-052, NUT-058, NUT-059, NUT-060, NUT-061, NUT-062, NUT-063, NUT-065, NUT-066, NUT-068, NUT-069, NUT-070, NUT-071, NUT-072, NUT-073, NUT-074, NUT-080, NUT-083, NUT-084, NUT-085, NUT-086, NUT-087, NUT-088, NUT-089, NUT-090</x:v>
      </x:c>
      <x:c r="H23" s="58" t="str">
        <x:v>Mapped</x:v>
      </x:c>
      <x:c r="I23" s="58" t="str">
        <x:v>web, App\Http\Middleware\EnsureBuffAccount</x:v>
      </x:c>
    </x:row>
    <x:row r="24">
      <x:c r="A24" s="58" t="str">
        <x:v>ROUTE-020</x:v>
      </x:c>
      <x:c r="B24" s="58" t="str">
        <x:v>Route</x:v>
      </x:c>
      <x:c r="C24" s="58" t="str">
        <x:v>POST</x:v>
      </x:c>
      <x:c r="D24" s="58" t="str">
        <x:v>/apple-health/connect</x:v>
      </x:c>
      <x:c r="E24" s="58" t="str">
        <x:v>App\Http\Controllers\AppleHealthController@connect</x:v>
      </x:c>
      <x:c r="F24" s="58" t="str">
        <x:v>iOS</x:v>
      </x:c>
      <x:c r="G24" s="58" t="str">
        <x:v>ACC-047, HLT-049</x:v>
      </x:c>
      <x:c r="H24" s="58" t="str">
        <x:v>Mapped</x:v>
      </x:c>
      <x:c r="I24" s="58" t="str">
        <x:v>web, App\Http\Middleware\EnsureBuffAccount</x:v>
      </x:c>
    </x:row>
    <x:row r="25">
      <x:c r="A25" s="58" t="str">
        <x:v>ROUTE-021</x:v>
      </x:c>
      <x:c r="B25" s="58" t="str">
        <x:v>Route</x:v>
      </x:c>
      <x:c r="C25" s="58" t="str">
        <x:v>GET|HEAD</x:v>
      </x:c>
      <x:c r="D25" s="58" t="str">
        <x:v>/apple-health/status</x:v>
      </x:c>
      <x:c r="E25" s="58" t="str">
        <x:v>App\Http\Controllers\AppleHealthController@status</x:v>
      </x:c>
      <x:c r="F25" s="58" t="str">
        <x:v>iOS</x:v>
      </x:c>
      <x:c r="G25" s="58" t="str">
        <x:v>ACC-047, HLT-049</x:v>
      </x:c>
      <x:c r="H25" s="58" t="str">
        <x:v>Mapped</x:v>
      </x:c>
      <x:c r="I25" s="58" t="str">
        <x:v>web, App\Http\Middleware\EnsureBuffAccount</x:v>
      </x:c>
    </x:row>
    <x:row r="26">
      <x:c r="A26" s="58" t="str">
        <x:v>ROUTE-022</x:v>
      </x:c>
      <x:c r="B26" s="58" t="str">
        <x:v>Route</x:v>
      </x:c>
      <x:c r="C26" s="58" t="str">
        <x:v>POST</x:v>
      </x:c>
      <x:c r="D26" s="58" t="str">
        <x:v>/apple-health/sync</x:v>
      </x:c>
      <x:c r="E26" s="58" t="str">
        <x:v>App\Http\Controllers\AppleHealthController@sync</x:v>
      </x:c>
      <x:c r="F26" s="58" t="str">
        <x:v>iOS</x:v>
      </x:c>
      <x:c r="G26" s="58" t="str">
        <x:v>ACC-047, HLT-049</x:v>
      </x:c>
      <x:c r="H26" s="58" t="str">
        <x:v>Mapped</x:v>
      </x:c>
      <x:c r="I26" s="58" t="str">
        <x:v>web, App\Http\Middleware\EnsureBuffAccount</x:v>
      </x:c>
    </x:row>
    <x:row r="27">
      <x:c r="A27" s="58" t="str">
        <x:v>ROUTE-023</x:v>
      </x:c>
      <x:c r="B27" s="58" t="str">
        <x:v>Route</x:v>
      </x:c>
      <x:c r="C27" s="58" t="str">
        <x:v>POST</x:v>
      </x:c>
      <x:c r="D27" s="58" t="str">
        <x:v>/barcode/lookup</x:v>
      </x:c>
      <x:c r="E27" s="58" t="str">
        <x:v>App\Http\Controllers\MealController@lookupBarcode</x:v>
      </x:c>
      <x:c r="F27" s="58" t="str">
        <x:v>Both</x:v>
      </x:c>
      <x:c r="G27" s="58" t="str">
        <x:v>NUT-017, NUT-020, NUT-021, NUT-022, NUT-023, NUT-024, NUT-028, NUT-029, NUT-033, NUT-034, NUT-038, NUT-039, NUT-040, NUT-041, NUT-042, NUT-043, NUT-045, NUT-051, NUT-052, NUT-070, NUT-074, NUT-080, NUT-083, NUT-084, NUT-085, NUT-086, NUT-087, NUT-088, NUT-089, NUT-090</x:v>
      </x:c>
      <x:c r="H27" s="58" t="str">
        <x:v>Mapped</x:v>
      </x:c>
      <x:c r="I27" s="58" t="str">
        <x:v>web, App\Http\Middleware\EnsureBuffAccount</x:v>
      </x:c>
    </x:row>
    <x:row r="28">
      <x:c r="A28" s="58" t="str">
        <x:v>ROUTE-024</x:v>
      </x:c>
      <x:c r="B28" s="58" t="str">
        <x:v>Route</x:v>
      </x:c>
      <x:c r="C28" s="58" t="str">
        <x:v>GET|HEAD</x:v>
      </x:c>
      <x:c r="D28" s="58" t="str">
        <x:v>/food-products/search</x:v>
      </x:c>
      <x:c r="E28" s="58" t="str">
        <x:v>App\Http\Controllers\MealController@searchFoodProducts</x:v>
      </x:c>
      <x:c r="F28" s="58" t="str">
        <x:v>Both</x:v>
      </x:c>
      <x:c r="G28" s="58" t="str">
        <x:v>NUT-017, NUT-020, NUT-021, NUT-022, NUT-023, NUT-024, NUT-028, NUT-029, NUT-033, NUT-038, NUT-039, NUT-040, NUT-041, NUT-042, NUT-043, NUT-045, NUT-051, NUT-052, NUT-070, NUT-074, NUT-080, NUT-083, NUT-084, NUT-085, NUT-086, NUT-087, NUT-088, NUT-089, NUT-090</x:v>
      </x:c>
      <x:c r="H28" s="58" t="str">
        <x:v>Mapped</x:v>
      </x:c>
      <x:c r="I28" s="58" t="str">
        <x:v>web, App\Http\Middleware\EnsureBuffAccount</x:v>
      </x:c>
    </x:row>
    <x:row r="29">
      <x:c r="A29" s="58" t="str">
        <x:v>ROUTE-025</x:v>
      </x:c>
      <x:c r="B29" s="58" t="str">
        <x:v>Route</x:v>
      </x:c>
      <x:c r="C29" s="58" t="str">
        <x:v>GET|HEAD</x:v>
      </x:c>
      <x:c r="D29" s="58" t="str">
        <x:v>/goals</x:v>
      </x:c>
      <x:c r="E29" s="58" t="str">
        <x:v>App\Http\Controllers\GoalController@edit</x:v>
      </x:c>
      <x:c r="F29" s="58" t="str">
        <x:v>Both</x:v>
      </x:c>
      <x:c r="G29" s="58" t="str">
        <x:v>ACC-056, HLT-007, HLT-028, HLT-030, HLT-031</x:v>
      </x:c>
      <x:c r="H29" s="58" t="str">
        <x:v>Mapped</x:v>
      </x:c>
      <x:c r="I29" s="58" t="str">
        <x:v>web, App\Http\Middleware\EnsureBuffAccount</x:v>
      </x:c>
    </x:row>
    <x:row r="30">
      <x:c r="A30" s="58" t="str">
        <x:v>ROUTE-026</x:v>
      </x:c>
      <x:c r="B30" s="58" t="str">
        <x:v>Route</x:v>
      </x:c>
      <x:c r="C30" s="58" t="str">
        <x:v>PUT</x:v>
      </x:c>
      <x:c r="D30" s="58" t="str">
        <x:v>/goals</x:v>
      </x:c>
      <x:c r="E30" s="58" t="str">
        <x:v>App\Http\Controllers\GoalController@update</x:v>
      </x:c>
      <x:c r="F30" s="58" t="str">
        <x:v>Both</x:v>
      </x:c>
      <x:c r="G30" s="58" t="str">
        <x:v>ACC-056, HLT-007, HLT-028, HLT-030, HLT-031</x:v>
      </x:c>
      <x:c r="H30" s="58" t="str">
        <x:v>Mapped</x:v>
      </x:c>
      <x:c r="I30" s="58" t="str">
        <x:v>web, App\Http\Middleware\EnsureBuffAccount</x:v>
      </x:c>
    </x:row>
    <x:row r="31">
      <x:c r="A31" s="58" t="str">
        <x:v>ROUTE-027</x:v>
      </x:c>
      <x:c r="B31" s="58" t="str">
        <x:v>Route</x:v>
      </x:c>
      <x:c r="C31" s="58" t="str">
        <x:v>DELETE</x:v>
      </x:c>
      <x:c r="D31" s="58" t="str">
        <x:v>/health-connect</x:v>
      </x:c>
      <x:c r="E31" s="58" t="str">
        <x:v>App\Http\Controllers\HealthConnectController@destroy</x:v>
      </x:c>
      <x:c r="F31" s="58" t="str">
        <x:v>Android</x:v>
      </x:c>
      <x:c r="G31" s="58" t="str">
        <x:v>ACC-044, ACC-045, ACC-046, HLT-049, HLT-052, HLT-053, HLT-054, HLT-055, HLT-056, HLT-059, HLT-060</x:v>
      </x:c>
      <x:c r="H31" s="58" t="str">
        <x:v>Mapped</x:v>
      </x:c>
      <x:c r="I31" s="58" t="str">
        <x:v>web, App\Http\Middleware\EnsureBuffAccount</x:v>
      </x:c>
    </x:row>
    <x:row r="32">
      <x:c r="A32" s="58" t="str">
        <x:v>ROUTE-028</x:v>
      </x:c>
      <x:c r="B32" s="58" t="str">
        <x:v>Route</x:v>
      </x:c>
      <x:c r="C32" s="58" t="str">
        <x:v>POST</x:v>
      </x:c>
      <x:c r="D32" s="58" t="str">
        <x:v>/health-connect/connect</x:v>
      </x:c>
      <x:c r="E32" s="58" t="str">
        <x:v>App\Http\Controllers\HealthConnectController@connect</x:v>
      </x:c>
      <x:c r="F32" s="58" t="str">
        <x:v>Android</x:v>
      </x:c>
      <x:c r="G32" s="58" t="str">
        <x:v>ACC-045, ACC-046, HLT-049</x:v>
      </x:c>
      <x:c r="H32" s="58" t="str">
        <x:v>Mapped</x:v>
      </x:c>
      <x:c r="I32" s="58" t="str">
        <x:v>web, App\Http\Middleware\EnsureBuffAccount</x:v>
      </x:c>
    </x:row>
    <x:row r="33">
      <x:c r="A33" s="58" t="str">
        <x:v>ROUTE-029</x:v>
      </x:c>
      <x:c r="B33" s="58" t="str">
        <x:v>Route</x:v>
      </x:c>
      <x:c r="C33" s="58" t="str">
        <x:v>GET|HEAD</x:v>
      </x:c>
      <x:c r="D33" s="58" t="str">
        <x:v>/health-connect/status</x:v>
      </x:c>
      <x:c r="E33" s="58" t="str">
        <x:v>App\Http\Controllers\HealthConnectController@status</x:v>
      </x:c>
      <x:c r="F33" s="58" t="str">
        <x:v>Android</x:v>
      </x:c>
      <x:c r="G33" s="58" t="str">
        <x:v>ACC-045, ACC-046, HLT-049, HLT-052</x:v>
      </x:c>
      <x:c r="H33" s="58" t="str">
        <x:v>Mapped</x:v>
      </x:c>
      <x:c r="I33" s="58" t="str">
        <x:v>web, App\Http\Middleware\EnsureBuffAccount</x:v>
      </x:c>
    </x:row>
    <x:row r="34">
      <x:c r="A34" s="58" t="str">
        <x:v>ROUTE-030</x:v>
      </x:c>
      <x:c r="B34" s="58" t="str">
        <x:v>Route</x:v>
      </x:c>
      <x:c r="C34" s="58" t="str">
        <x:v>POST</x:v>
      </x:c>
      <x:c r="D34" s="58" t="str">
        <x:v>/health-connect/sync</x:v>
      </x:c>
      <x:c r="E34" s="58" t="str">
        <x:v>App\Http\Controllers\HealthConnectController@sync</x:v>
      </x:c>
      <x:c r="F34" s="58" t="str">
        <x:v>Android</x:v>
      </x:c>
      <x:c r="G34" s="58" t="str">
        <x:v>ACC-045, ACC-046, HLT-049</x:v>
      </x:c>
      <x:c r="H34" s="58" t="str">
        <x:v>Mapped</x:v>
      </x:c>
      <x:c r="I34" s="58" t="str">
        <x:v>web, App\Http\Middleware\EnsureBuffAccount</x:v>
      </x:c>
    </x:row>
    <x:row r="35">
      <x:c r="A35" s="58" t="str">
        <x:v>ROUTE-031</x:v>
      </x:c>
      <x:c r="B35" s="58" t="str">
        <x:v>Route</x:v>
      </x:c>
      <x:c r="C35" s="58" t="str">
        <x:v>GET|HEAD</x:v>
      </x:c>
      <x:c r="D35" s="58" t="str">
        <x:v>/macros/{macro}</x:v>
      </x:c>
      <x:c r="E35" s="58" t="str">
        <x:v>App\Http\Controllers\MacroController</x:v>
      </x:c>
      <x:c r="F35" s="58" t="str">
        <x:v>Both</x:v>
      </x:c>
      <x:c r="G35" s="58" t="str">
        <x:v>NUT-013, NUT-026, NUT-091, NUT-092, NUT-093, NUT-094, NUT-095</x:v>
      </x:c>
      <x:c r="H35" s="58" t="str">
        <x:v>Mapped</x:v>
      </x:c>
      <x:c r="I35" s="58" t="str">
        <x:v>web, App\Http\Middleware\EnsureBuffAccount</x:v>
      </x:c>
    </x:row>
    <x:row r="36">
      <x:c r="A36" s="58" t="str">
        <x:v>ROUTE-032</x:v>
      </x:c>
      <x:c r="B36" s="58" t="str">
        <x:v>Route</x:v>
      </x:c>
      <x:c r="C36" s="58" t="str">
        <x:v>GET|HEAD</x:v>
      </x:c>
      <x:c r="D36" s="58" t="str">
        <x:v>/mcp-approve</x:v>
      </x:c>
      <x:c r="E36" s="58" t="str">
        <x:v>App\Http\Controllers\McpApprovalController@show</x:v>
      </x:c>
      <x:c r="F36" s="58" t="str">
        <x:v>Both</x:v>
      </x:c>
      <x:c r="G36" s="58" t="str">
        <x:v>ACC-001, ACC-063, ACC-064, ACC-065</x:v>
      </x:c>
      <x:c r="H36" s="58" t="str">
        <x:v>Mapped</x:v>
      </x:c>
      <x:c r="I36" s="58" t="str">
        <x:v>web, App\Http\Middleware\EnsureBuffAccount</x:v>
      </x:c>
    </x:row>
    <x:row r="37">
      <x:c r="A37" s="58" t="str">
        <x:v>ROUTE-033</x:v>
      </x:c>
      <x:c r="B37" s="58" t="str">
        <x:v>Route</x:v>
      </x:c>
      <x:c r="C37" s="58" t="str">
        <x:v>POST</x:v>
      </x:c>
      <x:c r="D37" s="58" t="str">
        <x:v>/mcp-approve</x:v>
      </x:c>
      <x:c r="E37" s="58" t="str">
        <x:v>App\Http\Controllers\McpApprovalController@store</x:v>
      </x:c>
      <x:c r="F37" s="58" t="str">
        <x:v>Both</x:v>
      </x:c>
      <x:c r="G37" s="58" t="str">
        <x:v>ACC-001, ACC-063, ACC-064, ACC-065</x:v>
      </x:c>
      <x:c r="H37" s="58" t="str">
        <x:v>Mapped</x:v>
      </x:c>
      <x:c r="I37" s="58" t="str">
        <x:v>web, App\Http\Middleware\EnsureBuffAccount</x:v>
      </x:c>
    </x:row>
    <x:row r="38">
      <x:c r="A38" s="58" t="str">
        <x:v>ROUTE-034</x:v>
      </x:c>
      <x:c r="B38" s="58" t="str">
        <x:v>Route</x:v>
      </x:c>
      <x:c r="C38" s="58" t="str">
        <x:v>GET|HEAD</x:v>
      </x:c>
      <x:c r="D38" s="58" t="str">
        <x:v>/mcp-approve/complete</x:v>
      </x:c>
      <x:c r="E38" s="58" t="str">
        <x:v>App\Http\Controllers\McpApprovalController@complete</x:v>
      </x:c>
      <x:c r="F38" s="58" t="str">
        <x:v>Both</x:v>
      </x:c>
      <x:c r="G38" s="58" t="str">
        <x:v>ACC-063, ACC-064, ACC-065</x:v>
      </x:c>
      <x:c r="H38" s="58" t="str">
        <x:v>Mapped</x:v>
      </x:c>
      <x:c r="I38" s="58" t="str">
        <x:v>web, App\Http\Middleware\EnsureBuffAccount</x:v>
      </x:c>
    </x:row>
    <x:row r="39">
      <x:c r="A39" s="58" t="str">
        <x:v>ROUTE-035</x:v>
      </x:c>
      <x:c r="B39" s="58" t="str">
        <x:v>Route</x:v>
      </x:c>
      <x:c r="C39" s="58" t="str">
        <x:v>POST</x:v>
      </x:c>
      <x:c r="D39" s="58" t="str">
        <x:v>/meal-analyses</x:v>
      </x:c>
      <x:c r="E39" s="58" t="str">
        <x:v>App\Http\Controllers\MealAnalysisController@store</x:v>
      </x:c>
      <x:c r="F39" s="58" t="str">
        <x:v>Both</x:v>
      </x:c>
      <x:c r="G39" s="58" t="str">
        <x:v>NUT-061, NUT-072, NUT-073, NUT-076</x:v>
      </x:c>
      <x:c r="H39" s="58" t="str">
        <x:v>Mapped</x:v>
      </x:c>
      <x:c r="I39" s="58" t="str">
        <x:v>web, App\Http\Middleware\EnsureBuffAccount</x:v>
      </x:c>
    </x:row>
    <x:row r="40">
      <x:c r="A40" s="58" t="str">
        <x:v>ROUTE-036</x:v>
      </x:c>
      <x:c r="B40" s="58" t="str">
        <x:v>Route</x:v>
      </x:c>
      <x:c r="C40" s="58" t="str">
        <x:v>DELETE</x:v>
      </x:c>
      <x:c r="D40" s="58" t="str">
        <x:v>/meal-analyses/{analysis}</x:v>
      </x:c>
      <x:c r="E40" s="58" t="str">
        <x:v>App\Http\Controllers\MealAnalysisController@destroy</x:v>
      </x:c>
      <x:c r="F40" s="58" t="str">
        <x:v>Both</x:v>
      </x:c>
      <x:c r="G40" s="58" t="str">
        <x:v>NUT-061, NUT-072, NUT-073, NUT-076</x:v>
      </x:c>
      <x:c r="H40" s="58" t="str">
        <x:v>Mapped</x:v>
      </x:c>
      <x:c r="I40" s="58" t="str">
        <x:v>web, App\Http\Middleware\EnsureBuffAccount</x:v>
      </x:c>
    </x:row>
    <x:row r="41">
      <x:c r="A41" s="58" t="str">
        <x:v>ROUTE-037</x:v>
      </x:c>
      <x:c r="B41" s="58" t="str">
        <x:v>Route</x:v>
      </x:c>
      <x:c r="C41" s="58" t="str">
        <x:v>POST</x:v>
      </x:c>
      <x:c r="D41" s="58" t="str">
        <x:v>/meal-analyses/{analysis}/follow-up</x:v>
      </x:c>
      <x:c r="E41" s="58" t="str">
        <x:v>App\Http\Controllers\MealAnalysisController@followUp</x:v>
      </x:c>
      <x:c r="F41" s="58" t="str">
        <x:v>Both</x:v>
      </x:c>
      <x:c r="G41" s="58" t="str">
        <x:v>NUT-061, NUT-072, NUT-073, NUT-076</x:v>
      </x:c>
      <x:c r="H41" s="58" t="str">
        <x:v>Mapped</x:v>
      </x:c>
      <x:c r="I41" s="58" t="str">
        <x:v>web, App\Http\Middleware\EnsureBuffAccount</x:v>
      </x:c>
    </x:row>
    <x:row r="42">
      <x:c r="A42" s="58" t="str">
        <x:v>ROUTE-038</x:v>
      </x:c>
      <x:c r="B42" s="58" t="str">
        <x:v>Route</x:v>
      </x:c>
      <x:c r="C42" s="58" t="str">
        <x:v>POST</x:v>
      </x:c>
      <x:c r="D42" s="58" t="str">
        <x:v>/meals/barcode</x:v>
      </x:c>
      <x:c r="E42" s="58" t="str">
        <x:v>App\Http\Controllers\MealController@storeBarcode</x:v>
      </x:c>
      <x:c r="F42" s="58" t="str">
        <x:v>Both</x:v>
      </x:c>
      <x:c r="G42" s="58" t="str">
        <x:v>NUT-017, NUT-020, NUT-021, NUT-022, NUT-023, NUT-024, NUT-028, NUT-029, NUT-033, NUT-038, NUT-039, NUT-040, NUT-041, NUT-042, NUT-043, NUT-045, NUT-051, NUT-052, NUT-070, NUT-074, NUT-080, NUT-083, NUT-084, NUT-085, NUT-086, NUT-087, NUT-088, NUT-089, NUT-090</x:v>
      </x:c>
      <x:c r="H42" s="58" t="str">
        <x:v>Mapped</x:v>
      </x:c>
      <x:c r="I42" s="58" t="str">
        <x:v>web, App\Http\Middleware\EnsureBuffAccount</x:v>
      </x:c>
    </x:row>
    <x:row r="43">
      <x:c r="A43" s="58" t="str">
        <x:v>ROUTE-039</x:v>
      </x:c>
      <x:c r="B43" s="58" t="str">
        <x:v>Route</x:v>
      </x:c>
      <x:c r="C43" s="58" t="str">
        <x:v>POST</x:v>
      </x:c>
      <x:c r="D43" s="58" t="str">
        <x:v>/meals/custom</x:v>
      </x:c>
      <x:c r="E43" s="58" t="str">
        <x:v>App\Http\Controllers\MealController@storeCustom</x:v>
      </x:c>
      <x:c r="F43" s="58" t="str">
        <x:v>Both</x:v>
      </x:c>
      <x:c r="G43" s="58" t="str">
        <x:v>NUT-017, NUT-020, NUT-021, NUT-022, NUT-023, NUT-024, NUT-028, NUT-029, NUT-033, NUT-038, NUT-039, NUT-040, NUT-041, NUT-042, NUT-043, NUT-045, NUT-051, NUT-052, NUT-070, NUT-074, NUT-080, NUT-083, NUT-084, NUT-085, NUT-086, NUT-087, NUT-088, NUT-089, NUT-090</x:v>
      </x:c>
      <x:c r="H43" s="58" t="str">
        <x:v>Mapped</x:v>
      </x:c>
      <x:c r="I43" s="58" t="str">
        <x:v>web, App\Http\Middleware\EnsureBuffAccount</x:v>
      </x:c>
    </x:row>
    <x:row r="44">
      <x:c r="A44" s="58" t="str">
        <x:v>ROUTE-040</x:v>
      </x:c>
      <x:c r="B44" s="58" t="str">
        <x:v>Route</x:v>
      </x:c>
      <x:c r="C44" s="58" t="str">
        <x:v>POST</x:v>
      </x:c>
      <x:c r="D44" s="58" t="str">
        <x:v>/meals/recipe</x:v>
      </x:c>
      <x:c r="E44" s="58" t="str">
        <x:v>App\Http\Controllers\MealController@storeFromRecipe</x:v>
      </x:c>
      <x:c r="F44" s="58" t="str">
        <x:v>Both</x:v>
      </x:c>
      <x:c r="G44" s="58" t="str">
        <x:v>NUT-017, NUT-020, NUT-021, NUT-022, NUT-023, NUT-024, NUT-028, NUT-029, NUT-033, NUT-038, NUT-039, NUT-040, NUT-041, NUT-042, NUT-043, NUT-045, NUT-051, NUT-052, NUT-070, NUT-074, NUT-080, NUT-083, NUT-084, NUT-085, NUT-086, NUT-087, NUT-088, NUT-089, NUT-090</x:v>
      </x:c>
      <x:c r="H44" s="58" t="str">
        <x:v>Mapped</x:v>
      </x:c>
      <x:c r="I44" s="58" t="str">
        <x:v>web, App\Http\Middleware\EnsureBuffAccount</x:v>
      </x:c>
    </x:row>
    <x:row r="45">
      <x:c r="A45" s="58" t="str">
        <x:v>ROUTE-041</x:v>
      </x:c>
      <x:c r="B45" s="58" t="str">
        <x:v>Route</x:v>
      </x:c>
      <x:c r="C45" s="58" t="str">
        <x:v>PUT</x:v>
      </x:c>
      <x:c r="D45" s="58" t="str">
        <x:v>/meals/{mealEntry}</x:v>
      </x:c>
      <x:c r="E45" s="58" t="str">
        <x:v>App\Http\Controllers\MealController@update</x:v>
      </x:c>
      <x:c r="F45" s="58" t="str">
        <x:v>Both</x:v>
      </x:c>
      <x:c r="G45" s="58" t="str">
        <x:v>NUT-017, NUT-020, NUT-021, NUT-022, NUT-023, NUT-024, NUT-028, NUT-029, NUT-033, NUT-038, NUT-039, NUT-040, NUT-041, NUT-042, NUT-043, NUT-045, NUT-051, NUT-052, NUT-070, NUT-074, NUT-080, NUT-083, NUT-084, NUT-085, NUT-086, NUT-087, NUT-088, NUT-089, NUT-090</x:v>
      </x:c>
      <x:c r="H45" s="58" t="str">
        <x:v>Mapped</x:v>
      </x:c>
      <x:c r="I45" s="58" t="str">
        <x:v>web, App\Http\Middleware\EnsureBuffAccount</x:v>
      </x:c>
    </x:row>
    <x:row r="46">
      <x:c r="A46" s="58" t="str">
        <x:v>ROUTE-042</x:v>
      </x:c>
      <x:c r="B46" s="58" t="str">
        <x:v>Route</x:v>
      </x:c>
      <x:c r="C46" s="58" t="str">
        <x:v>DELETE</x:v>
      </x:c>
      <x:c r="D46" s="58" t="str">
        <x:v>/meals/{mealEntry}</x:v>
      </x:c>
      <x:c r="E46" s="58" t="str">
        <x:v>App\Http\Controllers\MealController@destroy</x:v>
      </x:c>
      <x:c r="F46" s="58" t="str">
        <x:v>Both</x:v>
      </x:c>
      <x:c r="G46" s="58" t="str">
        <x:v>NUT-017, NUT-020, NUT-021, NUT-022, NUT-023, NUT-024, NUT-028, NUT-029, NUT-033, NUT-038, NUT-039, NUT-040, NUT-041, NUT-042, NUT-043, NUT-045, NUT-051, NUT-052, NUT-070, NUT-074, NUT-080, NUT-083, NUT-084, NUT-085, NUT-086, NUT-087, NUT-088, NUT-089, NUT-090</x:v>
      </x:c>
      <x:c r="H46" s="58" t="str">
        <x:v>Mapped</x:v>
      </x:c>
      <x:c r="I46" s="58" t="str">
        <x:v>web, App\Http\Middleware\EnsureBuffAccount</x:v>
      </x:c>
    </x:row>
    <x:row r="47">
      <x:c r="A47" s="58" t="str">
        <x:v>ROUTE-043</x:v>
      </x:c>
      <x:c r="B47" s="58" t="str">
        <x:v>Route</x:v>
      </x:c>
      <x:c r="C47" s="58" t="str">
        <x:v>GET|HEAD</x:v>
      </x:c>
      <x:c r="D47" s="58" t="str">
        <x:v>/meals/{mealEntry}/photos</x:v>
      </x:c>
      <x:c r="E47" s="58" t="str">
        <x:v>App\Http\Controllers\MealAnalysisController@photos</x:v>
      </x:c>
      <x:c r="F47" s="58" t="str">
        <x:v>Both</x:v>
      </x:c>
      <x:c r="G47" s="58" t="str">
        <x:v>NUT-061, NUT-072, NUT-073, NUT-076, NUT-088</x:v>
      </x:c>
      <x:c r="H47" s="58" t="str">
        <x:v>Mapped</x:v>
      </x:c>
      <x:c r="I47" s="58" t="str">
        <x:v>web, App\Http\Middleware\EnsureBuffAccount</x:v>
      </x:c>
    </x:row>
    <x:row r="48">
      <x:c r="A48" s="58" t="str">
        <x:v>ROUTE-044</x:v>
      </x:c>
      <x:c r="B48" s="58" t="str">
        <x:v>Route</x:v>
      </x:c>
      <x:c r="C48" s="58" t="str">
        <x:v>POST</x:v>
      </x:c>
      <x:c r="D48" s="58" t="str">
        <x:v>/meals/{mealEntry}/repeat</x:v>
      </x:c>
      <x:c r="E48" s="58" t="str">
        <x:v>App\Http\Controllers\MealController@repeat</x:v>
      </x:c>
      <x:c r="F48" s="58" t="str">
        <x:v>Both</x:v>
      </x:c>
      <x:c r="G48" s="58" t="str">
        <x:v>NUT-017, NUT-020, NUT-021, NUT-022, NUT-023, NUT-024, NUT-028, NUT-029, NUT-033, NUT-038, NUT-039, NUT-040, NUT-041, NUT-042, NUT-043, NUT-045, NUT-051, NUT-052, NUT-070, NUT-074, NUT-080, NUT-083, NUT-084, NUT-085, NUT-086, NUT-087, NUT-088, NUT-089, NUT-090</x:v>
      </x:c>
      <x:c r="H48" s="58" t="str">
        <x:v>Mapped</x:v>
      </x:c>
      <x:c r="I48" s="58" t="str">
        <x:v>web, App\Http\Middleware\EnsureBuffAccount</x:v>
      </x:c>
    </x:row>
    <x:row r="49">
      <x:c r="A49" s="58" t="str">
        <x:v>ROUTE-045</x:v>
      </x:c>
      <x:c r="B49" s="58" t="str">
        <x:v>Route</x:v>
      </x:c>
      <x:c r="C49" s="58" t="str">
        <x:v>GET|HEAD</x:v>
      </x:c>
      <x:c r="D49" s="58" t="str">
        <x:v>/onboarding</x:v>
      </x:c>
      <x:c r="E49" s="58" t="str">
        <x:v>App\Http\Controllers\OnboardingController@create</x:v>
      </x:c>
      <x:c r="F49" s="58" t="str">
        <x:v>Both</x:v>
      </x:c>
      <x:c r="G49" s="58" t="str">
        <x:v>ACC-025, ACC-026, ACC-027, ACC-028, ACC-029, ACC-030, ACC-031, ACC-056, ACC-077, HLT-034, HLT-035, HLT-036, HLT-037, HLT-038, HLT-039</x:v>
      </x:c>
      <x:c r="H49" s="58" t="str">
        <x:v>Mapped</x:v>
      </x:c>
      <x:c r="I49" s="58" t="str">
        <x:v>web, App\Http\Middleware\EnsureBuffAccount</x:v>
      </x:c>
    </x:row>
    <x:row r="50">
      <x:c r="A50" s="58" t="str">
        <x:v>ROUTE-046</x:v>
      </x:c>
      <x:c r="B50" s="58" t="str">
        <x:v>Route</x:v>
      </x:c>
      <x:c r="C50" s="58" t="str">
        <x:v>POST</x:v>
      </x:c>
      <x:c r="D50" s="58" t="str">
        <x:v>/onboarding</x:v>
      </x:c>
      <x:c r="E50" s="58" t="str">
        <x:v>App\Http\Controllers\OnboardingController@store</x:v>
      </x:c>
      <x:c r="F50" s="58" t="str">
        <x:v>Both</x:v>
      </x:c>
      <x:c r="G50" s="58" t="str">
        <x:v>ACC-025, ACC-026, ACC-027, ACC-028, ACC-029, ACC-030, ACC-031, ACC-056, ACC-077, HLT-034, HLT-035, HLT-036, HLT-037, HLT-038, HLT-039</x:v>
      </x:c>
      <x:c r="H50" s="58" t="str">
        <x:v>Mapped</x:v>
      </x:c>
      <x:c r="I50" s="58" t="str">
        <x:v>web, App\Http\Middleware\EnsureBuffAccount</x:v>
      </x:c>
    </x:row>
    <x:row r="51">
      <x:c r="A51" s="58" t="str">
        <x:v>ROUTE-047</x:v>
      </x:c>
      <x:c r="B51" s="58" t="str">
        <x:v>Route</x:v>
      </x:c>
      <x:c r="C51" s="58" t="str">
        <x:v>POST</x:v>
      </x:c>
      <x:c r="D51" s="58" t="str">
        <x:v>/onboarding/plan</x:v>
      </x:c>
      <x:c r="E51" s="58" t="str">
        <x:v>App\Http\Controllers\OnboardingController@plan</x:v>
      </x:c>
      <x:c r="F51" s="58" t="str">
        <x:v>Both</x:v>
      </x:c>
      <x:c r="G51" s="58" t="str">
        <x:v>ACC-025, ACC-026, ACC-027, ACC-028, ACC-029, ACC-030, ACC-031, HLT-034, HLT-036, HLT-037, HLT-038, HLT-039</x:v>
      </x:c>
      <x:c r="H51" s="58" t="str">
        <x:v>Mapped</x:v>
      </x:c>
      <x:c r="I51" s="58" t="str">
        <x:v>web, App\Http\Middleware\EnsureBuffAccount</x:v>
      </x:c>
    </x:row>
    <x:row r="52">
      <x:c r="A52" s="58" t="str">
        <x:v>ROUTE-048</x:v>
      </x:c>
      <x:c r="B52" s="58" t="str">
        <x:v>Route</x:v>
      </x:c>
      <x:c r="C52" s="58" t="str">
        <x:v>GET|HEAD</x:v>
      </x:c>
      <x:c r="D52" s="58" t="str">
        <x:v>/progress</x:v>
      </x:c>
      <x:c r="E52" s="58" t="str">
        <x:v>App\Http\Controllers\ProgressController@index</x:v>
      </x:c>
      <x:c r="F52" s="58" t="str">
        <x:v>Both</x:v>
      </x:c>
      <x:c r="G52" s="58" t="str">
        <x:v>ACC-056, HLT-001, HLT-002, HLT-003, HLT-004, HLT-005, HLT-006, HLT-008, HLT-009, HLT-010, HLT-011, HLT-012, HLT-014, HLT-015, HLT-016, HLT-017, HLT-018, HLT-019, HLT-020, HLT-022, HLT-025, HLT-027, HLT-031</x:v>
      </x:c>
      <x:c r="H52" s="58" t="str">
        <x:v>Mapped</x:v>
      </x:c>
      <x:c r="I52" s="58" t="str">
        <x:v>web, App\Http\Middleware\EnsureBuffAccount</x:v>
      </x:c>
    </x:row>
    <x:row r="53">
      <x:c r="A53" s="58" t="str">
        <x:v>ROUTE-049</x:v>
      </x:c>
      <x:c r="B53" s="58" t="str">
        <x:v>Route</x:v>
      </x:c>
      <x:c r="C53" s="58" t="str">
        <x:v>POST</x:v>
      </x:c>
      <x:c r="D53" s="58" t="str">
        <x:v>/progress/body-metrics</x:v>
      </x:c>
      <x:c r="E53" s="58" t="str">
        <x:v>App\Http\Controllers\ProgressController@store</x:v>
      </x:c>
      <x:c r="F53" s="58" t="str">
        <x:v>Both</x:v>
      </x:c>
      <x:c r="G53" s="58" t="str">
        <x:v>HLT-001, HLT-002, HLT-003, HLT-004, HLT-006, HLT-008, HLT-009, HLT-010, HLT-011, HLT-012, HLT-019</x:v>
      </x:c>
      <x:c r="H53" s="58" t="str">
        <x:v>Mapped</x:v>
      </x:c>
      <x:c r="I53" s="58" t="str">
        <x:v>web, App\Http\Middleware\EnsureBuffAccount</x:v>
      </x:c>
    </x:row>
    <x:row r="54">
      <x:c r="A54" s="58" t="str">
        <x:v>ROUTE-050</x:v>
      </x:c>
      <x:c r="B54" s="58" t="str">
        <x:v>Route</x:v>
      </x:c>
      <x:c r="C54" s="58" t="str">
        <x:v>DELETE</x:v>
      </x:c>
      <x:c r="D54" s="58" t="str">
        <x:v>/progress/body-metrics/{bodyMetric}</x:v>
      </x:c>
      <x:c r="E54" s="58" t="str">
        <x:v>App\Http\Controllers\ProgressController@destroy</x:v>
      </x:c>
      <x:c r="F54" s="58" t="str">
        <x:v>Both</x:v>
      </x:c>
      <x:c r="G54" s="58" t="str">
        <x:v>HLT-001, HLT-002, HLT-003, HLT-004, HLT-006, HLT-008, HLT-009, HLT-010, HLT-011, HLT-012, HLT-019</x:v>
      </x:c>
      <x:c r="H54" s="58" t="str">
        <x:v>Mapped</x:v>
      </x:c>
      <x:c r="I54" s="58" t="str">
        <x:v>web, App\Http\Middleware\EnsureBuffAccount</x:v>
      </x:c>
    </x:row>
    <x:row r="55">
      <x:c r="A55" s="58" t="str">
        <x:v>ROUTE-051</x:v>
      </x:c>
      <x:c r="B55" s="58" t="str">
        <x:v>Route</x:v>
      </x:c>
      <x:c r="C55" s="58" t="str">
        <x:v>POST</x:v>
      </x:c>
      <x:c r="D55" s="58" t="str">
        <x:v>/progress/body-metrics/{bodyMetric}/photos</x:v>
      </x:c>
      <x:c r="E55" s="58" t="str">
        <x:v>App\Http\Controllers\BodyMetricPhotoController@store</x:v>
      </x:c>
      <x:c r="F55" s="58" t="str">
        <x:v>Both</x:v>
      </x:c>
      <x:c r="G55" s="58" t="str">
        <x:v>HLT-018, HLT-021, HLT-022, HLT-023, HLT-026</x:v>
      </x:c>
      <x:c r="H55" s="58" t="str">
        <x:v>Mapped</x:v>
      </x:c>
      <x:c r="I55" s="58" t="str">
        <x:v>web, App\Http\Middleware\EnsureBuffAccount</x:v>
      </x:c>
    </x:row>
    <x:row r="56">
      <x:c r="A56" s="58" t="str">
        <x:v>ROUTE-052</x:v>
      </x:c>
      <x:c r="B56" s="58" t="str">
        <x:v>Route</x:v>
      </x:c>
      <x:c r="C56" s="58" t="str">
        <x:v>GET|HEAD</x:v>
      </x:c>
      <x:c r="D56" s="58" t="str">
        <x:v>/progress/body-metrics/{bodyMetric}/photos</x:v>
      </x:c>
      <x:c r="E56" s="58" t="str">
        <x:v>App\Http\Controllers\BodyMetricPhotoController@index</x:v>
      </x:c>
      <x:c r="F56" s="58" t="str">
        <x:v>Both</x:v>
      </x:c>
      <x:c r="G56" s="58" t="str">
        <x:v>HLT-018, HLT-021, HLT-022, HLT-023, HLT-026</x:v>
      </x:c>
      <x:c r="H56" s="58" t="str">
        <x:v>Mapped</x:v>
      </x:c>
      <x:c r="I56" s="58" t="str">
        <x:v>web, App\Http\Middleware\EnsureBuffAccount</x:v>
      </x:c>
    </x:row>
    <x:row r="57">
      <x:c r="A57" s="58" t="str">
        <x:v>ROUTE-053</x:v>
      </x:c>
      <x:c r="B57" s="58" t="str">
        <x:v>Route</x:v>
      </x:c>
      <x:c r="C57" s="58" t="str">
        <x:v>GET|HEAD</x:v>
      </x:c>
      <x:c r="D57" s="58" t="str">
        <x:v>/progress/body-metrics/{bodyMetric}/photos/pending/{pending}/{index}</x:v>
      </x:c>
      <x:c r="E57" s="58" t="str">
        <x:v>App\Http\Controllers\BodyMetricPhotoController@pending</x:v>
      </x:c>
      <x:c r="F57" s="58" t="str">
        <x:v>Both</x:v>
      </x:c>
      <x:c r="G57" s="58" t="str">
        <x:v>HLT-018, HLT-021, HLT-022, HLT-023, HLT-026</x:v>
      </x:c>
      <x:c r="H57" s="58" t="str">
        <x:v>Mapped</x:v>
      </x:c>
      <x:c r="I57" s="58" t="str">
        <x:v>web, App\Http\Middleware\EnsureBuffAccount</x:v>
      </x:c>
    </x:row>
    <x:row r="58">
      <x:c r="A58" s="58" t="str">
        <x:v>ROUTE-054</x:v>
      </x:c>
      <x:c r="B58" s="58" t="str">
        <x:v>Route</x:v>
      </x:c>
      <x:c r="C58" s="58" t="str">
        <x:v>DELETE</x:v>
      </x:c>
      <x:c r="D58" s="58" t="str">
        <x:v>/progress/body-metrics/{bodyMetric}/photos/{photo}</x:v>
      </x:c>
      <x:c r="E58" s="58" t="str">
        <x:v>App\Http\Controllers\BodyMetricPhotoController@destroy</x:v>
      </x:c>
      <x:c r="F58" s="58" t="str">
        <x:v>Both</x:v>
      </x:c>
      <x:c r="G58" s="58" t="str">
        <x:v>HLT-018, HLT-021, HLT-022, HLT-023, HLT-026</x:v>
      </x:c>
      <x:c r="H58" s="58" t="str">
        <x:v>Mapped</x:v>
      </x:c>
      <x:c r="I58" s="58" t="str">
        <x:v>web, App\Http\Middleware\EnsureBuffAccount</x:v>
      </x:c>
    </x:row>
    <x:row r="59">
      <x:c r="A59" s="58" t="str">
        <x:v>ROUTE-055</x:v>
      </x:c>
      <x:c r="B59" s="58" t="str">
        <x:v>Route</x:v>
      </x:c>
      <x:c r="C59" s="58" t="str">
        <x:v>POST</x:v>
      </x:c>
      <x:c r="D59" s="58" t="str">
        <x:v>/recipes</x:v>
      </x:c>
      <x:c r="E59" s="58" t="str">
        <x:v>App\Http\Controllers\RecipeController@store</x:v>
      </x:c>
      <x:c r="F59" s="58" t="str">
        <x:v>Both</x:v>
      </x:c>
      <x:c r="G59" s="58" t="str">
        <x:v>NUT-046, NUT-048, NUT-049, NUT-053, NUT-055, NUT-056</x:v>
      </x:c>
      <x:c r="H59" s="58" t="str">
        <x:v>Mapped</x:v>
      </x:c>
      <x:c r="I59" s="58" t="str">
        <x:v>web, App\Http\Middleware\EnsureBuffAccount</x:v>
      </x:c>
    </x:row>
    <x:row r="60">
      <x:c r="A60" s="58" t="str">
        <x:v>ROUTE-056</x:v>
      </x:c>
      <x:c r="B60" s="58" t="str">
        <x:v>Route</x:v>
      </x:c>
      <x:c r="C60" s="58" t="str">
        <x:v>PUT</x:v>
      </x:c>
      <x:c r="D60" s="58" t="str">
        <x:v>/recipes/{recipe}</x:v>
      </x:c>
      <x:c r="E60" s="58" t="str">
        <x:v>App\Http\Controllers\RecipeController@update</x:v>
      </x:c>
      <x:c r="F60" s="58" t="str">
        <x:v>Both</x:v>
      </x:c>
      <x:c r="G60" s="58" t="str">
        <x:v>NUT-046, NUT-048, NUT-049, NUT-053, NUT-055, NUT-056</x:v>
      </x:c>
      <x:c r="H60" s="58" t="str">
        <x:v>Mapped</x:v>
      </x:c>
      <x:c r="I60" s="58" t="str">
        <x:v>web, App\Http\Middleware\EnsureBuffAccount</x:v>
      </x:c>
    </x:row>
    <x:row r="61">
      <x:c r="A61" s="58" t="str">
        <x:v>ROUTE-057</x:v>
      </x:c>
      <x:c r="B61" s="58" t="str">
        <x:v>Route</x:v>
      </x:c>
      <x:c r="C61" s="58" t="str">
        <x:v>DELETE</x:v>
      </x:c>
      <x:c r="D61" s="58" t="str">
        <x:v>/recipes/{recipe}</x:v>
      </x:c>
      <x:c r="E61" s="58" t="str">
        <x:v>App\Http\Controllers\RecipeController@destroy</x:v>
      </x:c>
      <x:c r="F61" s="58" t="str">
        <x:v>Both</x:v>
      </x:c>
      <x:c r="G61" s="58" t="str">
        <x:v>NUT-046, NUT-048, NUT-049, NUT-053, NUT-055, NUT-056</x:v>
      </x:c>
      <x:c r="H61" s="58" t="str">
        <x:v>Mapped</x:v>
      </x:c>
      <x:c r="I61" s="58" t="str">
        <x:v>web, App\Http\Middleware\EnsureBuffAccount</x:v>
      </x:c>
    </x:row>
    <x:row r="62">
      <x:c r="A62" s="58" t="str">
        <x:v>ROUTE-058</x:v>
      </x:c>
      <x:c r="B62" s="58" t="str">
        <x:v>Route</x:v>
      </x:c>
      <x:c r="C62" s="58" t="str">
        <x:v>GET|HEAD</x:v>
      </x:c>
      <x:c r="D62" s="58" t="str">
        <x:v>/reset-password</x:v>
      </x:c>
      <x:c r="E62" s="58" t="str">
        <x:v>App\Http\Controllers\AccountController@resetPasswordPage</x:v>
      </x:c>
      <x:c r="F62" s="58" t="str">
        <x:v>Both</x:v>
      </x:c>
      <x:c r="G62" s="58" t="str">
        <x:v>ACC-002, ACC-003, ACC-005, ACC-006, ACC-007, ACC-008, ACC-010, ACC-012, ACC-013, ACC-014, ACC-015, ACC-016, ACC-017, ACC-019, ACC-020, ACC-022, ACC-023, ACC-024</x:v>
      </x:c>
      <x:c r="H62" s="58" t="str">
        <x:v>Mapped</x:v>
      </x:c>
      <x:c r="I62" s="58" t="str">
        <x:v>web</x:v>
      </x:c>
    </x:row>
    <x:row r="63">
      <x:c r="A63" s="58" t="str">
        <x:v>ROUTE-059</x:v>
      </x:c>
      <x:c r="B63" s="58" t="str">
        <x:v>Route</x:v>
      </x:c>
      <x:c r="C63" s="58" t="str">
        <x:v>POST</x:v>
      </x:c>
      <x:c r="D63" s="58" t="str">
        <x:v>/reset-password</x:v>
      </x:c>
      <x:c r="E63" s="58" t="str">
        <x:v>App\Http\Controllers\AccountController@resetPassword</x:v>
      </x:c>
      <x:c r="F63" s="58" t="str">
        <x:v>Both</x:v>
      </x:c>
      <x:c r="G63" s="58" t="str">
        <x:v>ACC-002, ACC-003, ACC-005, ACC-006, ACC-007, ACC-008, ACC-010, ACC-012, ACC-013, ACC-014, ACC-015, ACC-016, ACC-017, ACC-019, ACC-020, ACC-022, ACC-023, ACC-024</x:v>
      </x:c>
      <x:c r="H63" s="58" t="str">
        <x:v>Mapped</x:v>
      </x:c>
      <x:c r="I63" s="58" t="str">
        <x:v>web</x:v>
      </x:c>
    </x:row>
    <x:row r="64">
      <x:c r="A64" s="58" t="str">
        <x:v>ROUTE-060</x:v>
      </x:c>
      <x:c r="B64" s="58" t="str">
        <x:v>Route</x:v>
      </x:c>
      <x:c r="C64" s="58" t="str">
        <x:v>GET|HEAD</x:v>
      </x:c>
      <x:c r="D64" s="58" t="str">
        <x:v>/settings</x:v>
      </x:c>
      <x:c r="E64" s="58" t="str">
        <x:v>App\Http\Controllers\SettingsController@edit</x:v>
      </x:c>
      <x:c r="F64" s="58" t="str">
        <x:v>Both</x:v>
      </x:c>
      <x:c r="G64" s="58" t="str">
        <x:v>ACC-001, ACC-019, ACC-020, ACC-021, ACC-022, ACC-023, ACC-024, ACC-032, ACC-033, ACC-034, ACC-035, ACC-036, ACC-037, ACC-038, ACC-039, ACC-043, ACC-044, ACC-045, ACC-046, ACC-047, ACC-048, ACC-049, ACC-050, ACC-051, ACC-052, ACC-053, ACC-055, ACC-061, ACC-066, ACC-067, ACC-068, HLT-007, HLT-033, HLT-045, HLT-049, HLT-050, HLT-059, HLT-060, HLT-062, HLT-066</x:v>
      </x:c>
      <x:c r="H64" s="58" t="str">
        <x:v>Mapped</x:v>
      </x:c>
      <x:c r="I64" s="58" t="str">
        <x:v>web, App\Http\Middleware\EnsureBuffAccount</x:v>
      </x:c>
    </x:row>
    <x:row r="65">
      <x:c r="A65" s="58" t="str">
        <x:v>ROUTE-061</x:v>
      </x:c>
      <x:c r="B65" s="58" t="str">
        <x:v>Route</x:v>
      </x:c>
      <x:c r="C65" s="58" t="str">
        <x:v>GET|HEAD</x:v>
      </x:c>
      <x:c r="D65" s="58" t="str">
        <x:v>/settings/account</x:v>
      </x:c>
      <x:c r="E65" s="58" t="str">
        <x:v>App\Http\Controllers\SettingsController@account</x:v>
      </x:c>
      <x:c r="F65" s="58" t="str">
        <x:v>Both</x:v>
      </x:c>
      <x:c r="G65" s="58" t="str">
        <x:v>ACC-021, ACC-022, ACC-032, ACC-033, ACC-036, ACC-037, ACC-038, ACC-039, ACC-043, ACC-066, ACC-067, ACC-068, HLT-007, HLT-033, HLT-049</x:v>
      </x:c>
      <x:c r="H65" s="58" t="str">
        <x:v>Mapped</x:v>
      </x:c>
      <x:c r="I65" s="58" t="str">
        <x:v>web, App\Http\Middleware\EnsureBuffAccount</x:v>
      </x:c>
    </x:row>
    <x:row r="66">
      <x:c r="A66" s="58" t="str">
        <x:v>ROUTE-062</x:v>
      </x:c>
      <x:c r="B66" s="58" t="str">
        <x:v>Route</x:v>
      </x:c>
      <x:c r="C66" s="58" t="str">
        <x:v>GET|HEAD</x:v>
      </x:c>
      <x:c r="D66" s="58" t="str">
        <x:v>/settings/appearance</x:v>
      </x:c>
      <x:c r="E66" s="58" t="str">
        <x:v>App\Http\Controllers\SettingsController@appearance</x:v>
      </x:c>
      <x:c r="F66" s="58" t="str">
        <x:v>Both</x:v>
      </x:c>
      <x:c r="G66" s="58" t="str">
        <x:v>ACC-032, ACC-033, ACC-034, ACC-035, ACC-036, ACC-037, ACC-038, ACC-039, ACC-043, ACC-066, ACC-067, ACC-068, HLT-007, HLT-033, HLT-049</x:v>
      </x:c>
      <x:c r="H66" s="58" t="str">
        <x:v>Mapped</x:v>
      </x:c>
      <x:c r="I66" s="58" t="str">
        <x:v>web, App\Http\Middleware\EnsureBuffAccount</x:v>
      </x:c>
    </x:row>
    <x:row r="67">
      <x:c r="A67" s="58" t="str">
        <x:v>ROUTE-063</x:v>
      </x:c>
      <x:c r="B67" s="58" t="str">
        <x:v>Route</x:v>
      </x:c>
      <x:c r="C67" s="58" t="str">
        <x:v>GET|HEAD</x:v>
      </x:c>
      <x:c r="D67" s="58" t="str">
        <x:v>/settings/body-profile</x:v>
      </x:c>
      <x:c r="E67" s="58" t="str">
        <x:v>App\Http\Controllers\SettingsController@bodyProfile</x:v>
      </x:c>
      <x:c r="F67" s="58" t="str">
        <x:v>Both</x:v>
      </x:c>
      <x:c r="G67" s="58" t="str">
        <x:v>ACC-032, ACC-033, ACC-036, ACC-037, ACC-038, ACC-039, ACC-043, ACC-066, ACC-067, ACC-068, HLT-007, HLT-033, HLT-049</x:v>
      </x:c>
      <x:c r="H67" s="58" t="str">
        <x:v>Mapped</x:v>
      </x:c>
      <x:c r="I67" s="58" t="str">
        <x:v>web, App\Http\Middleware\EnsureBuffAccount</x:v>
      </x:c>
    </x:row>
    <x:row r="68">
      <x:c r="A68" s="58" t="str">
        <x:v>ROUTE-064</x:v>
      </x:c>
      <x:c r="B68" s="58" t="str">
        <x:v>Route</x:v>
      </x:c>
      <x:c r="C68" s="58" t="str">
        <x:v>PUT</x:v>
      </x:c>
      <x:c r="D68" s="58" t="str">
        <x:v>/settings/body-profile</x:v>
      </x:c>
      <x:c r="E68" s="58" t="str">
        <x:v>App\Http\Controllers\SettingsController@updateBodyProfile</x:v>
      </x:c>
      <x:c r="F68" s="58" t="str">
        <x:v>Both</x:v>
      </x:c>
      <x:c r="G68" s="58" t="str">
        <x:v>ACC-032, ACC-033, ACC-036, ACC-037, ACC-038, ACC-039, ACC-043, ACC-066, ACC-067, ACC-068, HLT-007, HLT-033, HLT-049</x:v>
      </x:c>
      <x:c r="H68" s="58" t="str">
        <x:v>Mapped</x:v>
      </x:c>
      <x:c r="I68" s="58" t="str">
        <x:v>web, App\Http\Middleware\EnsureBuffAccount</x:v>
      </x:c>
    </x:row>
    <x:row r="69">
      <x:c r="A69" s="58" t="str">
        <x:v>ROUTE-065</x:v>
      </x:c>
      <x:c r="B69" s="58" t="str">
        <x:v>Route</x:v>
      </x:c>
      <x:c r="C69" s="58" t="str">
        <x:v>GET|HEAD</x:v>
      </x:c>
      <x:c r="D69" s="58" t="str">
        <x:v>/settings/connected-assistants</x:v>
      </x:c>
      <x:c r="E69" s="58" t="str">
        <x:v>App\Http\Controllers\SettingsController@connectedAssistants</x:v>
      </x:c>
      <x:c r="F69" s="58" t="str">
        <x:v>Both</x:v>
      </x:c>
      <x:c r="G69" s="58" t="str">
        <x:v>ACC-032, ACC-033, ACC-036, ACC-037, ACC-038, ACC-039, ACC-043, ACC-066, ACC-067, ACC-068, HLT-007, HLT-033, HLT-049</x:v>
      </x:c>
      <x:c r="H69" s="58" t="str">
        <x:v>Mapped</x:v>
      </x:c>
      <x:c r="I69" s="58" t="str">
        <x:v>web, App\Http\Middleware\EnsureBuffAccount</x:v>
      </x:c>
    </x:row>
    <x:row r="70">
      <x:c r="A70" s="58" t="str">
        <x:v>ROUTE-066</x:v>
      </x:c>
      <x:c r="B70" s="58" t="str">
        <x:v>Route</x:v>
      </x:c>
      <x:c r="C70" s="58" t="str">
        <x:v>DELETE</x:v>
      </x:c>
      <x:c r="D70" s="58" t="str">
        <x:v>/settings/connected-assistants/{connection}</x:v>
      </x:c>
      <x:c r="E70" s="58" t="str">
        <x:v>App\Http\Controllers\SettingsController@revokeConnectedAssistant</x:v>
      </x:c>
      <x:c r="F70" s="58" t="str">
        <x:v>Both</x:v>
      </x:c>
      <x:c r="G70" s="58" t="str">
        <x:v>ACC-032, ACC-033, ACC-036, ACC-037, ACC-038, ACC-039, ACC-043, ACC-066, ACC-067, ACC-068, HLT-007, HLT-033, HLT-049</x:v>
      </x:c>
      <x:c r="H70" s="58" t="str">
        <x:v>Mapped</x:v>
      </x:c>
      <x:c r="I70" s="58" t="str">
        <x:v>web, App\Http\Middleware\EnsureBuffAccount</x:v>
      </x:c>
    </x:row>
    <x:row r="71">
      <x:c r="A71" s="58" t="str">
        <x:v>ROUTE-067</x:v>
      </x:c>
      <x:c r="B71" s="58" t="str">
        <x:v>Route</x:v>
      </x:c>
      <x:c r="C71" s="58" t="str">
        <x:v>PUT</x:v>
      </x:c>
      <x:c r="D71" s="58" t="str">
        <x:v>/settings/eat-back</x:v>
      </x:c>
      <x:c r="E71" s="58" t="str">
        <x:v>App\Http\Controllers\SettingsController@updateEatBack</x:v>
      </x:c>
      <x:c r="F71" s="58" t="str">
        <x:v>Both</x:v>
      </x:c>
      <x:c r="G71" s="58" t="str">
        <x:v>ACC-032, ACC-033, ACC-036, ACC-037, ACC-038, ACC-039, ACC-043, ACC-066, ACC-067, ACC-068, HLT-007, HLT-033, HLT-049</x:v>
      </x:c>
      <x:c r="H71" s="58" t="str">
        <x:v>Mapped</x:v>
      </x:c>
      <x:c r="I71" s="58" t="str">
        <x:v>web, App\Http\Middleware\EnsureBuffAccount</x:v>
      </x:c>
    </x:row>
    <x:row r="72">
      <x:c r="A72" s="58" t="str">
        <x:v>ROUTE-068</x:v>
      </x:c>
      <x:c r="B72" s="58" t="str">
        <x:v>Route</x:v>
      </x:c>
      <x:c r="C72" s="58" t="str">
        <x:v>GET|HEAD</x:v>
      </x:c>
      <x:c r="D72" s="58" t="str">
        <x:v>/settings/exercise</x:v>
      </x:c>
      <x:c r="E72" s="58" t="str">
        <x:v>App\Http\Controllers\SettingsController@exercise</x:v>
      </x:c>
      <x:c r="F72" s="58" t="str">
        <x:v>Both</x:v>
      </x:c>
      <x:c r="G72" s="58" t="str">
        <x:v>ACC-032, ACC-033, ACC-036, ACC-037, ACC-038, ACC-039, ACC-043, ACC-066, ACC-067, ACC-068, HLT-007, HLT-033, HLT-045, HLT-049</x:v>
      </x:c>
      <x:c r="H72" s="58" t="str">
        <x:v>Mapped</x:v>
      </x:c>
      <x:c r="I72" s="58" t="str">
        <x:v>web, App\Http\Middleware\EnsureBuffAccount</x:v>
      </x:c>
    </x:row>
    <x:row r="73">
      <x:c r="A73" s="58" t="str">
        <x:v>ROUTE-069</x:v>
      </x:c>
      <x:c r="B73" s="58" t="str">
        <x:v>Route</x:v>
      </x:c>
      <x:c r="C73" s="58" t="str">
        <x:v>GET|HEAD</x:v>
      </x:c>
      <x:c r="D73" s="58" t="str">
        <x:v>/settings/health</x:v>
      </x:c>
      <x:c r="E73" s="58" t="str">
        <x:v>App\Http\Controllers\SettingsController@health</x:v>
      </x:c>
      <x:c r="F73" s="58" t="str">
        <x:v>Both</x:v>
      </x:c>
      <x:c r="G73" s="58" t="str">
        <x:v>ACC-032, ACC-033, ACC-036, ACC-037, ACC-038, ACC-039, ACC-043, ACC-044, ACC-045, ACC-046, ACC-047, ACC-048, ACC-066, ACC-067, ACC-068, HLT-007, HLT-033, HLT-049, HLT-050, HLT-059, HLT-060, HLT-062, HLT-066</x:v>
      </x:c>
      <x:c r="H73" s="58" t="str">
        <x:v>Mapped</x:v>
      </x:c>
      <x:c r="I73" s="58" t="str">
        <x:v>web, App\Http\Middleware\EnsureBuffAccount</x:v>
      </x:c>
    </x:row>
    <x:row r="74">
      <x:c r="A74" s="58" t="str">
        <x:v>ROUTE-070</x:v>
      </x:c>
      <x:c r="B74" s="58" t="str">
        <x:v>Route</x:v>
      </x:c>
      <x:c r="C74" s="58" t="str">
        <x:v>PUT</x:v>
      </x:c>
      <x:c r="D74" s="58" t="str">
        <x:v>/settings/meal-reminders</x:v>
      </x:c>
      <x:c r="E74" s="58" t="str">
        <x:v>App\Http\Controllers\SettingsController@updateMealReminders</x:v>
      </x:c>
      <x:c r="F74" s="58" t="str">
        <x:v>Both</x:v>
      </x:c>
      <x:c r="G74" s="58" t="str">
        <x:v>ACC-032, ACC-033, ACC-036, ACC-037, ACC-038, ACC-039, ACC-043, ACC-066, ACC-067, ACC-068, HLT-007, HLT-033, HLT-049</x:v>
      </x:c>
      <x:c r="H74" s="58" t="str">
        <x:v>Mapped</x:v>
      </x:c>
      <x:c r="I74" s="58" t="str">
        <x:v>web, App\Http\Middleware\EnsureBuffAccount</x:v>
      </x:c>
    </x:row>
    <x:row r="75">
      <x:c r="A75" s="58" t="str">
        <x:v>ROUTE-071</x:v>
      </x:c>
      <x:c r="B75" s="58" t="str">
        <x:v>Route</x:v>
      </x:c>
      <x:c r="C75" s="58" t="str">
        <x:v>GET|HEAD</x:v>
      </x:c>
      <x:c r="D75" s="58" t="str">
        <x:v>/settings/password</x:v>
      </x:c>
      <x:c r="E75" s="58" t="str">
        <x:v>App\Http\Controllers\SettingsController@password</x:v>
      </x:c>
      <x:c r="F75" s="58" t="str">
        <x:v>Both</x:v>
      </x:c>
      <x:c r="G75" s="58" t="str">
        <x:v>ACC-023, ACC-032, ACC-033, ACC-036, ACC-037, ACC-038, ACC-039, ACC-043, ACC-066, ACC-067, ACC-068, HLT-007, HLT-033, HLT-049</x:v>
      </x:c>
      <x:c r="H75" s="58" t="str">
        <x:v>Mapped</x:v>
      </x:c>
      <x:c r="I75" s="58" t="str">
        <x:v>web, App\Http\Middleware\EnsureBuffAccount</x:v>
      </x:c>
    </x:row>
    <x:row r="76">
      <x:c r="A76" s="58" t="str">
        <x:v>ROUTE-072</x:v>
      </x:c>
      <x:c r="B76" s="58" t="str">
        <x:v>Route</x:v>
      </x:c>
      <x:c r="C76" s="58" t="str">
        <x:v>GET|HEAD</x:v>
      </x:c>
      <x:c r="D76" s="58" t="str">
        <x:v>/settings/reminders</x:v>
      </x:c>
      <x:c r="E76" s="58" t="str">
        <x:v>App\Http\Controllers\SettingsController@reminders</x:v>
      </x:c>
      <x:c r="F76" s="58" t="str">
        <x:v>Both</x:v>
      </x:c>
      <x:c r="G76" s="58" t="str">
        <x:v>ACC-032, ACC-033, ACC-036, ACC-037, ACC-038, ACC-039, ACC-043, ACC-066, ACC-067, ACC-068, HLT-007, HLT-033, HLT-049</x:v>
      </x:c>
      <x:c r="H76" s="58" t="str">
        <x:v>Mapped</x:v>
      </x:c>
      <x:c r="I76" s="58" t="str">
        <x:v>web, App\Http\Middleware\EnsureBuffAccount</x:v>
      </x:c>
    </x:row>
    <x:row r="77">
      <x:c r="A77" s="58" t="str">
        <x:v>ROUTE-073</x:v>
      </x:c>
      <x:c r="B77" s="58" t="str">
        <x:v>Route</x:v>
      </x:c>
      <x:c r="C77" s="58" t="str">
        <x:v>GET|HEAD</x:v>
      </x:c>
      <x:c r="D77" s="58" t="str">
        <x:v>/settings/subscription</x:v>
      </x:c>
      <x:c r="E77" s="58" t="str">
        <x:v>App\Http\Controllers\SettingsController@subscription</x:v>
      </x:c>
      <x:c r="F77" s="58" t="str">
        <x:v>Both</x:v>
      </x:c>
      <x:c r="G77" s="58" t="str">
        <x:v>ACC-032, ACC-033, ACC-036, ACC-037, ACC-038, ACC-039, ACC-043, ACC-049, ACC-050, ACC-051, ACC-052, ACC-053, ACC-055, ACC-066, ACC-067, ACC-068, HLT-007, HLT-033, HLT-049</x:v>
      </x:c>
      <x:c r="H77" s="58" t="str">
        <x:v>Mapped</x:v>
      </x:c>
      <x:c r="I77" s="58" t="str">
        <x:v>web, App\Http\Middleware\EnsureBuffAccount</x:v>
      </x:c>
    </x:row>
    <x:row r="78">
      <x:c r="A78" s="58" t="str">
        <x:v>ROUTE-074</x:v>
      </x:c>
      <x:c r="B78" s="58" t="str">
        <x:v>Route</x:v>
      </x:c>
      <x:c r="C78" s="58" t="str">
        <x:v>GET|HEAD</x:v>
      </x:c>
      <x:c r="D78" s="58" t="str">
        <x:v>/settings/units</x:v>
      </x:c>
      <x:c r="E78" s="58" t="str">
        <x:v>App\Http\Controllers\SettingsController@units</x:v>
      </x:c>
      <x:c r="F78" s="58" t="str">
        <x:v>Both</x:v>
      </x:c>
      <x:c r="G78" s="58" t="str">
        <x:v>ACC-032, ACC-033, ACC-036, ACC-037, ACC-038, ACC-039, ACC-043, ACC-066, ACC-067, ACC-068, HLT-007, HLT-033, HLT-049</x:v>
      </x:c>
      <x:c r="H78" s="58" t="str">
        <x:v>Mapped</x:v>
      </x:c>
      <x:c r="I78" s="58" t="str">
        <x:v>web, App\Http\Middleware\EnsureBuffAccount</x:v>
      </x:c>
    </x:row>
    <x:row r="79">
      <x:c r="A79" s="58" t="str">
        <x:v>ROUTE-075</x:v>
      </x:c>
      <x:c r="B79" s="58" t="str">
        <x:v>Route</x:v>
      </x:c>
      <x:c r="C79" s="58" t="str">
        <x:v>PUT</x:v>
      </x:c>
      <x:c r="D79" s="58" t="str">
        <x:v>/settings/units</x:v>
      </x:c>
      <x:c r="E79" s="58" t="str">
        <x:v>App\Http\Controllers\SettingsController@updateUnits</x:v>
      </x:c>
      <x:c r="F79" s="58" t="str">
        <x:v>Both</x:v>
      </x:c>
      <x:c r="G79" s="58" t="str">
        <x:v>ACC-032, ACC-033, ACC-036, ACC-037, ACC-038, ACC-039, ACC-043, ACC-066, ACC-067, ACC-068, HLT-007, HLT-033, HLT-049</x:v>
      </x:c>
      <x:c r="H79" s="58" t="str">
        <x:v>Mapped</x:v>
      </x:c>
      <x:c r="I79" s="58" t="str">
        <x:v>web, App\Http\Middleware\EnsureBuffAccount</x:v>
      </x:c>
    </x:row>
    <x:row r="80">
      <x:c r="A80" s="58" t="str">
        <x:v>ROUTE-076</x:v>
      </x:c>
      <x:c r="B80" s="58" t="str">
        <x:v>Route</x:v>
      </x:c>
      <x:c r="C80" s="58" t="str">
        <x:v>POST</x:v>
      </x:c>
      <x:c r="D80" s="58" t="str">
        <x:v>/subscription/refresh</x:v>
      </x:c>
      <x:c r="E80" s="58" t="str">
        <x:v>App\Http\Controllers\SubscriptionController@store</x:v>
      </x:c>
      <x:c r="F80" s="58" t="str">
        <x:v>Both</x:v>
      </x:c>
      <x:c r="G80" s="58" t="str">
        <x:v>ACC-049, ACC-053</x:v>
      </x:c>
      <x:c r="H80" s="58" t="str">
        <x:v>Mapped</x:v>
      </x:c>
      <x:c r="I80" s="58" t="str">
        <x:v>web, App\Http\Middleware\EnsureBuffAccount</x:v>
      </x:c>
    </x:row>
    <x:row r="81">
      <x:c r="A81" s="58" t="str">
        <x:v>ROUTE-077</x:v>
      </x:c>
      <x:c r="B81" s="58" t="str">
        <x:v>Route</x:v>
      </x:c>
      <x:c r="C81" s="58" t="str">
        <x:v>POST</x:v>
      </x:c>
      <x:c r="D81" s="58" t="str">
        <x:v>/sync</x:v>
      </x:c>
      <x:c r="E81" s="58" t="str">
        <x:v>App\Http\Controllers\SyncController@store</x:v>
      </x:c>
      <x:c r="F81" s="58" t="str">
        <x:v>Both</x:v>
      </x:c>
      <x:c r="G81" s="58" t="str">
        <x:v>ACC-070, ACC-071, ACC-072, ACC-073, ACC-074, ACC-075, HLT-012, HLT-013, HLT-014, HLT-032, HLT-047, HLT-058, HLT-067, NUT-019, NUT-057, NUT-087, NUT-108, NUT-109, NUT-110, NUT-111</x:v>
      </x:c>
      <x:c r="H81" s="58" t="str">
        <x:v>Mapped</x:v>
      </x:c>
      <x:c r="I81" s="58" t="str">
        <x:v>web, App\Http\Middleware\EnsureBuffAccount</x:v>
      </x:c>
    </x:row>
    <x:row r="82">
      <x:c r="A82" s="58" t="str">
        <x:v>ROUTE-078</x:v>
      </x:c>
      <x:c r="B82" s="58" t="str">
        <x:v>Route</x:v>
      </x:c>
      <x:c r="C82" s="58" t="str">
        <x:v>POST</x:v>
      </x:c>
      <x:c r="D82" s="58" t="str">
        <x:v>/sync/resume</x:v>
      </x:c>
      <x:c r="E82" s="58" t="str">
        <x:v>App\Http\Controllers\SyncController@resume</x:v>
      </x:c>
      <x:c r="F82" s="58" t="str">
        <x:v>Both</x:v>
      </x:c>
      <x:c r="G82" s="58" t="str">
        <x:v>ACC-071, ACC-075, NUT-109</x:v>
      </x:c>
      <x:c r="H82" s="58" t="str">
        <x:v>Mapped</x:v>
      </x:c>
      <x:c r="I82" s="58" t="str">
        <x:v>web, App\Http\Middleware\EnsureBuffAccount</x:v>
      </x:c>
    </x:row>
    <x:row r="83">
      <x:c r="A83" s="58" t="str">
        <x:v>ROUTE-079</x:v>
      </x:c>
      <x:c r="B83" s="58" t="str">
        <x:v>Route</x:v>
      </x:c>
      <x:c r="C83" s="58" t="str">
        <x:v>GET|HEAD</x:v>
      </x:c>
      <x:c r="D83" s="58" t="str">
        <x:v>/weekly</x:v>
      </x:c>
      <x:c r="E83" s="58" t="str">
        <x:v>App\Http\Controllers\WeeklySummaryController</x:v>
      </x:c>
      <x:c r="F83" s="58" t="str">
        <x:v>Both</x:v>
      </x:c>
      <x:c r="G83" s="58" t="str">
        <x:v>NUT-096, NUT-097, NUT-098, NUT-099, NUT-100, NUT-101, NUT-102, NUT-103, NUT-106, NUT-107</x:v>
      </x:c>
      <x:c r="H83" s="58" t="str">
        <x:v>Mapped</x:v>
      </x:c>
      <x:c r="I83" s="58" t="str">
        <x:v>web, App\Http\Middleware\EnsureBuffAccount</x:v>
      </x:c>
    </x:row>
    <x:row r="84">
      <x:c r="A84" s="58" t="str">
        <x:v>ROUTE-080</x:v>
      </x:c>
      <x:c r="B84" s="58" t="str">
        <x:v>Route</x:v>
      </x:c>
      <x:c r="C84" s="58" t="str">
        <x:v>POST</x:v>
      </x:c>
      <x:c r="D84" s="58" t="str">
        <x:v>/workouts</x:v>
      </x:c>
      <x:c r="E84" s="58" t="str">
        <x:v>App\Http\Controllers\WorkoutController@store</x:v>
      </x:c>
      <x:c r="F84" s="58" t="str">
        <x:v>Both</x:v>
      </x:c>
      <x:c r="G84" s="58" t="str">
        <x:v>HLT-040, HLT-042, HLT-043, HLT-044, HLT-046, HLT-065, NUT-106</x:v>
      </x:c>
      <x:c r="H84" s="58" t="str">
        <x:v>Mapped</x:v>
      </x:c>
      <x:c r="I84" s="58" t="str">
        <x:v>web, App\Http\Middleware\EnsureBuffAccount</x:v>
      </x:c>
    </x:row>
    <x:row r="85">
      <x:c r="A85" s="58" t="str">
        <x:v>ROUTE-081</x:v>
      </x:c>
      <x:c r="B85" s="58" t="str">
        <x:v>Route</x:v>
      </x:c>
      <x:c r="C85" s="58" t="str">
        <x:v>PUT</x:v>
      </x:c>
      <x:c r="D85" s="58" t="str">
        <x:v>/workouts/{workoutEntry}</x:v>
      </x:c>
      <x:c r="E85" s="58" t="str">
        <x:v>App\Http\Controllers\WorkoutController@update</x:v>
      </x:c>
      <x:c r="F85" s="58" t="str">
        <x:v>Both</x:v>
      </x:c>
      <x:c r="G85" s="58" t="str">
        <x:v>HLT-040, HLT-042, HLT-043, HLT-044, HLT-046, HLT-065, NUT-106</x:v>
      </x:c>
      <x:c r="H85" s="58" t="str">
        <x:v>Mapped</x:v>
      </x:c>
      <x:c r="I85" s="58" t="str">
        <x:v>web, App\Http\Middleware\EnsureBuffAccount</x:v>
      </x:c>
    </x:row>
    <x:row r="86">
      <x:c r="A86" s="58" t="str">
        <x:v>ROUTE-082</x:v>
      </x:c>
      <x:c r="B86" s="58" t="str">
        <x:v>Route</x:v>
      </x:c>
      <x:c r="C86" s="58" t="str">
        <x:v>DELETE</x:v>
      </x:c>
      <x:c r="D86" s="58" t="str">
        <x:v>/workouts/{workoutEntry}</x:v>
      </x:c>
      <x:c r="E86" s="58" t="str">
        <x:v>App\Http\Controllers\WorkoutController@destroy</x:v>
      </x:c>
      <x:c r="F86" s="58" t="str">
        <x:v>Both</x:v>
      </x:c>
      <x:c r="G86" s="58" t="str">
        <x:v>HLT-040, HLT-042, HLT-043, HLT-044, HLT-046, HLT-065, NUT-106</x:v>
      </x:c>
      <x:c r="H86" s="58" t="str">
        <x:v>Mapped</x:v>
      </x:c>
      <x:c r="I86" s="58" t="str">
        <x:v>web, App\Http\Middleware\EnsureBuffAccount</x:v>
      </x:c>
    </x:row>
    <x:row r="87">
      <x:c r="A87" s="58" t="str">
        <x:v>PAGE-001</x:v>
      </x:c>
      <x:c r="B87" s="58" t="str">
        <x:v>Inertia Page</x:v>
      </x:c>
      <x:c r="C87" s="58" t="str">
        <x:v>Account</x:v>
      </x:c>
      <x:c r="D87" s="58" t="str">
        <x:v>Account.vue</x:v>
      </x:c>
      <x:c r="E87" s="58" t="str">
        <x:v>/Users/mason/Sites/Buff/resources/js/Pages/Account.vue</x:v>
      </x:c>
      <x:c r="F87" s="58" t="str">
        <x:v>Both</x:v>
      </x:c>
      <x:c r="G87" s="58" t="str">
        <x:v>ACC-004, ACC-006, ACC-008, ACC-010, ACC-013, ACC-014, ACC-016, ACC-017, ACC-018, ACC-020, ACC-021, ACC-022, ACC-025, ACC-056, ACC-077</x:v>
      </x:c>
      <x:c r="H87" s="58" t="str">
        <x:v>Mapped</x:v>
      </x:c>
      <x:c r="I87" s="58" t="str">
        <x:v>User-facing screen reviewed with its controller, components, and tests.</x:v>
      </x:c>
    </x:row>
    <x:row r="88">
      <x:c r="A88" s="58" t="str">
        <x:v>PAGE-002</x:v>
      </x:c>
      <x:c r="B88" s="58" t="str">
        <x:v>Inertia Page</x:v>
      </x:c>
      <x:c r="C88" s="58" t="str">
        <x:v>Add</x:v>
      </x:c>
      <x:c r="D88" s="58" t="str">
        <x:v>Add.vue</x:v>
      </x:c>
      <x:c r="E88" s="58" t="str">
        <x:v>/Users/mason/Sites/Buff/resources/js/Pages/Add.vue</x:v>
      </x:c>
      <x:c r="F88" s="58" t="str">
        <x:v>Both</x:v>
      </x:c>
      <x:c r="G88" s="58" t="str">
        <x:v>HLT-040, NUT-016, NUT-017, NUT-018, NUT-020, NUT-021, NUT-022, NUT-025, NUT-026, NUT-027, NUT-028, NUT-029, NUT-030, NUT-031, NUT-032, NUT-035, NUT-038, NUT-039, NUT-040, NUT-041, NUT-043, NUT-058, NUT-059, NUT-060, NUT-061, NUT-062, NUT-063, NUT-065, NUT-066, NUT-068, NUT-069, NUT-070, NUT-071, NUT-072, NUT-073, NUT-074, NUT-088</x:v>
      </x:c>
      <x:c r="H88" s="58" t="str">
        <x:v>Mapped</x:v>
      </x:c>
      <x:c r="I88" s="58" t="str">
        <x:v>User-facing screen reviewed with its controller, components, and tests.</x:v>
      </x:c>
    </x:row>
    <x:row r="89">
      <x:c r="A89" s="58" t="str">
        <x:v>PAGE-003</x:v>
      </x:c>
      <x:c r="B89" s="58" t="str">
        <x:v>Inertia Page</x:v>
      </x:c>
      <x:c r="C89" s="58" t="str">
        <x:v>Goals</x:v>
      </x:c>
      <x:c r="D89" s="58" t="str">
        <x:v>Goals.vue</x:v>
      </x:c>
      <x:c r="E89" s="58" t="str">
        <x:v>/Users/mason/Sites/Buff/resources/js/Pages/Goals.vue</x:v>
      </x:c>
      <x:c r="F89" s="58" t="str">
        <x:v>Both</x:v>
      </x:c>
      <x:c r="G89" s="58" t="str">
        <x:v>HLT-028, HLT-031</x:v>
      </x:c>
      <x:c r="H89" s="58" t="str">
        <x:v>Mapped</x:v>
      </x:c>
      <x:c r="I89" s="58" t="str">
        <x:v>User-facing screen reviewed with its controller, components, and tests.</x:v>
      </x:c>
    </x:row>
    <x:row r="90">
      <x:c r="A90" s="58" t="str">
        <x:v>PAGE-004</x:v>
      </x:c>
      <x:c r="B90" s="58" t="str">
        <x:v>Inertia Page</x:v>
      </x:c>
      <x:c r="C90" s="58" t="str">
        <x:v>MacroBreakdown</x:v>
      </x:c>
      <x:c r="D90" s="58" t="str">
        <x:v>MacroBreakdown.vue</x:v>
      </x:c>
      <x:c r="E90" s="58" t="str">
        <x:v>/Users/mason/Sites/Buff/resources/js/Pages/MacroBreakdown.vue</x:v>
      </x:c>
      <x:c r="F90" s="58" t="str">
        <x:v>Both</x:v>
      </x:c>
      <x:c r="G90" s="58" t="str">
        <x:v>NUT-091, NUT-092, NUT-093, NUT-094</x:v>
      </x:c>
      <x:c r="H90" s="58" t="str">
        <x:v>Mapped</x:v>
      </x:c>
      <x:c r="I90" s="58" t="str">
        <x:v>User-facing screen reviewed with its controller, components, and tests.</x:v>
      </x:c>
    </x:row>
    <x:row r="91">
      <x:c r="A91" s="58" t="str">
        <x:v>PAGE-005</x:v>
      </x:c>
      <x:c r="B91" s="58" t="str">
        <x:v>Inertia Page</x:v>
      </x:c>
      <x:c r="C91" s="58" t="str">
        <x:v>McpApproval</x:v>
      </x:c>
      <x:c r="D91" s="58" t="str">
        <x:v>McpApproval.vue</x:v>
      </x:c>
      <x:c r="E91" s="58" t="str">
        <x:v>/Users/mason/Sites/Buff/resources/js/Pages/McpApproval.vue</x:v>
      </x:c>
      <x:c r="F91" s="58" t="str">
        <x:v>Both</x:v>
      </x:c>
      <x:c r="G91" s="58" t="str">
        <x:v>ACC-064, ACC-065</x:v>
      </x:c>
      <x:c r="H91" s="58" t="str">
        <x:v>Mapped</x:v>
      </x:c>
      <x:c r="I91" s="58" t="str">
        <x:v>User-facing screen reviewed with its controller, components, and tests.</x:v>
      </x:c>
    </x:row>
    <x:row r="92">
      <x:c r="A92" s="58" t="str">
        <x:v>PAGE-006</x:v>
      </x:c>
      <x:c r="B92" s="58" t="str">
        <x:v>Inertia Page</x:v>
      </x:c>
      <x:c r="C92" s="58" t="str">
        <x:v>Onboarding</x:v>
      </x:c>
      <x:c r="D92" s="58" t="str">
        <x:v>Onboarding.vue</x:v>
      </x:c>
      <x:c r="E92" s="58" t="str">
        <x:v>/Users/mason/Sites/Buff/resources/js/Pages/Onboarding.vue</x:v>
      </x:c>
      <x:c r="F92" s="58" t="str">
        <x:v>Both</x:v>
      </x:c>
      <x:c r="G92" s="58" t="str">
        <x:v>ACC-025, ACC-026, ACC-027, ACC-029, ACC-030, ACC-031, ACC-056, ACC-077, HLT-035, HLT-036, HLT-037, HLT-038</x:v>
      </x:c>
      <x:c r="H92" s="58" t="str">
        <x:v>Mapped</x:v>
      </x:c>
      <x:c r="I92" s="58" t="str">
        <x:v>User-facing screen reviewed with its controller, components, and tests.</x:v>
      </x:c>
    </x:row>
    <x:row r="93">
      <x:c r="A93" s="58" t="str">
        <x:v>PAGE-007</x:v>
      </x:c>
      <x:c r="B93" s="58" t="str">
        <x:v>Inertia Page</x:v>
      </x:c>
      <x:c r="C93" s="58" t="str">
        <x:v>Progress</x:v>
      </x:c>
      <x:c r="D93" s="58" t="str">
        <x:v>Progress.vue</x:v>
      </x:c>
      <x:c r="E93" s="58" t="str">
        <x:v>/Users/mason/Sites/Buff/resources/js/Pages/Progress.vue</x:v>
      </x:c>
      <x:c r="F93" s="58" t="str">
        <x:v>Both</x:v>
      </x:c>
      <x:c r="G93" s="58" t="str">
        <x:v>HLT-001, HLT-002, HLT-003, HLT-004, HLT-005, HLT-010, HLT-011, HLT-012, HLT-015, HLT-016, HLT-017, HLT-018, HLT-019, HLT-020, HLT-022, HLT-025, HLT-027, HLT-031</x:v>
      </x:c>
      <x:c r="H93" s="58" t="str">
        <x:v>Mapped</x:v>
      </x:c>
      <x:c r="I93" s="58" t="str">
        <x:v>User-facing screen reviewed with its controller, components, and tests.</x:v>
      </x:c>
    </x:row>
    <x:row r="94">
      <x:c r="A94" s="58" t="str">
        <x:v>PAGE-008</x:v>
      </x:c>
      <x:c r="B94" s="58" t="str">
        <x:v>Inertia Page</x:v>
      </x:c>
      <x:c r="C94" s="58" t="str">
        <x:v>Settings</x:v>
      </x:c>
      <x:c r="D94" s="58" t="str">
        <x:v>Settings.vue</x:v>
      </x:c>
      <x:c r="E94" s="58" t="str">
        <x:v>/Users/mason/Sites/Buff/resources/js/Pages/Settings.vue</x:v>
      </x:c>
      <x:c r="F94" s="58" t="str">
        <x:v>Both</x:v>
      </x:c>
      <x:c r="G94" s="58" t="str">
        <x:v>ACC-018, ACC-020, ACC-024, ACC-032, ACC-061</x:v>
      </x:c>
      <x:c r="H94" s="58" t="str">
        <x:v>Mapped</x:v>
      </x:c>
      <x:c r="I94" s="58" t="str">
        <x:v>User-facing screen reviewed with its controller, components, and tests.</x:v>
      </x:c>
    </x:row>
    <x:row r="95">
      <x:c r="A95" s="58" t="str">
        <x:v>PAGE-009</x:v>
      </x:c>
      <x:c r="B95" s="58" t="str">
        <x:v>Inertia Page</x:v>
      </x:c>
      <x:c r="C95" s="58" t="str">
        <x:v>Account</x:v>
      </x:c>
      <x:c r="D95" s="58" t="str">
        <x:v>Settings/Account.vue</x:v>
      </x:c>
      <x:c r="E95" s="58" t="str">
        <x:v>/Users/mason/Sites/Buff/resources/js/Pages/Settings/Account.vue</x:v>
      </x:c>
      <x:c r="F95" s="58" t="str">
        <x:v>Both</x:v>
      </x:c>
      <x:c r="G95" s="58" t="str">
        <x:v>ACC-004, ACC-006, ACC-008, ACC-010, ACC-013, ACC-014, ACC-016, ACC-017, ACC-018, ACC-020, ACC-021, ACC-022, ACC-025, ACC-056, ACC-077</x:v>
      </x:c>
      <x:c r="H95" s="58" t="str">
        <x:v>Mapped</x:v>
      </x:c>
      <x:c r="I95" s="58" t="str">
        <x:v>User-facing screen reviewed with its controller, components, and tests.</x:v>
      </x:c>
    </x:row>
    <x:row r="96">
      <x:c r="A96" s="58" t="str">
        <x:v>PAGE-010</x:v>
      </x:c>
      <x:c r="B96" s="58" t="str">
        <x:v>Inertia Page</x:v>
      </x:c>
      <x:c r="C96" s="58" t="str">
        <x:v>Appearance</x:v>
      </x:c>
      <x:c r="D96" s="58" t="str">
        <x:v>Settings/Appearance.vue</x:v>
      </x:c>
      <x:c r="E96" s="58" t="str">
        <x:v>/Users/mason/Sites/Buff/resources/js/Pages/Settings/Appearance.vue</x:v>
      </x:c>
      <x:c r="F96" s="58" t="str">
        <x:v>Both</x:v>
      </x:c>
      <x:c r="G96" s="58" t="str">
        <x:v>ACC-034, ACC-035</x:v>
      </x:c>
      <x:c r="H96" s="58" t="str">
        <x:v>Mapped</x:v>
      </x:c>
      <x:c r="I96" s="58" t="str">
        <x:v>User-facing screen reviewed with its controller, components, and tests.</x:v>
      </x:c>
    </x:row>
    <x:row r="97">
      <x:c r="A97" s="58" t="str">
        <x:v>PAGE-011</x:v>
      </x:c>
      <x:c r="B97" s="58" t="str">
        <x:v>Inertia Page</x:v>
      </x:c>
      <x:c r="C97" s="58" t="str">
        <x:v>BodyProfile</x:v>
      </x:c>
      <x:c r="D97" s="58" t="str">
        <x:v>Settings/BodyProfile.vue</x:v>
      </x:c>
      <x:c r="E97" s="58" t="str">
        <x:v>/Users/mason/Sites/Buff/resources/js/Pages/Settings/BodyProfile.vue</x:v>
      </x:c>
      <x:c r="F97" s="58" t="str">
        <x:v>Both</x:v>
      </x:c>
      <x:c r="G97" s="58" t="str">
        <x:v>ACC-036, HLT-033</x:v>
      </x:c>
      <x:c r="H97" s="58" t="str">
        <x:v>Mapped</x:v>
      </x:c>
      <x:c r="I97" s="58" t="str">
        <x:v>User-facing screen reviewed with its controller, components, and tests.</x:v>
      </x:c>
    </x:row>
    <x:row r="98">
      <x:c r="A98" s="58" t="str">
        <x:v>PAGE-012</x:v>
      </x:c>
      <x:c r="B98" s="58" t="str">
        <x:v>Inertia Page</x:v>
      </x:c>
      <x:c r="C98" s="58" t="str">
        <x:v>ConnectedAssistants</x:v>
      </x:c>
      <x:c r="D98" s="58" t="str">
        <x:v>Settings/ConnectedAssistants.vue</x:v>
      </x:c>
      <x:c r="E98" s="58" t="str">
        <x:v>/Users/mason/Sites/Buff/resources/js/Pages/Settings/ConnectedAssistants.vue</x:v>
      </x:c>
      <x:c r="F98" s="58" t="str">
        <x:v>Both</x:v>
      </x:c>
      <x:c r="G98" s="58" t="str">
        <x:v>ACC-066, ACC-067, ACC-068</x:v>
      </x:c>
      <x:c r="H98" s="58" t="str">
        <x:v>Mapped</x:v>
      </x:c>
      <x:c r="I98" s="58" t="str">
        <x:v>User-facing screen reviewed with its controller, components, and tests.</x:v>
      </x:c>
    </x:row>
    <x:row r="99">
      <x:c r="A99" s="58" t="str">
        <x:v>PAGE-013</x:v>
      </x:c>
      <x:c r="B99" s="58" t="str">
        <x:v>Inertia Page</x:v>
      </x:c>
      <x:c r="C99" s="58" t="str">
        <x:v>Exercise</x:v>
      </x:c>
      <x:c r="D99" s="58" t="str">
        <x:v>Settings/Exercise.vue</x:v>
      </x:c>
      <x:c r="E99" s="58" t="str">
        <x:v>/Users/mason/Sites/Buff/resources/js/Pages/Settings/Exercise.vue</x:v>
      </x:c>
      <x:c r="F99" s="58" t="str">
        <x:v>Both</x:v>
      </x:c>
      <x:c r="G99" s="58" t="str">
        <x:v>ACC-037, HLT-045</x:v>
      </x:c>
      <x:c r="H99" s="58" t="str">
        <x:v>Mapped</x:v>
      </x:c>
      <x:c r="I99" s="58" t="str">
        <x:v>User-facing screen reviewed with its controller, components, and tests.</x:v>
      </x:c>
    </x:row>
    <x:row r="100">
      <x:c r="A100" s="58" t="str">
        <x:v>PAGE-014</x:v>
      </x:c>
      <x:c r="B100" s="58" t="str">
        <x:v>Inertia Page</x:v>
      </x:c>
      <x:c r="C100" s="58" t="str">
        <x:v>Health</x:v>
      </x:c>
      <x:c r="D100" s="58" t="str">
        <x:v>Settings/Health.vue</x:v>
      </x:c>
      <x:c r="E100" s="58" t="str">
        <x:v>/Users/mason/Sites/Buff/resources/js/Pages/Settings/Health.vue</x:v>
      </x:c>
      <x:c r="F100" s="58" t="str">
        <x:v>Both</x:v>
      </x:c>
      <x:c r="G100" s="58" t="str">
        <x:v>ACC-043, ACC-044, ACC-046, ACC-048, HLT-050, HLT-059, HLT-060, HLT-062, HLT-066</x:v>
      </x:c>
      <x:c r="H100" s="58" t="str">
        <x:v>Mapped</x:v>
      </x:c>
      <x:c r="I100" s="58" t="str">
        <x:v>User-facing screen reviewed with its controller, components, and tests.</x:v>
      </x:c>
    </x:row>
    <x:row r="101">
      <x:c r="A101" s="58" t="str">
        <x:v>PAGE-015</x:v>
      </x:c>
      <x:c r="B101" s="58" t="str">
        <x:v>Inertia Page</x:v>
      </x:c>
      <x:c r="C101" s="58" t="str">
        <x:v>Password</x:v>
      </x:c>
      <x:c r="D101" s="58" t="str">
        <x:v>Settings/Password.vue</x:v>
      </x:c>
      <x:c r="E101" s="58" t="str">
        <x:v>/Users/mason/Sites/Buff/resources/js/Pages/Settings/Password.vue</x:v>
      </x:c>
      <x:c r="F101" s="58" t="str">
        <x:v>Both</x:v>
      </x:c>
      <x:c r="G101" s="58" t="str">
        <x:v>ACC-018, ACC-023</x:v>
      </x:c>
      <x:c r="H101" s="58" t="str">
        <x:v>Mapped</x:v>
      </x:c>
      <x:c r="I101" s="58" t="str">
        <x:v>User-facing screen reviewed with its controller, components, and tests.</x:v>
      </x:c>
    </x:row>
    <x:row r="102">
      <x:c r="A102" s="58" t="str">
        <x:v>PAGE-016</x:v>
      </x:c>
      <x:c r="B102" s="58" t="str">
        <x:v>Inertia Page</x:v>
      </x:c>
      <x:c r="C102" s="58" t="str">
        <x:v>Reminders</x:v>
      </x:c>
      <x:c r="D102" s="58" t="str">
        <x:v>Settings/Reminders.vue</x:v>
      </x:c>
      <x:c r="E102" s="58" t="str">
        <x:v>/Users/mason/Sites/Buff/resources/js/Pages/Settings/Reminders.vue</x:v>
      </x:c>
      <x:c r="F102" s="58" t="str">
        <x:v>Both</x:v>
      </x:c>
      <x:c r="G102" s="58" t="str">
        <x:v>ACC-038</x:v>
      </x:c>
      <x:c r="H102" s="58" t="str">
        <x:v>Mapped</x:v>
      </x:c>
      <x:c r="I102" s="58" t="str">
        <x:v>User-facing screen reviewed with its controller, components, and tests.</x:v>
      </x:c>
    </x:row>
    <x:row r="103">
      <x:c r="A103" s="58" t="str">
        <x:v>PAGE-017</x:v>
      </x:c>
      <x:c r="B103" s="58" t="str">
        <x:v>Inertia Page</x:v>
      </x:c>
      <x:c r="C103" s="58" t="str">
        <x:v>Subscription</x:v>
      </x:c>
      <x:c r="D103" s="58" t="str">
        <x:v>Settings/Subscription.vue</x:v>
      </x:c>
      <x:c r="E103" s="58" t="str">
        <x:v>/Users/mason/Sites/Buff/resources/js/Pages/Settings/Subscription.vue</x:v>
      </x:c>
      <x:c r="F103" s="58" t="str">
        <x:v>Both</x:v>
      </x:c>
      <x:c r="G103" s="58" t="str">
        <x:v>ACC-049, ACC-050, ACC-051, ACC-052, ACC-053, ACC-055</x:v>
      </x:c>
      <x:c r="H103" s="58" t="str">
        <x:v>Mapped</x:v>
      </x:c>
      <x:c r="I103" s="58" t="str">
        <x:v>User-facing screen reviewed with its controller, components, and tests.</x:v>
      </x:c>
    </x:row>
    <x:row r="104">
      <x:c r="A104" s="58" t="str">
        <x:v>PAGE-018</x:v>
      </x:c>
      <x:c r="B104" s="58" t="str">
        <x:v>Inertia Page</x:v>
      </x:c>
      <x:c r="C104" s="58" t="str">
        <x:v>Units</x:v>
      </x:c>
      <x:c r="D104" s="58" t="str">
        <x:v>Settings/Units.vue</x:v>
      </x:c>
      <x:c r="E104" s="58" t="str">
        <x:v>/Users/mason/Sites/Buff/resources/js/Pages/Settings/Units.vue</x:v>
      </x:c>
      <x:c r="F104" s="58" t="str">
        <x:v>Both</x:v>
      </x:c>
      <x:c r="G104" s="58" t="str">
        <x:v>ACC-033</x:v>
      </x:c>
      <x:c r="H104" s="58" t="str">
        <x:v>Mapped</x:v>
      </x:c>
      <x:c r="I104" s="58" t="str">
        <x:v>User-facing screen reviewed with its controller, components, and tests.</x:v>
      </x:c>
    </x:row>
    <x:row r="105">
      <x:c r="A105" s="58" t="str">
        <x:v>PAGE-019</x:v>
      </x:c>
      <x:c r="B105" s="58" t="str">
        <x:v>Inertia Page</x:v>
      </x:c>
      <x:c r="C105" s="58" t="str">
        <x:v>Today</x:v>
      </x:c>
      <x:c r="D105" s="58" t="str">
        <x:v>Today.vue</x:v>
      </x:c>
      <x:c r="E105" s="58" t="str">
        <x:v>/Users/mason/Sites/Buff/resources/js/Pages/Today.vue</x:v>
      </x:c>
      <x:c r="F105" s="58" t="str">
        <x:v>Both</x:v>
      </x:c>
      <x:c r="G105" s="58" t="str">
        <x:v>HLT-041, HLT-042, HLT-043, HLT-049, HLT-050, HLT-051, HLT-055, HLT-060, HLT-062, NUT-002, NUT-003, NUT-004, NUT-005, NUT-006, NUT-008, NUT-009, NUT-010, NUT-011, NUT-012, NUT-077, NUT-078, NUT-081, NUT-082, NUT-083, NUT-084, NUT-085, NUT-086, NUT-087, NUT-089, NUT-090, NUT-091, NUT-096</x:v>
      </x:c>
      <x:c r="H105" s="58" t="str">
        <x:v>Mapped</x:v>
      </x:c>
      <x:c r="I105" s="58" t="str">
        <x:v>User-facing screen reviewed with its controller, components, and tests.</x:v>
      </x:c>
    </x:row>
    <x:row r="106">
      <x:c r="A106" s="58" t="str">
        <x:v>PAGE-020</x:v>
      </x:c>
      <x:c r="B106" s="58" t="str">
        <x:v>Inertia Page</x:v>
      </x:c>
      <x:c r="C106" s="58" t="str">
        <x:v>Weekly</x:v>
      </x:c>
      <x:c r="D106" s="58" t="str">
        <x:v>Weekly.vue</x:v>
      </x:c>
      <x:c r="E106" s="58" t="str">
        <x:v>/Users/mason/Sites/Buff/resources/js/Pages/Weekly.vue</x:v>
      </x:c>
      <x:c r="F106" s="58" t="str">
        <x:v>Both</x:v>
      </x:c>
      <x:c r="G106" s="58" t="str">
        <x:v>NUT-096, NUT-097, NUT-098, NUT-099, NUT-100, NUT-101, NUT-102, NUT-103, NUT-106, NUT-107</x:v>
      </x:c>
      <x:c r="H106" s="58" t="str">
        <x:v>Mapped</x:v>
      </x:c>
      <x:c r="I106" s="58" t="str">
        <x:v>User-facing screen reviewed with its controller, components, and tests.</x:v>
      </x:c>
    </x:row>
    <x:row r="107">
      <x:c r="A107" s="58" t="str">
        <x:v>PLUGIN-001</x:v>
      </x:c>
      <x:c r="B107" s="58" t="str">
        <x:v>NativePHP Plugin</x:v>
      </x:c>
      <x:c r="C107" s="58" t="str">
        <x:v>admob</x:v>
      </x:c>
      <x:c r="D107" s="58" t="str">
        <x:v>native-plugins/admob/nativephp.json</x:v>
      </x:c>
      <x:c r="E107" s="58" t="str">
        <x:v>/Users/mason/Sites/Buff/native-plugins/admob/nativephp.json</x:v>
      </x:c>
      <x:c r="F107" s="58" t="str">
        <x:v>Both</x:v>
      </x:c>
      <x:c r="G107" s="58" t="str">
        <x:v>ACC-057, ACC-058, ACC-059, ACC-062</x:v>
      </x:c>
      <x:c r="H107" s="58" t="str">
        <x:v>Mapped</x:v>
      </x:c>
      <x:c r="I107" s="58" t="str">
        <x:v>Native bridge, platform sources, registration, and failure states reviewed.</x:v>
      </x:c>
    </x:row>
    <x:row r="108">
      <x:c r="A108" s="58" t="str">
        <x:v>PLUGIN-002</x:v>
      </x:c>
      <x:c r="B108" s="58" t="str">
        <x:v>NativePHP Plugin</x:v>
      </x:c>
      <x:c r="C108" s="58" t="str">
        <x:v>apple-health</x:v>
      </x:c>
      <x:c r="D108" s="58" t="str">
        <x:v>native-plugins/apple-health/nativephp.json</x:v>
      </x:c>
      <x:c r="E108" s="58" t="str">
        <x:v>/Users/mason/Sites/Buff/native-plugins/apple-health/nativephp.json</x:v>
      </x:c>
      <x:c r="F108" s="58" t="str">
        <x:v>iOS</x:v>
      </x:c>
      <x:c r="G108" s="58" t="str">
        <x:v>ACC-047, HLT-049, HLT-061, HLT-062, HLT-063, HLT-064, HLT-066</x:v>
      </x:c>
      <x:c r="H108" s="58" t="str">
        <x:v>Mapped</x:v>
      </x:c>
      <x:c r="I108" s="58" t="str">
        <x:v>Native bridge, platform sources, registration, and failure states reviewed.</x:v>
      </x:c>
    </x:row>
    <x:row r="109">
      <x:c r="A109" s="58" t="str">
        <x:v>PLUGIN-003</x:v>
      </x:c>
      <x:c r="B109" s="58" t="str">
        <x:v>NativePHP Plugin</x:v>
      </x:c>
      <x:c r="C109" s="58" t="str">
        <x:v>background-tasks</x:v>
      </x:c>
      <x:c r="D109" s="58" t="str">
        <x:v>native-plugins/background-tasks/nativephp.json</x:v>
      </x:c>
      <x:c r="E109" s="58" t="str">
        <x:v>/Users/mason/Sites/Buff/native-plugins/background-tasks/nativephp.json</x:v>
      </x:c>
      <x:c r="F109" s="58" t="str">
        <x:v>Both</x:v>
      </x:c>
      <x:c r="G109" s="58" t="str">
        <x:v>ACC-039, ACC-040, ACC-041, ACC-081, HLT-058</x:v>
      </x:c>
      <x:c r="H109" s="58" t="str">
        <x:v>Mapped</x:v>
      </x:c>
      <x:c r="I109" s="58" t="str">
        <x:v>Native bridge, platform sources, registration, and failure states reviewed.</x:v>
      </x:c>
    </x:row>
    <x:row r="110">
      <x:c r="A110" s="58" t="str">
        <x:v>PLUGIN-004</x:v>
      </x:c>
      <x:c r="B110" s="58" t="str">
        <x:v>NativePHP Plugin</x:v>
      </x:c>
      <x:c r="C110" s="58" t="str">
        <x:v>camera-permissions</x:v>
      </x:c>
      <x:c r="D110" s="58" t="str">
        <x:v>native-plugins/camera-permissions/nativephp.json</x:v>
      </x:c>
      <x:c r="E110" s="58" t="str">
        <x:v>/Users/mason/Sites/Buff/native-plugins/camera-permissions/nativephp.json</x:v>
      </x:c>
      <x:c r="F110" s="58" t="str">
        <x:v>Both</x:v>
      </x:c>
      <x:c r="G110" s="58" t="str">
        <x:v>HLT-016, NUT-032</x:v>
      </x:c>
      <x:c r="H110" s="58" t="str">
        <x:v>Mapped</x:v>
      </x:c>
      <x:c r="I110" s="58" t="str">
        <x:v>Native bridge, platform sources, registration, and failure states reviewed.</x:v>
      </x:c>
    </x:row>
    <x:row r="111">
      <x:c r="A111" s="58" t="str">
        <x:v>PLUGIN-005</x:v>
      </x:c>
      <x:c r="B111" s="58" t="str">
        <x:v>NativePHP Plugin</x:v>
      </x:c>
      <x:c r="C111" s="58" t="str">
        <x:v>health-connect</x:v>
      </x:c>
      <x:c r="D111" s="58" t="str">
        <x:v>native-plugins/health-connect/nativephp.json</x:v>
      </x:c>
      <x:c r="E111" s="58" t="str">
        <x:v>/Users/mason/Sites/Buff/native-plugins/health-connect/nativephp.json</x:v>
      </x:c>
      <x:c r="F111" s="58" t="str">
        <x:v>Android</x:v>
      </x:c>
      <x:c r="G111" s="58" t="str">
        <x:v>ACC-044, ACC-045, ACC-046, HLT-049, HLT-052, HLT-053, HLT-054, HLT-055, HLT-056, HLT-059, HLT-060</x:v>
      </x:c>
      <x:c r="H111" s="58" t="str">
        <x:v>Mapped</x:v>
      </x:c>
      <x:c r="I111" s="58" t="str">
        <x:v>Native bridge, platform sources, registration, and failure states reviewed.</x:v>
      </x:c>
    </x:row>
    <x:row r="112">
      <x:c r="A112" s="58" t="str">
        <x:v>PLUGIN-006</x:v>
      </x:c>
      <x:c r="B112" s="58" t="str">
        <x:v>NativePHP Plugin</x:v>
      </x:c>
      <x:c r="C112" s="58" t="str">
        <x:v>in-app-purchases</x:v>
      </x:c>
      <x:c r="D112" s="58" t="str">
        <x:v>native-plugins/in-app-purchases/nativephp.json</x:v>
      </x:c>
      <x:c r="E112" s="58" t="str">
        <x:v>/Users/mason/Sites/Buff/native-plugins/in-app-purchases/nativephp.json</x:v>
      </x:c>
      <x:c r="F112" s="58" t="str">
        <x:v>Both</x:v>
      </x:c>
      <x:c r="G112" s="58" t="str">
        <x:v>ACC-050, ACC-051, ACC-052</x:v>
      </x:c>
      <x:c r="H112" s="58" t="str">
        <x:v>Mapped</x:v>
      </x:c>
      <x:c r="I112" s="58" t="str">
        <x:v>Native bridge, platform sources, registration, and failure states reviewed.</x:v>
      </x:c>
    </x:row>
    <x:row r="113">
      <x:c r="A113" s="59" t="str">
        <x:v>PLUGIN-007</x:v>
      </x:c>
      <x:c r="B113" s="59" t="str">
        <x:v>NativePHP Plugin</x:v>
      </x:c>
      <x:c r="C113" s="59" t="str">
        <x:v>native-refresh</x:v>
      </x:c>
      <x:c r="D113" s="59" t="str">
        <x:v>native-plugins/native-refresh/nativephp.json</x:v>
      </x:c>
      <x:c r="E113" s="59" t="str">
        <x:v>/Users/mason/Sites/Buff/native-plugins/native-refresh/nativephp.json</x:v>
      </x:c>
      <x:c r="F113" s="59" t="str">
        <x:v>Both</x:v>
      </x:c>
      <x:c r="G113" s="59" t="str">
        <x:v>ACC-080, ACC-081, ACC-082, HLT-048</x:v>
      </x:c>
      <x:c r="H113" s="59" t="str">
        <x:v>Mapped</x:v>
      </x:c>
      <x:c r="I113" s="59" t="str">
        <x:v>Native bridge, platform sources, registration, and failure states reviewed.</x:v>
      </x:c>
    </x:row>
  </x:sheetData>
  <x:mergeCells>
    <x:mergeCell ref="A1:I1"/>
    <x:mergeCell ref="A2:I2"/>
  </x:mergeCells>
  <x:conditionalFormatting sqref="H5:H113">
    <x:cfRule type="containsText" dxfId="63" priority="1" operator="containsText" text="Passed"/>
    <x:cfRule type="containsText" dxfId="64" priority="2" operator="containsText" text="Verified"/>
    <x:cfRule type="containsText" dxfId="65" priority="3" operator="containsText" text="Failed"/>
    <x:cfRule type="containsText" dxfId="66" priority="4" operator="containsText" text="Defect"/>
    <x:cfRule type="containsText" dxfId="67" priority="5" operator="containsText" text="Blocked"/>
    <x:cfRule type="containsText" dxfId="68" priority="6" operator="containsText" text="Not Run"/>
    <x:cfRule type="containsText" dxfId="69" priority="7" operator="containsText" text="Not Applicable"/>
  </x:conditionalFormatting>
  <x:dataValidations count="1">
    <x:dataValidation type="list" sqref="H5:H113">
      <x:formula1>"Mapped,Unmapped,Needs Review"</x:formula1>
    </x:dataValidation>
  </x:dataValidations>
  <x:pageMargins left="0.7" right="0.7" top="0.75" bottom="0.75" header="0.3" footer="0.3"/>
  <x:tableParts count="1">
    <x:tablePart xmlns:r="http://schemas.openxmlformats.org/officeDocument/2006/relationships" r:id="Raef834a2e5bb49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30" hidden="0" customWidth="1"/>
    <x:col min="4" max="4" width="68" hidden="0" customWidth="1"/>
    <x:col min="5" max="5" width="32" hidden="0" customWidth="1"/>
  </x:cols>
  <x:sheetData>
    <x:row r="1" ht="32" customHeight="1">
      <x:c r="A1" s="3" t="str">
        <x:v>Test Environment &amp; Definitions</x:v>
      </x:c>
      <x:c r="B1" s="3"/>
      <x:c r="C1" s="3"/>
      <x:c r="D1" s="3"/>
      <x:c r="E1" s="3"/>
    </x:row>
    <x:row r="2" ht="30" customHeight="1">
      <x:c r="A2" s="7" t="str">
        <x:v>Environment choices and status meanings used by every story, defect, and run in this workbook.</x:v>
      </x:c>
      <x:c r="B2" s="7"/>
      <x:c r="C2" s="7"/>
      <x:c r="D2" s="7"/>
      <x:c r="E2" s="7"/>
    </x:row>
    <x:row r="4" ht="34" customHeight="1">
      <x:c r="A4" s="16" t="str">
        <x:v>Item</x:v>
      </x:c>
      <x:c r="B4" s="17" t="str">
        <x:v>Value</x:v>
      </x:c>
      <x:c r="C4" s="17" t="str">
        <x:v>Status</x:v>
      </x:c>
      <x:c r="D4" s="17" t="str">
        <x:v>Constraint / Meaning</x:v>
      </x:c>
      <x:c r="E4" s="18" t="str">
        <x:v>Last Updated</x:v>
      </x:c>
    </x:row>
    <x:row r="5">
      <x:c r="A5" s="57" t="str">
        <x:v>Backend</x:v>
      </x:c>
      <x:c r="B5" s="57" t="str">
        <x:v>https://api.usebuff.app/api/v1</x:v>
      </x:c>
      <x:c r="C5" s="57" t="str">
        <x:v>Selected</x:v>
      </x:c>
      <x:c r="D5" s="57" t="str">
        <x:v>Dedicated production test account; no real user data.</x:v>
      </x:c>
      <x:c r="E5" s="67" t="n">
        <x:v>46266.78366414352</x:v>
      </x:c>
    </x:row>
    <x:row r="6" ht="91.19999694824219" hidden="0" customHeight="1">
      <x:c r="A6" s="58" t="str">
        <x:v>iOS emulator</x:v>
      </x:c>
      <x:c r="B6" s="58" t="str">
        <x:v>iPhone17 Pro QA — iOS26.5 installed/extracted1.0.0b23</x:v>
      </x:c>
      <x:c r="C6" s="58" t="str">
        <x:v>Ready</x:v>
      </x:c>
      <x:c r="D6" s="58" t="str">
        <x:v>QA simulator B5DFD1FE-B554-4A7D-996B-BF8F952B2C33 only; secondary iPhone 17 untouched. Installed CFBundleVersion16 and extracted 1.0.0b16 verified with matching ZIP/manifest/CSS/JS. Protected backup retained; 7 meals, 2 recipes, 7 workouts, 2 metrics, goal/preferences and account binding preserved, outbox0, integrity ok. Provenance: /Users/mason/.codex/visualizations/2026/09/01/01a05def-1c0d-76d1-abc6-07c63a443582/inventory/ios-pro-build16-install-provenance.json. These counts describe the install baseline, not all later QA fixtures. At15:57UTC user crash follow-up found Pro running PID34567 with no new matching diagnostic. No new iOS custom-food tests started. New DEF097 source fix is not installed.
2026-09-05 follow-up supersedes paused custom-food notes: QA grams0905 Breakfast350g488kcal and QA ml0905 Lunch200ml410kcal saved on22Aug. Combined898/P65/C110/F22. No unsaved draft. Native banner clips grams success toast (DEF098), later ml toast remained visible before banner arrived. No remote inspector, rebuild, install, reset or cold-persistence check in these two runs.
Build18 preserved19meals/9recipes/7workouts/2metrics and other checked records. Its21Aug g/ml saves increased meals to21. Build19 installation preserved those21meals and all checked stable payload hashes/account binding, with80extracted assets verified and pending sync0. Private0700 backups retained. No uninstall/reset or remote inspector. Provenance: /Users/mason/.codex/visualizations/2026/09/01/01a05def-1c0d-76d1-abc6-07c63a443582/inventory/ios-build19-after.json
RUN-0413: both 20 August QA saves and opaque top confirmations passed with ads present. Cold launch PID 3093; Today restored to 20 August with no draft. Exact checked record hashes/binding persisted: 23 meals, 9 recipes, 7 workouts, 2 metrics, 1 profile, 1 goal, 1 preferences row and 0 outbox items. /Users/mason/.codex/visualizations/2026/09/01/01a05def-1c0d-76d1-abc6-07c63a443582/inventory/ios-toast-b19-cold-after.json
RUN-0414: rejected macro values created no record; corrected validation fixture saved exactly once on 19 August. Now 24 meals, pending sync 0. QA Pro remains on dated Today with no draft. /Users/mason/.codex/visualizations/2026/09/01/01a05def-1c0d-76d1-abc6-07c63a443582/inventory/ios-validation-b19-saved.json
RUN-0416: build 20 executable/ZIP/80 assets and all pre-install record hashes verified. Launch PID 20934. New minimum/maximum QA fixtures on 18 August give 26 meals, selected day 2, pending sync 0. Current Today is scrolled to the two rows, no draft. /Users/mason/.codex/visualizations/2026/09/01/01a05def-1c0d-76d1-abc6-07c63a443582/inventory/ios-boundaries-b20-saved.json
RUN-0421 is the first completed iOS NUT041 run, recorded as Initial rather than backfilling earlier history. Build20 native recent-food prefill clears three errors,copies200ml/P20/C60/F10,retains ten unique cards after an identical duplicate,and supports renamedC61/414kcal copy without altering the410kcal original. Two13August rows total824/P40/C121/F20,pending0. Separate iOS Retest remains Not Run. QA PID52031;33meals before,35 after;outbox0. Seven syncedAndroid fixtures preserved. Native only,no remote inspection.
RUN-0422:iOS offline-save Initial Blocked at environment setup. This iOS26.5 simulator exposes no airplane/wifi/cellular controls or Network Link Conditioner in native Settings/Developer. simctl and Features menu likewise lack device-scoped network isolation. No host networking changed and no offline meal submitted. Requires a supported isolated network-loss setup; keep iOS Retest Not Run. Android RUN0420 remains Passed.
Build 21 installed in place after private backup. All checked records preserved. After valid recipe save: 37 meals, 9 recipes, outbox 0. No remote inspector.
Build22 source/assets and preserved QA records verified; native-only search checks complete in this checkpoint.
Build23 private backup, preserved QA records and80 assets verified.</x:v>
      </x:c>
      <x:c r="E6" s="68" t="n">
        <x:v>46271.59288636574</x:v>
      </x:c>
    </x:row>
    <x:row r="7" ht="91.19999694824219" hidden="0" customHeight="1">
      <x:c r="A7" s="58" t="str">
        <x:v>Android emulator</x:v>
      </x:c>
      <x:c r="B7" s="58" t="str">
        <x:v>Medium Phone emulator-5554 — Android17/API37 QA user10 installed1.0.0b23</x:v>
      </x:c>
      <x:c r="C7" s="58" t="str">
        <x:v>Ready</x:v>
      </x:c>
      <x:c r="D7" s="58" t="str">
        <x:v>emulator-5554 QA user10. Guard blocked all installer device operations; signer checked, then explicit install -r --user10 and QA-only launch succeeded. Installed APK/extracted source/assets match build17. Android shares package code across users: former Owner0 PID20895 stopped during replacement and was not relaunched. No uninstall/reset or protected DB export. Prior Aug23 summary matched exactly after update. Added one165kcal QA Dinner, total653; no post-save cold retest. /Users/mason/.codex/visualizations/2026/09/01/01a05def-1c0d-76d1-abc6-07c63a443582/inventory/android-build17-install-provenance.json
RUN-0407 supersedes the no-cold-retest note: complete Aug23 summary and both meals survived cold launch exactly. QA process became PID2384; Owner0 PID2383 appeared automatically after QA launch. Owner0 was not manually launched and was not claimed unaffected. DEF091 native rendering still reproduced. Evidence: /Users/mason/.codex/visualizations/2026/09/01/01a05def-1c0d-76d1-abc6-07c63a443582/emulator-runs/retest/android/NUT-039-b17-cold-before.json
/Users/mason/.codex/visualizations/2026/09/01/01a05def-1c0d-76d1-abc6-07c63a443582/emulator-runs/retest/android/NUT-039-b17-cold-aug23.json
/Users/mason/.codex/visualizations/2026/09/01/01a05def-1c0d-76d1-abc6-07c63a443582/emulator-runs/retest/android/NUT-039-b17-cold-aug23.png
/Users/mason/.codex/visualizations/2026/09/01/01a05def-1c0d-76d1-abc6-07c63a443582/inventory/android-build17-install-provenance.json
2026-09-05 renderer comparison: same build17 APK and WebView152.0.7977.65 in every sample. Lavapipe/SwiftShader fail; host passes; returning to Lavapipe fails; configured host cold launch passes. Only AVD config change: hw.gpu.mode auto→host. Current QA PID6036. Complete Aug23 data preserved, pending0. /Users/mason/.codex/visualizations/2026/09/01/01a05def-1c0d-76d1-abc6-07c63a443582/inventory/def091-renderer-comparison-b17.json
RUN-0417: guarded build20 compiled; verified APK installed -r --user10, no uninstall/clear/reset. QA PID20417; Owner0 PID20945 appeared automatically after its previous process was stopped by shared package replacement. No Owner0 data access. Existing Aug23 entries/values preserved; time-dependent streak changed1 to0 from stale previous-day UI and is excluded from equality. Sync retry succeeded. Two Aug17 boundary fixtures saved once; pending0; no draft. Public package/UI proof only; denied private database export not retried. /Users/mason/.codex/visualizations/2026/09/01/01a05def-1c0d-76d1-abc6-07c63a443582/inventory/android-build20-install-provenance.json
RUN0418–0419: newAug16g/ml fixtures898kcal preserved with entire summary exactly across QA-only cold relaunch. QA PID22855; Owner0PID20945 stayed running. NewAug15duplicate410kcal and editedreuse414kcal saved once; ten unique recent snapshots preserved,all server errors clear on prefill. Pending0;currentTodayAug15,no draft. Private Android database export remains blocked/not retried.
RUN-0420: build20 Android offline custom save Passed. Airplane mode/no default network and native offline banner confirmed. QA b20 Android offline saved once on14August,Snacks100g/P1/C2/F3,39kcal. Exact UI summary/UUID survived QA-only cold restart offline,pending1. Reconnection automatically synced pending0,cleared error,and preserved complete summary. Network restored; no protected Android database access. CurrentToday14August scrolled to saved row,no draft;QA PID24710.
Build 21 guarded native compilation; explicit in-place install; public APK hash/signer/source/80 assets verified. Validation and valid recipe save passed; no private database access.
Build22 public APK hash/signer and preserved dated UI summary verified. Protected private database comparison remains unproven.
Build23 APK/80 host assets/signature and dated UI summary verified. QA PID7874; Owner PID7619 also observed after install, not targeted. Private database equality remains unproven.</x:v>
      </x:c>
      <x:c r="E7" s="68" t="n">
        <x:v>46271.59289947917</x:v>
      </x:c>
    </x:row>
    <x:row r="8">
      <x:c r="A8" s="58" t="str">
        <x:v>Application</x:v>
      </x:c>
      <x:c r="B8" s="58" t="str">
        <x:v>com.spacemancodes.buff</x:v>
      </x:c>
      <x:c r="C8" s="58" t="str">
        <x:v>Commit 9e9dcf1+dirty</x:v>
      </x:c>
      <x:c r="D8" s="58" t="str">
        <x:v>NativePHP 4.3.0; Laravel 13.30.0; Inertia Laravel 3.3.1.</x:v>
      </x:c>
      <x:c r="E8" s="68" t="n">
        <x:v>46266.78366414352</x:v>
      </x:c>
    </x:row>
    <x:row r="9">
      <x:c r="A9" s="58" t="str">
        <x:v>Financial actions</x:v>
      </x:c>
      <x:c r="B9" s="58" t="str">
        <x:v>Purchase/subscribe</x:v>
      </x:c>
      <x:c r="C9" s="58" t="str">
        <x:v>Action-time confirmation required</x:v>
      </x:c>
      <x:c r="D9" s="58" t="str">
        <x:v>Do not complete a charge without explicit confirmation.</x:v>
      </x:c>
      <x:c r="E9" s="68" t="n">
        <x:v>46266.78366414352</x:v>
      </x:c>
    </x:row>
    <x:row r="10">
      <x:c r="A10" s="58" t="str">
        <x:v>Destructive actions</x:v>
      </x:c>
      <x:c r="B10" s="58" t="str">
        <x:v>Deletes, logout wipes, account deletion</x:v>
      </x:c>
      <x:c r="C10" s="58" t="str">
        <x:v>Action-time confirmation required</x:v>
      </x:c>
      <x:c r="D10" s="58" t="str">
        <x:v>Use disposable records/account and confirm immediately before final actions.</x:v>
      </x:c>
      <x:c r="E10" s="68" t="n">
        <x:v>46266.78366414352</x:v>
      </x:c>
    </x:row>
    <x:row r="11" ht="91.19999694824219" hidden="0" customHeight="1">
      <x:c r="A11" s="58" t="str">
        <x:v>App automated baseline</x:v>
      </x:c>
      <x:c r="B11" s="58" t="str">
        <x:v>PHP409/409; MealEntryTest42/42; frontend219/219</x:v>
      </x:c>
      <x:c r="C11" s="58" t="str">
        <x:v>Source checks passed; Android build17 scroll retest passed</x:v>
      </x:c>
      <x:c r="D11" s="58" t="str">
        <x:v>PHP3,252 assertions; MealEntryTest369;13new boundary cases111assertions. Focused recipe14,TypeScript,Pint,diff and independent reviews passed. Android web/native builds passed; compiled scroll fix verified. Complete native story matrix remains unfinished. Stop at30% account usage remaining.</x:v>
      </x:c>
      <x:c r="E11" s="68" t="n">
        <x:v>46269.689155486114</x:v>
      </x:c>
    </x:row>
    <x:row r="12">
      <x:c r="A12" s="59" t="str">
        <x:v>Server automated baseline</x:v>
      </x:c>
      <x:c r="B12" s="59" t="str">
        <x:v>PHP 188/188</x:v>
      </x:c>
      <x:c r="C12" s="59" t="str">
        <x:v>Passed</x:v>
      </x:c>
      <x:c r="D12" s="59" t="str">
        <x:v>1,453 assertions; no product, environment, or test-harness failures.</x:v>
      </x:c>
      <x:c r="E12" s="69" t="n">
        <x:v>46266.78366414352</x:v>
      </x:c>
    </x:row>
    <x:row r="15" ht="34" customHeight="1">
      <x:c r="A15" s="16" t="str">
        <x:v>Status family</x:v>
      </x:c>
      <x:c r="B15" s="17" t="str">
        <x:v>Value</x:v>
      </x:c>
      <x:c r="C15" s="17" t="str">
        <x:v>Meaning</x:v>
      </x:c>
      <x:c r="D15" s="17" t="str">
        <x:v>Used in</x:v>
      </x:c>
      <x:c r="E15" s="18" t="str">
        <x:v>Rule</x:v>
      </x:c>
    </x:row>
    <x:row r="16">
      <x:c r="A16" s="57" t="str">
        <x:v>Test</x:v>
      </x:c>
      <x:c r="B16" s="57" t="str">
        <x:v>Not Run</x:v>
      </x:c>
      <x:c r="C16" s="57" t="str">
        <x:v>Applicable but not executed yet.</x:v>
      </x:c>
      <x:c r="D16" s="57" t="str">
        <x:v>Story/Test Runs</x:v>
      </x:c>
      <x:c r="E16" s="57" t="str">
        <x:v>Never counts as complete.</x:v>
      </x:c>
    </x:row>
    <x:row r="17">
      <x:c r="A17" s="58" t="str">
        <x:v>Test</x:v>
      </x:c>
      <x:c r="B17" s="58" t="str">
        <x:v>Passed</x:v>
      </x:c>
      <x:c r="C17" s="58" t="str">
        <x:v>Observed behavior matched the code-derived expectation.</x:v>
      </x:c>
      <x:c r="D17" s="58" t="str">
        <x:v>Story/Test Runs</x:v>
      </x:c>
      <x:c r="E17" s="58" t="str">
        <x:v>Needs evidence in Test Runs.</x:v>
      </x:c>
    </x:row>
    <x:row r="18">
      <x:c r="A18" s="58" t="str">
        <x:v>Test</x:v>
      </x:c>
      <x:c r="B18" s="58" t="str">
        <x:v>Failed</x:v>
      </x:c>
      <x:c r="C18" s="58" t="str">
        <x:v>Observed behavior did not match expectation.</x:v>
      </x:c>
      <x:c r="D18" s="58" t="str">
        <x:v>Story/Test Runs</x:v>
      </x:c>
      <x:c r="E18" s="58" t="str">
        <x:v>Create/link a defect.</x:v>
      </x:c>
    </x:row>
    <x:row r="19">
      <x:c r="A19" s="58" t="str">
        <x:v>Test</x:v>
      </x:c>
      <x:c r="B19" s="58" t="str">
        <x:v>Blocked</x:v>
      </x:c>
      <x:c r="C19" s="58" t="str">
        <x:v>Could not execute because a named prerequisite was unavailable.</x:v>
      </x:c>
      <x:c r="D19" s="58" t="str">
        <x:v>Story/Test Runs</x:v>
      </x:c>
      <x:c r="E19" s="58" t="str">
        <x:v>Record the blocker; do not call it passed.</x:v>
      </x:c>
    </x:row>
    <x:row r="20">
      <x:c r="A20" s="58" t="str">
        <x:v>Test</x:v>
      </x:c>
      <x:c r="B20" s="58" t="str">
        <x:v>Not Applicable</x:v>
      </x:c>
      <x:c r="C20" s="58" t="str">
        <x:v>Behavior is not available on this platform.</x:v>
      </x:c>
      <x:c r="D20" s="58" t="str">
        <x:v>Story/Test Runs</x:v>
      </x:c>
      <x:c r="E20" s="58" t="str">
        <x:v>Valid only for platform-specific stories.</x:v>
      </x:c>
    </x:row>
    <x:row r="21">
      <x:c r="A21" s="58" t="str">
        <x:v>Defect</x:v>
      </x:c>
      <x:c r="B21" s="58" t="str">
        <x:v>Open / In Progress</x:v>
      </x:c>
      <x:c r="C21" s="58" t="str">
        <x:v>Confirmed issue not yet fixed or actively being fixed.</x:v>
      </x:c>
      <x:c r="D21" s="58" t="str">
        <x:v>Defects</x:v>
      </x:c>
      <x:c r="E21" s="58" t="str">
        <x:v>Must link to Story IDs.</x:v>
      </x:c>
    </x:row>
    <x:row r="22">
      <x:c r="A22" s="58" t="str">
        <x:v>Defect</x:v>
      </x:c>
      <x:c r="B22" s="58" t="str">
        <x:v>Fixed</x:v>
      </x:c>
      <x:c r="C22" s="58" t="str">
        <x:v>Code and focused automated check are complete.</x:v>
      </x:c>
      <x:c r="D22" s="58" t="str">
        <x:v>Defects</x:v>
      </x:c>
      <x:c r="E22" s="58" t="str">
        <x:v>Still requires both applicable emulator retests.</x:v>
      </x:c>
    </x:row>
    <x:row r="23">
      <x:c r="A23" s="58" t="str">
        <x:v>Final</x:v>
      </x:c>
      <x:c r="B23" s="58" t="str">
        <x:v>Verified</x:v>
      </x:c>
      <x:c r="C23" s="58" t="str">
        <x:v>Every applicable platform retest passed.</x:v>
      </x:c>
      <x:c r="D23" s="58" t="str">
        <x:v>User Stories</x:v>
      </x:c>
      <x:c r="E23" s="58" t="str">
        <x:v>Only formula-derived from retest columns.</x:v>
      </x:c>
    </x:row>
    <x:row r="24">
      <x:c r="A24" s="59" t="str">
        <x:v>Final</x:v>
      </x:c>
      <x:c r="B24" s="59" t="str">
        <x:v>Not Complete</x:v>
      </x:c>
      <x:c r="C24" s="59" t="str">
        <x:v>Required initial/retest work remains.</x:v>
      </x:c>
      <x:c r="D24" s="59" t="str">
        <x:v>User Stories</x:v>
      </x:c>
      <x:c r="E24" s="59" t="str">
        <x:v>Default until evidence is complete.</x:v>
      </x:c>
    </x:row>
  </x:sheetData>
  <x:mergeCells>
    <x:mergeCell ref="A1:E1"/>
    <x:mergeCell ref="A2:E2"/>
  </x:mergeCells>
  <x:conditionalFormatting sqref="C5:C12">
    <x:cfRule type="containsText" dxfId="70" priority="1" operator="containsText" text="Passed"/>
    <x:cfRule type="containsText" dxfId="71" priority="2" operator="containsText" text="Verified"/>
    <x:cfRule type="containsText" dxfId="72" priority="3" operator="containsText" text="Failed"/>
    <x:cfRule type="containsText" dxfId="73" priority="4" operator="containsText" text="Defect"/>
    <x:cfRule type="containsText" dxfId="74" priority="5" operator="containsText" text="Blocked"/>
    <x:cfRule type="containsText" dxfId="75" priority="6" operator="containsText" text="Not Run"/>
    <x:cfRule type="containsText" dxfId="76" priority="7" operator="containsText" text="Not Applicable"/>
  </x:conditionalFormatting>
  <x:pageMargins left="0.7" right="0.7" top="0.75" bottom="0.75" header="0.3" footer="0.3"/>
</x:worksheet>
</file>